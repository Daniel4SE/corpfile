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dkiopto-my.sharepoint.com/personal/admin_mdkiopto_com/Documents/Desktop/Account/YWX/YWX 31.5.2022/"/>
    </mc:Choice>
  </mc:AlternateContent>
  <xr:revisionPtr revIDLastSave="4" documentId="13_ncr:1_{6F3A935B-5086-4FA0-B1D3-6C647ECB8EEA}" xr6:coauthVersionLast="47" xr6:coauthVersionMax="47" xr10:uidLastSave="{BDE71862-A04A-48C0-BAC9-84A799B8A21E}"/>
  <bookViews>
    <workbookView xWindow="-120" yWindow="-120" windowWidth="20730" windowHeight="11160" tabRatio="694" activeTab="1" xr2:uid="{C00D70F3-C20C-4C4C-B8A3-4BE80DFD8540}"/>
  </bookViews>
  <sheets>
    <sheet name="TB" sheetId="5" r:id="rId1"/>
    <sheet name="总帐" sheetId="2" r:id="rId2"/>
    <sheet name="Exchange.rate" sheetId="3" r:id="rId3"/>
    <sheet name="Journal" sheetId="4" r:id="rId4"/>
    <sheet name="Company profile" sheetId="1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\_JUNK">#N/A</definedName>
    <definedName name="\0">#N/A</definedName>
    <definedName name="\a">'[1]FF-21(a)'!#REF!</definedName>
    <definedName name="\c">'[1]FF-21(a)'!#REF!</definedName>
    <definedName name="\d">#N/A</definedName>
    <definedName name="\h">#N/A</definedName>
    <definedName name="\l">#N/A</definedName>
    <definedName name="\p">#N/A</definedName>
    <definedName name="_">"$#REF!.$A$6:$D$13"</definedName>
    <definedName name="_____a21420">#REF!</definedName>
    <definedName name="_____a21430">#REF!</definedName>
    <definedName name="_____a22220">#REF!</definedName>
    <definedName name="_____a22241">#REF!</definedName>
    <definedName name="_____a22242">#REF!</definedName>
    <definedName name="_____a22260">#REF!</definedName>
    <definedName name="_____a22270">#REF!</definedName>
    <definedName name="_____a24385">#REF!</definedName>
    <definedName name="_____a24391">#REF!</definedName>
    <definedName name="_____a24392">#REF!</definedName>
    <definedName name="_____a24393">#REF!</definedName>
    <definedName name="_____a24394">#REF!</definedName>
    <definedName name="_____a27120">#REF!</definedName>
    <definedName name="_____a27150">#REF!</definedName>
    <definedName name="_____a32320">#REF!</definedName>
    <definedName name="_____a32730">#REF!</definedName>
    <definedName name="_____a33130">#REF!</definedName>
    <definedName name="_____a33140">#REF!</definedName>
    <definedName name="_____a33160">#REF!</definedName>
    <definedName name="_____a33170">#REF!</definedName>
    <definedName name="_____a33190">#REF!</definedName>
    <definedName name="_____a33210">#REF!</definedName>
    <definedName name="_____a33230">#REF!</definedName>
    <definedName name="_____a33240">#REF!</definedName>
    <definedName name="_____a34010">#REF!</definedName>
    <definedName name="_____a41230">#REF!</definedName>
    <definedName name="_____a41240">#REF!</definedName>
    <definedName name="_____a42781">#REF!</definedName>
    <definedName name="_____a42782">#REF!</definedName>
    <definedName name="_____a42783">#REF!</definedName>
    <definedName name="_____A43220">#REF!</definedName>
    <definedName name="_____a43230">#REF!</definedName>
    <definedName name="_____a43260">#REF!</definedName>
    <definedName name="_____a43270">#REF!</definedName>
    <definedName name="_____a43320">#REF!</definedName>
    <definedName name="_____a43330">#REF!</definedName>
    <definedName name="_____a43360">#REF!</definedName>
    <definedName name="_____a43370">#REF!</definedName>
    <definedName name="_____a43530">#REF!</definedName>
    <definedName name="_____a43540">#REF!</definedName>
    <definedName name="_____a43560">#REF!</definedName>
    <definedName name="_____a43570">#REF!</definedName>
    <definedName name="_____a43630">#REF!</definedName>
    <definedName name="_____a43640">#REF!</definedName>
    <definedName name="_____a43660">#REF!</definedName>
    <definedName name="_____a43670">#REF!</definedName>
    <definedName name="_____a43730">#REF!</definedName>
    <definedName name="_____a43750">#REF!</definedName>
    <definedName name="_____a43760">#REF!</definedName>
    <definedName name="_____a43770">#REF!</definedName>
    <definedName name="_____a43780">#REF!</definedName>
    <definedName name="_____a48610">#REF!</definedName>
    <definedName name="_____a48611">#REF!</definedName>
    <definedName name="_____a48620">#REF!</definedName>
    <definedName name="_____a48621">#REF!</definedName>
    <definedName name="_____a48781">#REF!</definedName>
    <definedName name="_____a48782">#REF!</definedName>
    <definedName name="_____a48783">#REF!</definedName>
    <definedName name="_____a48784">#REF!</definedName>
    <definedName name="_____a51530">#REF!</definedName>
    <definedName name="_____a51560">#REF!</definedName>
    <definedName name="_____a51620">#REF!</definedName>
    <definedName name="_____a52010">#REF!</definedName>
    <definedName name="_____a53110">#REF!</definedName>
    <definedName name="_____a61430">#REF!</definedName>
    <definedName name="_____a61470">#REF!</definedName>
    <definedName name="_____a61620">#REF!</definedName>
    <definedName name="_____a63110">#REF!</definedName>
    <definedName name="_____a73310">#REF!</definedName>
    <definedName name="_____a83175">#REF!</definedName>
    <definedName name="_____a85160">#REF!</definedName>
    <definedName name="_____a85250">#REF!</definedName>
    <definedName name="_____a85510">#REF!</definedName>
    <definedName name="_____a85520">#REF!</definedName>
    <definedName name="_____a85530">#REF!</definedName>
    <definedName name="_____a85540">#REF!</definedName>
    <definedName name="_____a85550">#REF!</definedName>
    <definedName name="_____a85570">#REF!</definedName>
    <definedName name="_____a85580">#REF!</definedName>
    <definedName name="_____a85590">#REF!</definedName>
    <definedName name="_____a85611">#REF!</definedName>
    <definedName name="_____a85621">#REF!</definedName>
    <definedName name="_____a90300">#REF!</definedName>
    <definedName name="_____a90400">#REF!</definedName>
    <definedName name="_____a90510">#REF!</definedName>
    <definedName name="_____a90520">#REF!</definedName>
    <definedName name="_____a90530">#REF!</definedName>
    <definedName name="_____a90540">#REF!</definedName>
    <definedName name="_____a90610">#REF!</definedName>
    <definedName name="_____a90620">#REF!</definedName>
    <definedName name="_____a90630">#REF!</definedName>
    <definedName name="_____a90640">#REF!</definedName>
    <definedName name="_____a90710">#REF!</definedName>
    <definedName name="_____a90720">#REF!</definedName>
    <definedName name="_____a90730">#REF!</definedName>
    <definedName name="_____a90740">#REF!</definedName>
    <definedName name="_____a90810">#REF!</definedName>
    <definedName name="_____a90820">#REF!</definedName>
    <definedName name="_____a90830">#REF!</definedName>
    <definedName name="_____a90840">#REF!</definedName>
    <definedName name="_____a90910">#REF!</definedName>
    <definedName name="_____a90920">#REF!</definedName>
    <definedName name="_____a90930">#REF!</definedName>
    <definedName name="_____a90940">#REF!</definedName>
    <definedName name="_____a90950">#REF!</definedName>
    <definedName name="_____a91310">#REF!</definedName>
    <definedName name="_____a91320">#REF!</definedName>
    <definedName name="_____a91330">#REF!</definedName>
    <definedName name="_____a91340">#REF!</definedName>
    <definedName name="_____a91350">#REF!</definedName>
    <definedName name="_____a91710">#REF!</definedName>
    <definedName name="_____a91720">#REF!</definedName>
    <definedName name="_____a91730">#REF!</definedName>
    <definedName name="_____a91740">#REF!</definedName>
    <definedName name="_____a93100">#REF!</definedName>
    <definedName name="_____a93200">#REF!</definedName>
    <definedName name="_____a99340">#REF!</definedName>
    <definedName name="_____a99350">#REF!</definedName>
    <definedName name="_____ACT1">#REF!</definedName>
    <definedName name="_____ACT2">#REF!</definedName>
    <definedName name="_____ADJ1">#REF!</definedName>
    <definedName name="_____ADJ2">#REF!</definedName>
    <definedName name="_____ap110">#REF!</definedName>
    <definedName name="_____B1">#REF!</definedName>
    <definedName name="_____b90710">#REF!</definedName>
    <definedName name="_____b90720">#REF!</definedName>
    <definedName name="_____b90730">#REF!</definedName>
    <definedName name="_____b90740">#REF!</definedName>
    <definedName name="_____b95310">#REF!</definedName>
    <definedName name="_____b95320">#REF!</definedName>
    <definedName name="_____b95330">#REF!</definedName>
    <definedName name="_____b95340">#REF!</definedName>
    <definedName name="_____bs1">[2]Sheet3!$A$6:$I$46</definedName>
    <definedName name="_____MAN1">#REF!</definedName>
    <definedName name="_____OCT334">'[3]FF-3'!$1:$8</definedName>
    <definedName name="_____p2">[0]!_____p2</definedName>
    <definedName name="_____P3">[4]cashflowcomp!$C$1:$J$67</definedName>
    <definedName name="_____PL1">[2]NTFS_Taxation!$A$4:$I$30</definedName>
    <definedName name="_____PL2">[2]NTFS_Taxation!$A$7:$Q$29</definedName>
    <definedName name="_____PL3">[2]NTFS_Taxation!$A$57:$G$71</definedName>
    <definedName name="_____PL5">[2]NTFS_Taxation!$A$6:$S$34</definedName>
    <definedName name="____a21420">#REF!</definedName>
    <definedName name="____a21430">#REF!</definedName>
    <definedName name="____a22220">#REF!</definedName>
    <definedName name="____a22241">#REF!</definedName>
    <definedName name="____a22242">#REF!</definedName>
    <definedName name="____a22260">#REF!</definedName>
    <definedName name="____a22270">#REF!</definedName>
    <definedName name="____a24385">#REF!</definedName>
    <definedName name="____a24391">#REF!</definedName>
    <definedName name="____a24392">#REF!</definedName>
    <definedName name="____a24393">#REF!</definedName>
    <definedName name="____a24394">#REF!</definedName>
    <definedName name="____a27120">#REF!</definedName>
    <definedName name="____a27150">#REF!</definedName>
    <definedName name="____a32320">#REF!</definedName>
    <definedName name="____a32730">#REF!</definedName>
    <definedName name="____a33130">#REF!</definedName>
    <definedName name="____a33140">#REF!</definedName>
    <definedName name="____a33160">#REF!</definedName>
    <definedName name="____a33170">#REF!</definedName>
    <definedName name="____a33190">#REF!</definedName>
    <definedName name="____a33210">#REF!</definedName>
    <definedName name="____a33230">#REF!</definedName>
    <definedName name="____a33240">#REF!</definedName>
    <definedName name="____a34010">#REF!</definedName>
    <definedName name="____a41230">#REF!</definedName>
    <definedName name="____a41240">#REF!</definedName>
    <definedName name="____a42781">#REF!</definedName>
    <definedName name="____a42782">#REF!</definedName>
    <definedName name="____a42783">#REF!</definedName>
    <definedName name="____A43220">#REF!</definedName>
    <definedName name="____a43230">#REF!</definedName>
    <definedName name="____a43260">#REF!</definedName>
    <definedName name="____a43270">#REF!</definedName>
    <definedName name="____a43320">#REF!</definedName>
    <definedName name="____a43330">#REF!</definedName>
    <definedName name="____a43360">#REF!</definedName>
    <definedName name="____a43370">#REF!</definedName>
    <definedName name="____a43530">#REF!</definedName>
    <definedName name="____a43540">#REF!</definedName>
    <definedName name="____a43560">#REF!</definedName>
    <definedName name="____a43570">#REF!</definedName>
    <definedName name="____a43630">#REF!</definedName>
    <definedName name="____a43640">#REF!</definedName>
    <definedName name="____a43660">#REF!</definedName>
    <definedName name="____a43670">#REF!</definedName>
    <definedName name="____a43730">#REF!</definedName>
    <definedName name="____a43750">#REF!</definedName>
    <definedName name="____a43760">#REF!</definedName>
    <definedName name="____a43770">#REF!</definedName>
    <definedName name="____a43780">#REF!</definedName>
    <definedName name="____a48610">#REF!</definedName>
    <definedName name="____a48611">#REF!</definedName>
    <definedName name="____a48620">#REF!</definedName>
    <definedName name="____a48621">#REF!</definedName>
    <definedName name="____a48781">#REF!</definedName>
    <definedName name="____a48782">#REF!</definedName>
    <definedName name="____a48783">#REF!</definedName>
    <definedName name="____a48784">#REF!</definedName>
    <definedName name="____a51530">#REF!</definedName>
    <definedName name="____a51560">#REF!</definedName>
    <definedName name="____a51620">#REF!</definedName>
    <definedName name="____a52010">#REF!</definedName>
    <definedName name="____a53110">#REF!</definedName>
    <definedName name="____a61430">#REF!</definedName>
    <definedName name="____a61470">#REF!</definedName>
    <definedName name="____a61620">#REF!</definedName>
    <definedName name="____a63110">#REF!</definedName>
    <definedName name="____a73310">#REF!</definedName>
    <definedName name="____a83175">#REF!</definedName>
    <definedName name="____a85160">#REF!</definedName>
    <definedName name="____a85250">#REF!</definedName>
    <definedName name="____a85510">#REF!</definedName>
    <definedName name="____a85520">#REF!</definedName>
    <definedName name="____a85530">#REF!</definedName>
    <definedName name="____a85540">#REF!</definedName>
    <definedName name="____a85550">#REF!</definedName>
    <definedName name="____a85570">#REF!</definedName>
    <definedName name="____a85580">#REF!</definedName>
    <definedName name="____a85590">#REF!</definedName>
    <definedName name="____a85611">#REF!</definedName>
    <definedName name="____a85621">#REF!</definedName>
    <definedName name="____a90300">#REF!</definedName>
    <definedName name="____a90400">#REF!</definedName>
    <definedName name="____a90510">#REF!</definedName>
    <definedName name="____a90520">#REF!</definedName>
    <definedName name="____a90530">#REF!</definedName>
    <definedName name="____a90540">#REF!</definedName>
    <definedName name="____a90610">#REF!</definedName>
    <definedName name="____a90620">#REF!</definedName>
    <definedName name="____a90630">#REF!</definedName>
    <definedName name="____a90640">#REF!</definedName>
    <definedName name="____a90710">#REF!</definedName>
    <definedName name="____a90720">#REF!</definedName>
    <definedName name="____a90730">#REF!</definedName>
    <definedName name="____a90740">#REF!</definedName>
    <definedName name="____a90810">#REF!</definedName>
    <definedName name="____a90820">#REF!</definedName>
    <definedName name="____a90830">#REF!</definedName>
    <definedName name="____a90840">#REF!</definedName>
    <definedName name="____a90910">#REF!</definedName>
    <definedName name="____a90920">#REF!</definedName>
    <definedName name="____a90930">#REF!</definedName>
    <definedName name="____a90940">#REF!</definedName>
    <definedName name="____a90950">#REF!</definedName>
    <definedName name="____a91310">#REF!</definedName>
    <definedName name="____a91320">#REF!</definedName>
    <definedName name="____a91330">#REF!</definedName>
    <definedName name="____a91340">#REF!</definedName>
    <definedName name="____a91350">#REF!</definedName>
    <definedName name="____a91710">#REF!</definedName>
    <definedName name="____a91720">#REF!</definedName>
    <definedName name="____a91730">#REF!</definedName>
    <definedName name="____a91740">#REF!</definedName>
    <definedName name="____a93100">#REF!</definedName>
    <definedName name="____a93200">#REF!</definedName>
    <definedName name="____a99340">#REF!</definedName>
    <definedName name="____a99350">#REF!</definedName>
    <definedName name="____ACT1">#REF!</definedName>
    <definedName name="____ACT2">#REF!</definedName>
    <definedName name="____ADJ1">#REF!</definedName>
    <definedName name="____ADJ2">#REF!</definedName>
    <definedName name="____ap110">#REF!</definedName>
    <definedName name="____B1">#REF!</definedName>
    <definedName name="____b90710">#REF!</definedName>
    <definedName name="____b90720">#REF!</definedName>
    <definedName name="____b90730">#REF!</definedName>
    <definedName name="____b90740">#REF!</definedName>
    <definedName name="____b95310">#REF!</definedName>
    <definedName name="____b95320">#REF!</definedName>
    <definedName name="____b95330">#REF!</definedName>
    <definedName name="____b95340">#REF!</definedName>
    <definedName name="____bs1">[2]Sheet3!$A$6:$I$46</definedName>
    <definedName name="____MAN1">#REF!</definedName>
    <definedName name="____OCT334">'[3]FF-3'!$1:$8</definedName>
    <definedName name="____p2">'[5]osm (2)'!____p2</definedName>
    <definedName name="____P3">[4]cashflowcomp!$C$1:$J$67</definedName>
    <definedName name="____PL1">[2]NTFS_Taxation!$A$4:$I$30</definedName>
    <definedName name="____PL2">[2]NTFS_Taxation!$A$7:$Q$29</definedName>
    <definedName name="____PL3">[2]NTFS_Taxation!$A$57:$G$71</definedName>
    <definedName name="____PL5">[2]NTFS_Taxation!$A$6:$S$34</definedName>
    <definedName name="___a21420">#REF!</definedName>
    <definedName name="___a21430">#REF!</definedName>
    <definedName name="___a22220">#REF!</definedName>
    <definedName name="___a22241">#REF!</definedName>
    <definedName name="___a22242">#REF!</definedName>
    <definedName name="___a22260">#REF!</definedName>
    <definedName name="___a22270">#REF!</definedName>
    <definedName name="___a24385">#REF!</definedName>
    <definedName name="___a24391">#REF!</definedName>
    <definedName name="___a24392">#REF!</definedName>
    <definedName name="___a24393">#REF!</definedName>
    <definedName name="___a24394">#REF!</definedName>
    <definedName name="___a27120">#REF!</definedName>
    <definedName name="___a27150">#REF!</definedName>
    <definedName name="___a32320">#REF!</definedName>
    <definedName name="___a32730">#REF!</definedName>
    <definedName name="___a33130">#REF!</definedName>
    <definedName name="___a33140">#REF!</definedName>
    <definedName name="___a33160">#REF!</definedName>
    <definedName name="___a33170">#REF!</definedName>
    <definedName name="___a33190">#REF!</definedName>
    <definedName name="___a33210">#REF!</definedName>
    <definedName name="___a33230">#REF!</definedName>
    <definedName name="___a33240">#REF!</definedName>
    <definedName name="___a34010">#REF!</definedName>
    <definedName name="___a41230">#REF!</definedName>
    <definedName name="___a41240">#REF!</definedName>
    <definedName name="___a42781">#REF!</definedName>
    <definedName name="___a42782">#REF!</definedName>
    <definedName name="___a42783">#REF!</definedName>
    <definedName name="___A43220">#REF!</definedName>
    <definedName name="___a43230">#REF!</definedName>
    <definedName name="___a43260">#REF!</definedName>
    <definedName name="___a43270">#REF!</definedName>
    <definedName name="___a43320">#REF!</definedName>
    <definedName name="___a43330">#REF!</definedName>
    <definedName name="___a43360">#REF!</definedName>
    <definedName name="___a43370">#REF!</definedName>
    <definedName name="___a43530">#REF!</definedName>
    <definedName name="___a43540">#REF!</definedName>
    <definedName name="___a43560">#REF!</definedName>
    <definedName name="___a43570">#REF!</definedName>
    <definedName name="___a43630">#REF!</definedName>
    <definedName name="___a43640">#REF!</definedName>
    <definedName name="___a43660">#REF!</definedName>
    <definedName name="___a43670">#REF!</definedName>
    <definedName name="___a43730">#REF!</definedName>
    <definedName name="___a43750">#REF!</definedName>
    <definedName name="___a43760">#REF!</definedName>
    <definedName name="___a43770">#REF!</definedName>
    <definedName name="___a43780">#REF!</definedName>
    <definedName name="___a48610">#REF!</definedName>
    <definedName name="___a48611">#REF!</definedName>
    <definedName name="___a48620">#REF!</definedName>
    <definedName name="___a48621">#REF!</definedName>
    <definedName name="___a48781">#REF!</definedName>
    <definedName name="___a48782">#REF!</definedName>
    <definedName name="___a48783">#REF!</definedName>
    <definedName name="___a48784">#REF!</definedName>
    <definedName name="___a51530">#REF!</definedName>
    <definedName name="___a51560">#REF!</definedName>
    <definedName name="___a51620">#REF!</definedName>
    <definedName name="___a52010">#REF!</definedName>
    <definedName name="___a53110">#REF!</definedName>
    <definedName name="___a61430">#REF!</definedName>
    <definedName name="___a61470">#REF!</definedName>
    <definedName name="___a61620">#REF!</definedName>
    <definedName name="___a63110">#REF!</definedName>
    <definedName name="___a73310">#REF!</definedName>
    <definedName name="___a83175">#REF!</definedName>
    <definedName name="___a85160">#REF!</definedName>
    <definedName name="___a85250">#REF!</definedName>
    <definedName name="___a85510">#REF!</definedName>
    <definedName name="___a85520">#REF!</definedName>
    <definedName name="___a85530">#REF!</definedName>
    <definedName name="___a85540">#REF!</definedName>
    <definedName name="___a85550">#REF!</definedName>
    <definedName name="___a85570">#REF!</definedName>
    <definedName name="___a85580">#REF!</definedName>
    <definedName name="___a85590">#REF!</definedName>
    <definedName name="___a85611">#REF!</definedName>
    <definedName name="___a85621">#REF!</definedName>
    <definedName name="___a90300">#REF!</definedName>
    <definedName name="___a90400">#REF!</definedName>
    <definedName name="___a90510">#REF!</definedName>
    <definedName name="___a90520">#REF!</definedName>
    <definedName name="___a90530">#REF!</definedName>
    <definedName name="___a90540">#REF!</definedName>
    <definedName name="___a90610">#REF!</definedName>
    <definedName name="___a90620">#REF!</definedName>
    <definedName name="___a90630">#REF!</definedName>
    <definedName name="___a90640">#REF!</definedName>
    <definedName name="___a90710">#REF!</definedName>
    <definedName name="___a90720">#REF!</definedName>
    <definedName name="___a90730">#REF!</definedName>
    <definedName name="___a90740">#REF!</definedName>
    <definedName name="___a90810">#REF!</definedName>
    <definedName name="___a90820">#REF!</definedName>
    <definedName name="___a90830">#REF!</definedName>
    <definedName name="___a90840">#REF!</definedName>
    <definedName name="___a90910">#REF!</definedName>
    <definedName name="___a90920">#REF!</definedName>
    <definedName name="___a90930">#REF!</definedName>
    <definedName name="___a90940">#REF!</definedName>
    <definedName name="___a90950">#REF!</definedName>
    <definedName name="___a91310">#REF!</definedName>
    <definedName name="___a91320">#REF!</definedName>
    <definedName name="___a91330">#REF!</definedName>
    <definedName name="___a91340">#REF!</definedName>
    <definedName name="___a91350">#REF!</definedName>
    <definedName name="___a91710">#REF!</definedName>
    <definedName name="___a91720">#REF!</definedName>
    <definedName name="___a91730">#REF!</definedName>
    <definedName name="___a91740">#REF!</definedName>
    <definedName name="___a93100">#REF!</definedName>
    <definedName name="___a93200">#REF!</definedName>
    <definedName name="___a99340">#REF!</definedName>
    <definedName name="___a99350">#REF!</definedName>
    <definedName name="___ACT1">#REF!</definedName>
    <definedName name="___ACT2">#REF!</definedName>
    <definedName name="___ADJ1">#REF!</definedName>
    <definedName name="___ADJ2">#REF!</definedName>
    <definedName name="___ap110">#REF!</definedName>
    <definedName name="___B1">#REF!</definedName>
    <definedName name="___b90710">#REF!</definedName>
    <definedName name="___b90720">#REF!</definedName>
    <definedName name="___b90730">#REF!</definedName>
    <definedName name="___b90740">#REF!</definedName>
    <definedName name="___b95310">#REF!</definedName>
    <definedName name="___b95320">#REF!</definedName>
    <definedName name="___b95330">#REF!</definedName>
    <definedName name="___b95340">#REF!</definedName>
    <definedName name="___bs1">[6]Sheet3!$A$6:$I$46</definedName>
    <definedName name="___MAN1">#REF!</definedName>
    <definedName name="___OCT334">'[3]FF-3'!$1:$8</definedName>
    <definedName name="___p2">[0]!___p2</definedName>
    <definedName name="___P3">[4]cashflowcomp!$C$1:$J$67</definedName>
    <definedName name="___PL1">[6]NTFS_Taxation!$A$4:$I$30</definedName>
    <definedName name="___PL2">[6]NTFS_Taxation!$A$7:$Q$29</definedName>
    <definedName name="___PL3">[6]NTFS_Taxation!$A$57:$G$71</definedName>
    <definedName name="___PL5">[6]NTFS_Taxation!$A$6:$S$34</definedName>
    <definedName name="__a21420">#REF!</definedName>
    <definedName name="__a21430">#REF!</definedName>
    <definedName name="__a22220">#REF!</definedName>
    <definedName name="__a22241">#REF!</definedName>
    <definedName name="__a22242">#REF!</definedName>
    <definedName name="__a22260">#REF!</definedName>
    <definedName name="__a22270">#REF!</definedName>
    <definedName name="__a24385">#REF!</definedName>
    <definedName name="__a24391">#REF!</definedName>
    <definedName name="__a24392">#REF!</definedName>
    <definedName name="__a24393">#REF!</definedName>
    <definedName name="__a24394">#REF!</definedName>
    <definedName name="__a27120">#REF!</definedName>
    <definedName name="__a27150">#REF!</definedName>
    <definedName name="__a32320">#REF!</definedName>
    <definedName name="__a32730">#REF!</definedName>
    <definedName name="__a33130">#REF!</definedName>
    <definedName name="__a33140">#REF!</definedName>
    <definedName name="__a33160">#REF!</definedName>
    <definedName name="__a33170">#REF!</definedName>
    <definedName name="__a33190">#REF!</definedName>
    <definedName name="__a33210">#REF!</definedName>
    <definedName name="__a33230">#REF!</definedName>
    <definedName name="__a33240">#REF!</definedName>
    <definedName name="__a34010">#REF!</definedName>
    <definedName name="__a41230">#REF!</definedName>
    <definedName name="__a41240">#REF!</definedName>
    <definedName name="__a42781">#REF!</definedName>
    <definedName name="__a42782">#REF!</definedName>
    <definedName name="__a42783">#REF!</definedName>
    <definedName name="__A43220">#REF!</definedName>
    <definedName name="__a43230">#REF!</definedName>
    <definedName name="__a43260">#REF!</definedName>
    <definedName name="__a43270">#REF!</definedName>
    <definedName name="__a43320">#REF!</definedName>
    <definedName name="__a43330">#REF!</definedName>
    <definedName name="__a43360">#REF!</definedName>
    <definedName name="__a43370">#REF!</definedName>
    <definedName name="__a43530">#REF!</definedName>
    <definedName name="__a43540">#REF!</definedName>
    <definedName name="__a43560">#REF!</definedName>
    <definedName name="__a43570">#REF!</definedName>
    <definedName name="__a43630">#REF!</definedName>
    <definedName name="__a43640">#REF!</definedName>
    <definedName name="__a43660">#REF!</definedName>
    <definedName name="__a43670">#REF!</definedName>
    <definedName name="__a43730">#REF!</definedName>
    <definedName name="__a43750">#REF!</definedName>
    <definedName name="__a43760">#REF!</definedName>
    <definedName name="__a43770">#REF!</definedName>
    <definedName name="__a43780">#REF!</definedName>
    <definedName name="__a48610">#REF!</definedName>
    <definedName name="__a48611">#REF!</definedName>
    <definedName name="__a48620">#REF!</definedName>
    <definedName name="__a48621">#REF!</definedName>
    <definedName name="__a48781">#REF!</definedName>
    <definedName name="__a48782">#REF!</definedName>
    <definedName name="__a48783">#REF!</definedName>
    <definedName name="__a48784">#REF!</definedName>
    <definedName name="__a51530">#REF!</definedName>
    <definedName name="__a51560">#REF!</definedName>
    <definedName name="__a51620">#REF!</definedName>
    <definedName name="__a52010">#REF!</definedName>
    <definedName name="__a53110">#REF!</definedName>
    <definedName name="__a61430">#REF!</definedName>
    <definedName name="__a61470">#REF!</definedName>
    <definedName name="__a61620">#REF!</definedName>
    <definedName name="__a63110">#REF!</definedName>
    <definedName name="__a73310">#REF!</definedName>
    <definedName name="__a83175">#REF!</definedName>
    <definedName name="__a85160">#REF!</definedName>
    <definedName name="__a85250">#REF!</definedName>
    <definedName name="__a85510">#REF!</definedName>
    <definedName name="__a85520">#REF!</definedName>
    <definedName name="__a85530">#REF!</definedName>
    <definedName name="__a85540">#REF!</definedName>
    <definedName name="__a85550">#REF!</definedName>
    <definedName name="__a85570">#REF!</definedName>
    <definedName name="__a85580">#REF!</definedName>
    <definedName name="__a85590">#REF!</definedName>
    <definedName name="__a85611">#REF!</definedName>
    <definedName name="__a85621">#REF!</definedName>
    <definedName name="__a90300">#REF!</definedName>
    <definedName name="__a90400">#REF!</definedName>
    <definedName name="__a90510">#REF!</definedName>
    <definedName name="__a90520">#REF!</definedName>
    <definedName name="__a90530">#REF!</definedName>
    <definedName name="__a90540">#REF!</definedName>
    <definedName name="__a90610">#REF!</definedName>
    <definedName name="__a90620">#REF!</definedName>
    <definedName name="__a90630">#REF!</definedName>
    <definedName name="__a90640">#REF!</definedName>
    <definedName name="__a90710">#REF!</definedName>
    <definedName name="__a90720">#REF!</definedName>
    <definedName name="__a90730">#REF!</definedName>
    <definedName name="__a90740">#REF!</definedName>
    <definedName name="__a90810">#REF!</definedName>
    <definedName name="__a90820">#REF!</definedName>
    <definedName name="__a90830">#REF!</definedName>
    <definedName name="__a90840">#REF!</definedName>
    <definedName name="__a90910">#REF!</definedName>
    <definedName name="__a90920">#REF!</definedName>
    <definedName name="__a90930">#REF!</definedName>
    <definedName name="__a90940">#REF!</definedName>
    <definedName name="__a90950">#REF!</definedName>
    <definedName name="__a91310">#REF!</definedName>
    <definedName name="__a91320">#REF!</definedName>
    <definedName name="__a91330">#REF!</definedName>
    <definedName name="__a91340">#REF!</definedName>
    <definedName name="__a91350">#REF!</definedName>
    <definedName name="__a91710">#REF!</definedName>
    <definedName name="__a91720">#REF!</definedName>
    <definedName name="__a91730">#REF!</definedName>
    <definedName name="__a91740">#REF!</definedName>
    <definedName name="__a93100">#REF!</definedName>
    <definedName name="__a93200">#REF!</definedName>
    <definedName name="__a99340">#REF!</definedName>
    <definedName name="__a99350">#REF!</definedName>
    <definedName name="__ACT1">#REF!</definedName>
    <definedName name="__ACT2">#REF!</definedName>
    <definedName name="__ADJ1">#REF!</definedName>
    <definedName name="__ADJ2">#REF!</definedName>
    <definedName name="__ap110">#REF!</definedName>
    <definedName name="__B1">#REF!</definedName>
    <definedName name="__b90710">#REF!</definedName>
    <definedName name="__b90720">#REF!</definedName>
    <definedName name="__b90730">#REF!</definedName>
    <definedName name="__b90740">#REF!</definedName>
    <definedName name="__b95310">#REF!</definedName>
    <definedName name="__b95320">#REF!</definedName>
    <definedName name="__b95330">#REF!</definedName>
    <definedName name="__b95340">#REF!</definedName>
    <definedName name="__bs1">#REF!</definedName>
    <definedName name="__MAN1">#REF!</definedName>
    <definedName name="__OCT334">'[3]FF-3'!$1:$8</definedName>
    <definedName name="__p2">[0]!__p2</definedName>
    <definedName name="__P3">[4]cashflowcomp!$C$1:$J$67</definedName>
    <definedName name="__PL1">#REF!</definedName>
    <definedName name="__PL2">#REF!</definedName>
    <definedName name="__PL3">#REF!</definedName>
    <definedName name="__PL5">#REF!</definedName>
    <definedName name="_1_10_01">"$#REF!.$B$40:$E$40"</definedName>
    <definedName name="_1_8_01">"$#REF!.$B$25:$E$25"</definedName>
    <definedName name="_14_8_01">"$#REF!.$B$21:$E$21"</definedName>
    <definedName name="_16_4_01">"$#REF!.$B$6:$E$6"</definedName>
    <definedName name="_16_8_01">"$#REF!.$B$22:$E$22"</definedName>
    <definedName name="_17_10_01">"$#REF!.$B$36:$E$36"</definedName>
    <definedName name="_21_8_01">"$#REF!.$B$23:$E$23"</definedName>
    <definedName name="_22_10_01">"$#REF!.$B$37:$E$37"</definedName>
    <definedName name="_24_10_01">"$#REF!.$B$38:$E$38"</definedName>
    <definedName name="_26_7_01">"$#REF!.$B$12:$E$12"</definedName>
    <definedName name="_3_7_01">"$#REF!.$B$13:$E$13"</definedName>
    <definedName name="_30__09_01">"$#REF!.$B$32:$E$32"</definedName>
    <definedName name="_30_4_01">"$#REF!.$B$7:$E$7"</definedName>
    <definedName name="_30_6_01">"$#REF!.$B$8:$E$8"</definedName>
    <definedName name="_30_9_01">"$#REF!.$B$33:$E$33"</definedName>
    <definedName name="_31.1.94">#REF!</definedName>
    <definedName name="_31.1.95">#REF!</definedName>
    <definedName name="_31_10_01">"$#REF!.$B$39:$E$39"</definedName>
    <definedName name="_31_8_01">"$#REF!.$B$31:$E$31"</definedName>
    <definedName name="_8Excel_BuiltIn_Print_Area_28_1">#REF!</definedName>
    <definedName name="_a21420">#REF!</definedName>
    <definedName name="_a21430">#REF!</definedName>
    <definedName name="_a22220">#REF!</definedName>
    <definedName name="_a22241">#REF!</definedName>
    <definedName name="_a22242">#REF!</definedName>
    <definedName name="_a22260">#REF!</definedName>
    <definedName name="_a22270">#REF!</definedName>
    <definedName name="_a24385">#REF!</definedName>
    <definedName name="_a24391">#REF!</definedName>
    <definedName name="_a24392">#REF!</definedName>
    <definedName name="_a24393">#REF!</definedName>
    <definedName name="_a24394">#REF!</definedName>
    <definedName name="_a27120">#REF!</definedName>
    <definedName name="_a27150">#REF!</definedName>
    <definedName name="_a32320">#REF!</definedName>
    <definedName name="_a32730">#REF!</definedName>
    <definedName name="_a33130">#REF!</definedName>
    <definedName name="_a33140">#REF!</definedName>
    <definedName name="_a33160">#REF!</definedName>
    <definedName name="_a33170">#REF!</definedName>
    <definedName name="_a33190">#REF!</definedName>
    <definedName name="_a33210">#REF!</definedName>
    <definedName name="_a33230">#REF!</definedName>
    <definedName name="_a33240">#REF!</definedName>
    <definedName name="_a34010">#REF!</definedName>
    <definedName name="_a41230">#REF!</definedName>
    <definedName name="_a41240">#REF!</definedName>
    <definedName name="_a42781">#REF!</definedName>
    <definedName name="_a42782">#REF!</definedName>
    <definedName name="_a42783">#REF!</definedName>
    <definedName name="_A43220">#REF!</definedName>
    <definedName name="_a43230">#REF!</definedName>
    <definedName name="_a43260">#REF!</definedName>
    <definedName name="_a43270">#REF!</definedName>
    <definedName name="_a43320">#REF!</definedName>
    <definedName name="_a43330">#REF!</definedName>
    <definedName name="_a43360">#REF!</definedName>
    <definedName name="_a43370">#REF!</definedName>
    <definedName name="_a43530">#REF!</definedName>
    <definedName name="_a43540">#REF!</definedName>
    <definedName name="_a43560">#REF!</definedName>
    <definedName name="_a43570">#REF!</definedName>
    <definedName name="_a43630">#REF!</definedName>
    <definedName name="_a43640">#REF!</definedName>
    <definedName name="_a43660">#REF!</definedName>
    <definedName name="_a43670">#REF!</definedName>
    <definedName name="_a43730">#REF!</definedName>
    <definedName name="_a43750">#REF!</definedName>
    <definedName name="_a43760">#REF!</definedName>
    <definedName name="_a43770">#REF!</definedName>
    <definedName name="_a43780">#REF!</definedName>
    <definedName name="_a48610">#REF!</definedName>
    <definedName name="_a48611">#REF!</definedName>
    <definedName name="_a48620">#REF!</definedName>
    <definedName name="_a48621">#REF!</definedName>
    <definedName name="_a48781">#REF!</definedName>
    <definedName name="_a48782">#REF!</definedName>
    <definedName name="_a48783">#REF!</definedName>
    <definedName name="_a48784">#REF!</definedName>
    <definedName name="_a51530">#REF!</definedName>
    <definedName name="_a51560">#REF!</definedName>
    <definedName name="_a51620">#REF!</definedName>
    <definedName name="_a52010">#REF!</definedName>
    <definedName name="_a53110">#REF!</definedName>
    <definedName name="_a61430">#REF!</definedName>
    <definedName name="_a61470">#REF!</definedName>
    <definedName name="_a61620">#REF!</definedName>
    <definedName name="_a63110">#REF!</definedName>
    <definedName name="_a73310">#REF!</definedName>
    <definedName name="_a83175">#REF!</definedName>
    <definedName name="_a85160">#REF!</definedName>
    <definedName name="_a85250">#REF!</definedName>
    <definedName name="_a85510">#REF!</definedName>
    <definedName name="_a85520">#REF!</definedName>
    <definedName name="_a85530">#REF!</definedName>
    <definedName name="_a85540">#REF!</definedName>
    <definedName name="_a85550">#REF!</definedName>
    <definedName name="_a85570">#REF!</definedName>
    <definedName name="_a85580">#REF!</definedName>
    <definedName name="_a85590">#REF!</definedName>
    <definedName name="_a85611">#REF!</definedName>
    <definedName name="_a85621">#REF!</definedName>
    <definedName name="_a90300">#REF!</definedName>
    <definedName name="_a90400">#REF!</definedName>
    <definedName name="_a90510">#REF!</definedName>
    <definedName name="_a90520">#REF!</definedName>
    <definedName name="_a90530">#REF!</definedName>
    <definedName name="_a90540">#REF!</definedName>
    <definedName name="_a90610">#REF!</definedName>
    <definedName name="_a90620">#REF!</definedName>
    <definedName name="_a90630">#REF!</definedName>
    <definedName name="_a90640">#REF!</definedName>
    <definedName name="_a90710">#REF!</definedName>
    <definedName name="_a90720">#REF!</definedName>
    <definedName name="_a90730">#REF!</definedName>
    <definedName name="_a90740">#REF!</definedName>
    <definedName name="_a90810">#REF!</definedName>
    <definedName name="_a90820">#REF!</definedName>
    <definedName name="_a90830">#REF!</definedName>
    <definedName name="_a90840">#REF!</definedName>
    <definedName name="_a90910">#REF!</definedName>
    <definedName name="_a90920">#REF!</definedName>
    <definedName name="_a90930">#REF!</definedName>
    <definedName name="_a90940">#REF!</definedName>
    <definedName name="_a90950">#REF!</definedName>
    <definedName name="_a91310">#REF!</definedName>
    <definedName name="_a91320">#REF!</definedName>
    <definedName name="_a91330">#REF!</definedName>
    <definedName name="_a91340">#REF!</definedName>
    <definedName name="_a91350">#REF!</definedName>
    <definedName name="_a91710">#REF!</definedName>
    <definedName name="_a91720">#REF!</definedName>
    <definedName name="_a91730">#REF!</definedName>
    <definedName name="_a91740">#REF!</definedName>
    <definedName name="_a93100">#REF!</definedName>
    <definedName name="_a93200">#REF!</definedName>
    <definedName name="_a99340">#REF!</definedName>
    <definedName name="_a99350">#REF!</definedName>
    <definedName name="_ACT1">#REF!</definedName>
    <definedName name="_ACT2">#REF!</definedName>
    <definedName name="_ADJ1">#REF!</definedName>
    <definedName name="_ADJ2">#REF!</definedName>
    <definedName name="_ap110">#REF!</definedName>
    <definedName name="_B1">#REF!</definedName>
    <definedName name="_b90710">#REF!</definedName>
    <definedName name="_b90720">#REF!</definedName>
    <definedName name="_b90730">#REF!</definedName>
    <definedName name="_b90740">#REF!</definedName>
    <definedName name="_b95310">#REF!</definedName>
    <definedName name="_b95320">#REF!</definedName>
    <definedName name="_b95330">#REF!</definedName>
    <definedName name="_b95340">#REF!</definedName>
    <definedName name="_bs1">#REF!</definedName>
    <definedName name="_FS">[2]NTFS_Taxation!$G$31:$H$31</definedName>
    <definedName name="_Key1" hidden="1">'[7]F-1,F-3'!#REF!</definedName>
    <definedName name="_Key2" hidden="1">#REF!</definedName>
    <definedName name="_L">"$#REF!.$B$56"</definedName>
    <definedName name="_L_1">"$#REF!.$B$56"</definedName>
    <definedName name="_L_10">"$#REF!.$B$56"</definedName>
    <definedName name="_L_17">"$#REF!.$B$56"</definedName>
    <definedName name="_L_19">"$#REF!.$B$56"</definedName>
    <definedName name="_L_2">"$#REF!.$B$56"</definedName>
    <definedName name="_L_6">"$#REF!.$B$56"</definedName>
    <definedName name="_L_9">"$#REF!.$B$56"</definedName>
    <definedName name="_MAN1">#REF!</definedName>
    <definedName name="_OCT334">'[3]FF-3'!$1:$8</definedName>
    <definedName name="_Order1" hidden="1">255</definedName>
    <definedName name="_Order2" hidden="1">255</definedName>
    <definedName name="_p2">'[5]osm (2)'!_p2</definedName>
    <definedName name="_P3">[4]cashflowcomp!$C$1:$J$67</definedName>
    <definedName name="_PL1">#REF!</definedName>
    <definedName name="_PL2">#REF!</definedName>
    <definedName name="_PL3">#REF!</definedName>
    <definedName name="_PL5">#REF!</definedName>
    <definedName name="_Sort" hidden="1">'[7]F-1,F-3'!#REF!</definedName>
    <definedName name="_WCHR1.T1">#N/A</definedName>
    <definedName name="A">#REF!</definedName>
    <definedName name="A_C_Code__2220_Virsagi_Management">"$#REF!.$A$98:$E$1252"</definedName>
    <definedName name="A_C_Code__2270_H.O.R">"$#REF!.$A$219:$E$222"</definedName>
    <definedName name="A_C_Code__3400_Recoverable">"$#REF!.$A$240:$E$596"</definedName>
    <definedName name="A_C_Code__3402_Recoverable___TC">"$#REF!.$A$599:$E$605"</definedName>
    <definedName name="A_C_Code__4030_Partnership">"$#REF!.$A$224:$E$237"</definedName>
    <definedName name="A_C_Code__4100_Deposit_Received">"$#REF!.$A$607:$E$679"</definedName>
    <definedName name="A_C_Code_2060_Staff_Advance">"$#REF!.$B$5:$E$5"</definedName>
    <definedName name="A_DescriptionList">'[8]Interim --&gt; Top'!$E$3:$E$111</definedName>
    <definedName name="a12120_">#REF!</definedName>
    <definedName name="a12220_">#REF!</definedName>
    <definedName name="a12241_">#REF!</definedName>
    <definedName name="a12260_">#REF!</definedName>
    <definedName name="a12270_">#REF!</definedName>
    <definedName name="a13220_">#REF!</definedName>
    <definedName name="a13230_">#REF!</definedName>
    <definedName name="a13320_">#REF!</definedName>
    <definedName name="a13330_">#REF!</definedName>
    <definedName name="a13720_">#REF!</definedName>
    <definedName name="a13730_">#REF!</definedName>
    <definedName name="a13750_">#REF!</definedName>
    <definedName name="a13760_">#REF!</definedName>
    <definedName name="a13820_">#REF!</definedName>
    <definedName name="a13830_">#REF!</definedName>
    <definedName name="a13850_">#REF!</definedName>
    <definedName name="a13860_">#REF!</definedName>
    <definedName name="AA">#REF!</definedName>
    <definedName name="aaa">[9]gl!#REF!</definedName>
    <definedName name="AAClaim">#REF!</definedName>
    <definedName name="aba">#REF!</definedName>
    <definedName name="ABC">[10]Investment!$A$1:$O$71</definedName>
    <definedName name="Acc_Depreciation">#REF!</definedName>
    <definedName name="ACCOUNT">"'file:///F:/Documents and Settings/SHADOW/DOCS/CHEECHUNG/Book2.xls'#$Sheet3.$#REF!$#REF!"</definedName>
    <definedName name="ACTUALYTDCAPEXPD">"$#REF!.$AA$28"</definedName>
    <definedName name="ACTUALYTDDIREXP">"$#REF!.$AA$18"</definedName>
    <definedName name="ACTUALYTDEXP">"$#REF!.$AA$20"</definedName>
    <definedName name="ACTUALYTDGOP">"$#REF!.$AA$22"</definedName>
    <definedName name="ACTUALYTDINDIREXP">"$#REF!.$AA$19"</definedName>
    <definedName name="ACTUALYTDINT30M">"$#REF!.$AA$36"</definedName>
    <definedName name="ACTUALYTDINTLCH">"$#REF!.$AA$38"</definedName>
    <definedName name="ACTUALYTDNOP">"$#REF!.$AA$41"</definedName>
    <definedName name="ACTUALYTDOWNEXP">"$#REF!.$AA$32"</definedName>
    <definedName name="ACTUALYTDRENT">"$#REF!.$AA$27"</definedName>
    <definedName name="ACTUALYTDREV">"$#REF!.$AA$16"</definedName>
    <definedName name="Add_Less">'[11]1 LeadSchedule'!#REF!</definedName>
    <definedName name="AHPL_ACTINTREC">"$#REF!.$BF$39"</definedName>
    <definedName name="AHPL_ACTMISEXP">"$#REF!.$BF$46"</definedName>
    <definedName name="AHPL_ACTUALNP">"$#REF!.$BF$48"</definedName>
    <definedName name="AHPL_BGTINTREC">"$#REF!.$BG$39"</definedName>
    <definedName name="AHPL_BGTMISEXP">"$#REF!.$BG$46"</definedName>
    <definedName name="AHPL_BGTNP">"$#REF!.$BG$48"</definedName>
    <definedName name="ALLOT1">#REF!</definedName>
    <definedName name="ALLOT2">#REF!</definedName>
    <definedName name="AMT_DUE_TO_DIR">[2]NTFS_Taxation!$HT$8224</definedName>
    <definedName name="analysisde1">[12]gl!#REF!</definedName>
    <definedName name="analysisde2">[12]gl!#REF!</definedName>
    <definedName name="Annual_interest_rate">#REF!</definedName>
    <definedName name="Answer_D2">#REF!</definedName>
    <definedName name="Answer_D2.1">#REF!</definedName>
    <definedName name="Answer_E2">#REF!</definedName>
    <definedName name="Answer_E2.1">#REF!</definedName>
    <definedName name="Answer_E2_Range2">#REF!</definedName>
    <definedName name="Answer_F2">#REF!</definedName>
    <definedName name="Answer_F2.1">#REF!</definedName>
    <definedName name="Answer_F2_Range2">#REF!</definedName>
    <definedName name="Answer_F2_Range3">#REF!</definedName>
    <definedName name="Answer_G2">#REF!</definedName>
    <definedName name="Answer_G2.1">#REF!</definedName>
    <definedName name="Answer_H2">#REF!</definedName>
    <definedName name="Answer_H2.1">#REF!</definedName>
    <definedName name="Answer_H2_Range2">#REF!</definedName>
    <definedName name="Answer_I2">#REF!</definedName>
    <definedName name="Answer_I2.1">#REF!</definedName>
    <definedName name="Answer_I2_Range2">#REF!</definedName>
    <definedName name="Answer_I2_Range3">#REF!</definedName>
    <definedName name="Answer_I2_Range4">#REF!</definedName>
    <definedName name="Answer_J2">#REF!</definedName>
    <definedName name="Answer_J2.1">#REF!</definedName>
    <definedName name="Answer_J2_Range2">#REF!</definedName>
    <definedName name="Answer_J2_Range3">#REF!</definedName>
    <definedName name="Answer_J2_Range4">#REF!</definedName>
    <definedName name="Answer_k">#REF!</definedName>
    <definedName name="Answer_K2">#REF!</definedName>
    <definedName name="Answer_K2.1">#REF!</definedName>
    <definedName name="Answer_K2_Range2">#REF!</definedName>
    <definedName name="Answer_L2">#REF!</definedName>
    <definedName name="Answer_L2.1">#REF!</definedName>
    <definedName name="Answer_L2_Range2">#REF!</definedName>
    <definedName name="Answer_L2_Range3">#REF!</definedName>
    <definedName name="Answer_L2_Range4">#REF!</definedName>
    <definedName name="Answer_M2">#REF!</definedName>
    <definedName name="Answer_M2.1">#REF!</definedName>
    <definedName name="Answer_N2">#REF!</definedName>
    <definedName name="Answer_N2.1">#REF!</definedName>
    <definedName name="Answer_O2">#REF!</definedName>
    <definedName name="Answer_O2.1">#REF!</definedName>
    <definedName name="Answer_O2_Range2">#REF!</definedName>
    <definedName name="Answer_O2_Range3">#REF!</definedName>
    <definedName name="Answer_P2">#REF!</definedName>
    <definedName name="Answer_P2.1">#REF!</definedName>
    <definedName name="Answer_R2">#REF!</definedName>
    <definedName name="Answer_R2.1">#REF!</definedName>
    <definedName name="Answer_R2_Range2">#REF!</definedName>
    <definedName name="Answer_R2_Range3">#REF!</definedName>
    <definedName name="Answer_R2_Range4">#REF!</definedName>
    <definedName name="Answer_S2">#REF!</definedName>
    <definedName name="Answer_T2">#REF!</definedName>
    <definedName name="Answer_T2.1">#REF!</definedName>
    <definedName name="Answer_U2">#REF!</definedName>
    <definedName name="Answer_U2.1">#REF!</definedName>
    <definedName name="Answer_V2">#REF!</definedName>
    <definedName name="APM_DPL">"'file:///F:/Documents and Settings/SHADOW/DOCS/CHEECHUNG/Book2.xls'#$_REF.$#REF!$#REF!"</definedName>
    <definedName name="appendix1">[12]gl!#REF!</definedName>
    <definedName name="appendix2_1">[12]gl!#REF!</definedName>
    <definedName name="appendix2_2">[12]gl!#REF!</definedName>
    <definedName name="asb">#REF!</definedName>
    <definedName name="asd">'[13]Breakdown (1)'!#REF!</definedName>
    <definedName name="asdf">'[13]Breakdown (1)'!#REF!</definedName>
    <definedName name="ASJ">#REF!</definedName>
    <definedName name="AskToRefreshProgrammesOnSave">FALSE</definedName>
    <definedName name="ATopicSelected">#REF!</definedName>
    <definedName name="ATopicSelected_No">#REF!</definedName>
    <definedName name="ATopicSelected_Yes">#REF!</definedName>
    <definedName name="auditor">"'file:///F:/Documents and Settings/SHADOW/DOCS/CHEECHUNG/Book2.xls'#$nta_fa_company.$#REF!$#REF!"</definedName>
    <definedName name="avg_bugt_mth">"$#REF!.$C$38"</definedName>
    <definedName name="avg_bugt_mth_1">"$#REF!.$C$38"</definedName>
    <definedName name="avg_bugt_mth_10">"$#REF!.$C$38"</definedName>
    <definedName name="avg_bugt_mth_17">"$#REF!.$C$38"</definedName>
    <definedName name="avg_bugt_mth_19">"$#REF!.$C$38"</definedName>
    <definedName name="avg_bugt_mth_2">"$#REF!.$C$38"</definedName>
    <definedName name="avg_bugt_mth_6">"$#REF!.$C$38"</definedName>
    <definedName name="avg_bugt_mth_9">"$#REF!.$C$38"</definedName>
    <definedName name="avg_bugtoccu_ytd">"$#REF!.$K$38"</definedName>
    <definedName name="avg_bugtoccu_ytd_1">"$#REF!.$K$38"</definedName>
    <definedName name="avg_bugtoccu_ytd_10">"$#REF!.$K$38"</definedName>
    <definedName name="avg_bugtoccu_ytd_17">"$#REF!.$K$38"</definedName>
    <definedName name="avg_bugtoccu_ytd_19">"$#REF!.$K$38"</definedName>
    <definedName name="avg_bugtoccu_ytd_2">"$#REF!.$K$38"</definedName>
    <definedName name="avg_bugtoccu_ytd_6">"$#REF!.$K$38"</definedName>
    <definedName name="avg_bugtoccu_ytd_9">"$#REF!.$K$38"</definedName>
    <definedName name="avg_bugtroom_mth">"$#REF!.$E$38"</definedName>
    <definedName name="avg_bugtroom_mth_1">"$#REF!.$E$38"</definedName>
    <definedName name="avg_bugtroom_mth_10">"$#REF!.$E$38"</definedName>
    <definedName name="avg_bugtroom_mth_17">"$#REF!.$E$38"</definedName>
    <definedName name="avg_bugtroom_mth_19">"$#REF!.$E$38"</definedName>
    <definedName name="avg_bugtroom_mth_2">"$#REF!.$E$38"</definedName>
    <definedName name="avg_bugtroom_mth_6">"$#REF!.$E$38"</definedName>
    <definedName name="avg_bugtroom_mth_9">"$#REF!.$E$38"</definedName>
    <definedName name="avg_bugtroom_ytd">"$#REF!.$M$38"</definedName>
    <definedName name="avg_bugtroom_ytd_1">"$#REF!.$M$38"</definedName>
    <definedName name="avg_bugtroom_ytd_10">"$#REF!.$M$38"</definedName>
    <definedName name="avg_bugtroom_ytd_17">"$#REF!.$M$38"</definedName>
    <definedName name="avg_bugtroom_ytd_19">"$#REF!.$M$38"</definedName>
    <definedName name="avg_bugtroom_ytd_2">"$#REF!.$M$38"</definedName>
    <definedName name="avg_bugtroom_ytd_6">"$#REF!.$M$38"</definedName>
    <definedName name="avg_bugtroom_ytd_9">"$#REF!.$M$38"</definedName>
    <definedName name="avg_occu_mth">"$#REF!.$B$38"</definedName>
    <definedName name="avg_occu_mth_1">"$#REF!.$B$38"</definedName>
    <definedName name="avg_occu_mth_10">"$#REF!.$B$38"</definedName>
    <definedName name="avg_occu_mth_17">"$#REF!.$B$38"</definedName>
    <definedName name="avg_occu_mth_19">"$#REF!.$B$38"</definedName>
    <definedName name="avg_occu_mth_2">"$#REF!.$B$38"</definedName>
    <definedName name="avg_occu_mth_6">"$#REF!.$B$38"</definedName>
    <definedName name="avg_occu_mth_9">"$#REF!.$B$38"</definedName>
    <definedName name="avg_occu_ytd">"$#REF!.$J$38"</definedName>
    <definedName name="avg_occu_ytd_1">"$#REF!.$J$38"</definedName>
    <definedName name="avg_occu_ytd_10">"$#REF!.$J$38"</definedName>
    <definedName name="avg_occu_ytd_17">"$#REF!.$J$38"</definedName>
    <definedName name="avg_occu_ytd_19">"$#REF!.$J$38"</definedName>
    <definedName name="avg_occu_ytd_2">"$#REF!.$J$38"</definedName>
    <definedName name="avg_occu_ytd_6">"$#REF!.$J$38"</definedName>
    <definedName name="avg_occu_ytd_9">"$#REF!.$J$38"</definedName>
    <definedName name="avg_room_mth">"$#REF!.$D$38"</definedName>
    <definedName name="avg_room_mth_1">"$#REF!.$D$38"</definedName>
    <definedName name="avg_room_mth_10">"$#REF!.$D$38"</definedName>
    <definedName name="avg_room_mth_17">"$#REF!.$D$38"</definedName>
    <definedName name="avg_room_mth_19">"$#REF!.$D$38"</definedName>
    <definedName name="avg_room_mth_2">"$#REF!.$D$38"</definedName>
    <definedName name="avg_room_mth_6">"$#REF!.$D$38"</definedName>
    <definedName name="avg_room_mth_9">"$#REF!.$D$38"</definedName>
    <definedName name="avg_room_ytd">"$#REF!.$L$38"</definedName>
    <definedName name="avg_room_ytd_1">"$#REF!.$L$38"</definedName>
    <definedName name="avg_room_ytd_10">"$#REF!.$L$38"</definedName>
    <definedName name="avg_room_ytd_17">"$#REF!.$L$38"</definedName>
    <definedName name="avg_room_ytd_19">"$#REF!.$L$38"</definedName>
    <definedName name="avg_room_ytd_2">"$#REF!.$L$38"</definedName>
    <definedName name="avg_room_ytd_6">"$#REF!.$L$38"</definedName>
    <definedName name="avg_room_ytd_9">"$#REF!.$L$38"</definedName>
    <definedName name="AVGK_BUGT_MTH">"'file:///F:/MGMTACC/HOTELS/PERTH/99OBPAH.XLS'#$RATE99.$#REF!$#REF!"</definedName>
    <definedName name="AVGK_BUGT_MTH_1">"'file:///J:/MGMTACC/HOTELS/PERTH/99OBPAH.XLS'#$RATE99.$#REF!$#REF!"</definedName>
    <definedName name="AVGK_BUGT_MTH_2">"'file:///J:/MGMTACC/HOTELS/PERTH/99OBPAH.XLS'#$RATE99.$#REF!$#REF!"</definedName>
    <definedName name="AVGK_BUGT_MTH_6">"'file:///E:/MGMTACC/HOTELS/PERTH/99OBPAH.XLS'#$RATE99.$#REF!$#REF!"</definedName>
    <definedName name="AVGK_BUGT_MTH_9">"'file:///E:/MGMTACC/HOTELS/PERTH/99OBPAH.XLS'#$RATE99.$#REF!$#REF!"</definedName>
    <definedName name="AVGK_BUGTOCCU_YTD">"'file:///F:/MGMTACC/HOTELS/PERTH/99OBPAH.XLS'#$RATE99.$#REF!$#REF!"</definedName>
    <definedName name="AVGK_BUGTOCCU_YTD_1">"'file:///J:/MGMTACC/HOTELS/PERTH/99OBPAH.XLS'#$RATE99.$#REF!$#REF!"</definedName>
    <definedName name="AVGK_BUGTOCCU_YTD_2">"'file:///J:/MGMTACC/HOTELS/PERTH/99OBPAH.XLS'#$RATE99.$#REF!$#REF!"</definedName>
    <definedName name="AVGK_BUGTOCCU_YTD_6">"'file:///E:/MGMTACC/HOTELS/PERTH/99OBPAH.XLS'#$RATE99.$#REF!$#REF!"</definedName>
    <definedName name="AVGK_BUGTOCCU_YTD_9">"'file:///E:/MGMTACC/HOTELS/PERTH/99OBPAH.XLS'#$RATE99.$#REF!$#REF!"</definedName>
    <definedName name="AVGK_BUGTROOM_MTH">"'file:///F:/MGMTACC/HOTELS/PERTH/99OBPAH.XLS'#$RATE99.$#REF!$#REF!"</definedName>
    <definedName name="AVGK_BUGTROOM_MTH_1">"'file:///J:/MGMTACC/HOTELS/PERTH/99OBPAH.XLS'#$RATE99.$#REF!$#REF!"</definedName>
    <definedName name="AVGK_BUGTROOM_MTH_2">"'file:///J:/MGMTACC/HOTELS/PERTH/99OBPAH.XLS'#$RATE99.$#REF!$#REF!"</definedName>
    <definedName name="AVGK_BUGTROOM_MTH_6">"'file:///E:/MGMTACC/HOTELS/PERTH/99OBPAH.XLS'#$RATE99.$#REF!$#REF!"</definedName>
    <definedName name="AVGK_BUGTROOM_MTH_9">"'file:///E:/MGMTACC/HOTELS/PERTH/99OBPAH.XLS'#$RATE99.$#REF!$#REF!"</definedName>
    <definedName name="AVGK_BUGTROOM_YTD">"'file:///F:/MGMTACC/HOTELS/PERTH/99OBPAH.XLS'#$RATE99.$#REF!$#REF!"</definedName>
    <definedName name="AVGK_BUGTROOM_YTD_1">"'file:///J:/MGMTACC/HOTELS/PERTH/99OBPAH.XLS'#$RATE99.$#REF!$#REF!"</definedName>
    <definedName name="AVGK_BUGTROOM_YTD_2">"'file:///J:/MGMTACC/HOTELS/PERTH/99OBPAH.XLS'#$RATE99.$#REF!$#REF!"</definedName>
    <definedName name="AVGK_BUGTROOM_YTD_6">"'file:///E:/MGMTACC/HOTELS/PERTH/99OBPAH.XLS'#$RATE99.$#REF!$#REF!"</definedName>
    <definedName name="AVGK_BUGTROOM_YTD_9">"'file:///E:/MGMTACC/HOTELS/PERTH/99OBPAH.XLS'#$RATE99.$#REF!$#REF!"</definedName>
    <definedName name="AVGK_OCCU_MTH">"'file:///F:/MGMTACC/HOTELS/PERTH/99OBPAH.XLS'#$RATE99.$#REF!$#REF!"</definedName>
    <definedName name="AVGK_OCCU_MTH_1">"'file:///J:/MGMTACC/HOTELS/PERTH/99OBPAH.XLS'#$RATE99.$#REF!$#REF!"</definedName>
    <definedName name="AVGK_OCCU_MTH_2">"'file:///J:/MGMTACC/HOTELS/PERTH/99OBPAH.XLS'#$RATE99.$#REF!$#REF!"</definedName>
    <definedName name="AVGK_OCCU_MTH_6">"'file:///E:/MGMTACC/HOTELS/PERTH/99OBPAH.XLS'#$RATE99.$#REF!$#REF!"</definedName>
    <definedName name="AVGK_OCCU_MTH_9">"'file:///E:/MGMTACC/HOTELS/PERTH/99OBPAH.XLS'#$RATE99.$#REF!$#REF!"</definedName>
    <definedName name="AVGK_OCCU_YTD">"'file:///F:/MGMTACC/HOTELS/PERTH/99OBPAH.XLS'#$RATE99.$#REF!$#REF!"</definedName>
    <definedName name="AVGK_OCCU_YTD_1">"'file:///J:/MGMTACC/HOTELS/PERTH/99OBPAH.XLS'#$RATE99.$#REF!$#REF!"</definedName>
    <definedName name="AVGK_OCCU_YTD_2">"'file:///J:/MGMTACC/HOTELS/PERTH/99OBPAH.XLS'#$RATE99.$#REF!$#REF!"</definedName>
    <definedName name="AVGK_OCCU_YTD_6">"'file:///E:/MGMTACC/HOTELS/PERTH/99OBPAH.XLS'#$RATE99.$#REF!$#REF!"</definedName>
    <definedName name="AVGK_OCCU_YTD_9">"'file:///E:/MGMTACC/HOTELS/PERTH/99OBPAH.XLS'#$RATE99.$#REF!$#REF!"</definedName>
    <definedName name="AVGK_ROOM_MTH">"'file:///F:/MGMTACC/HOTELS/PERTH/99OBPAH.XLS'#$RATE99.$#REF!$#REF!"</definedName>
    <definedName name="AVGK_ROOM_MTH_1">"'file:///J:/MGMTACC/HOTELS/PERTH/99OBPAH.XLS'#$RATE99.$#REF!$#REF!"</definedName>
    <definedName name="AVGK_ROOM_MTH_2">"'file:///J:/MGMTACC/HOTELS/PERTH/99OBPAH.XLS'#$RATE99.$#REF!$#REF!"</definedName>
    <definedName name="AVGK_ROOM_MTH_6">"'file:///E:/MGMTACC/HOTELS/PERTH/99OBPAH.XLS'#$RATE99.$#REF!$#REF!"</definedName>
    <definedName name="AVGK_ROOM_MTH_9">"'file:///E:/MGMTACC/HOTELS/PERTH/99OBPAH.XLS'#$RATE99.$#REF!$#REF!"</definedName>
    <definedName name="AVGK_ROOM_YTD">"'file:///F:/MGMTACC/HOTELS/PERTH/99OBPAH.XLS'#$RATE99.$#REF!$#REF!"</definedName>
    <definedName name="AVGK_ROOM_YTD_1">"'file:///J:/MGMTACC/HOTELS/PERTH/99OBPAH.XLS'#$RATE99.$#REF!$#REF!"</definedName>
    <definedName name="AVGK_ROOM_YTD_2">"'file:///J:/MGMTACC/HOTELS/PERTH/99OBPAH.XLS'#$RATE99.$#REF!$#REF!"</definedName>
    <definedName name="AVGK_ROOM_YTD_6">"'file:///E:/MGMTACC/HOTELS/PERTH/99OBPAH.XLS'#$RATE99.$#REF!$#REF!"</definedName>
    <definedName name="AVGK_ROOM_YTD_9">"'file:///E:/MGMTACC/HOTELS/PERTH/99OBPAH.XLS'#$RATE99.$#REF!$#REF!"</definedName>
    <definedName name="awps">'[14]FF-6'!$A$5:$K$9</definedName>
    <definedName name="axc">#REF!</definedName>
    <definedName name="B">#REF!</definedName>
    <definedName name="b95310_">#REF!</definedName>
    <definedName name="b95320_">#REF!</definedName>
    <definedName name="b95330_">#REF!</definedName>
    <definedName name="b95340_">#REF!</definedName>
    <definedName name="ba">#REF!</definedName>
    <definedName name="BAClaim">#REF!</definedName>
    <definedName name="Basis_end">'[11]1 LeadSchedule'!#REF!</definedName>
    <definedName name="Basis_start">#REF!</definedName>
    <definedName name="BBB">'[15]5 Analysis'!#REF!</definedName>
    <definedName name="BC">#REF!</definedName>
    <definedName name="BCClaim">#REF!</definedName>
    <definedName name="BCD">[10]Investment!$A$1:$O$47</definedName>
    <definedName name="BGTYTDCAPEXPD">"$#REF!.$AB$28"</definedName>
    <definedName name="BGTYTDDIREXP">"$#REF!.$AB$18"</definedName>
    <definedName name="BGTYTDEXP">"$#REF!.$AB$20"</definedName>
    <definedName name="BGTYTDGOP">"$#REF!.$AB$22"</definedName>
    <definedName name="BGTYTDINDIREXP">"$#REF!.$AB$19"</definedName>
    <definedName name="BGTYTDINT30M">"$#REF!.$AB$36"</definedName>
    <definedName name="BGTYTDINTLCH">"$#REF!.$AB$38"</definedName>
    <definedName name="BGTYTDNOP">"$#REF!.$AB$41"</definedName>
    <definedName name="BGTYTDOWNEXP">"$#REF!.$AB$32"</definedName>
    <definedName name="BGTYTDRENT">"$#REF!.$AB$27"</definedName>
    <definedName name="BGTYTDREV">"$#REF!.$AB$16"</definedName>
    <definedName name="ca">#REF!</definedName>
    <definedName name="Cash_Flow">"$#REF!.$B$182:$K$182"</definedName>
    <definedName name="Cash_Flow_Statement">[2]DPL2!$A$9:$I$48</definedName>
    <definedName name="cash_flow1">"$#REF!.$B$182:$K$182"</definedName>
    <definedName name="Category">"$#REF!.$E$2:$E$20"</definedName>
    <definedName name="Category_1">"$#REF!.$E$2:$E$20"</definedName>
    <definedName name="Category_10">"$#REF!.$E$2:$E$20"</definedName>
    <definedName name="Category_17">"$#REF!.$E$2:$E$20"</definedName>
    <definedName name="Category_19">"$#REF!.$E$2:$E$20"</definedName>
    <definedName name="Category_2">"$#REF!.$E$2:$E$20"</definedName>
    <definedName name="Category_6">"$#REF!.$E$2:$E$20"</definedName>
    <definedName name="Category_9">"$#REF!.$E$2:$E$20"</definedName>
    <definedName name="CATotals">#REF!</definedName>
    <definedName name="ccc">"$#REF!.$AC$27"</definedName>
    <definedName name="ccsa">"$#REF!.$A$1:$D$5"</definedName>
    <definedName name="cde">#REF!</definedName>
    <definedName name="cf_1b">"$#REF!.$B$91"</definedName>
    <definedName name="cf_1c">"$#REF!.$C$91"</definedName>
    <definedName name="cf_1d">"$#REF!.$D$91"</definedName>
    <definedName name="cf_2">"$#REF!.$E$91"</definedName>
    <definedName name="cfc_1b">"$#REF!.$B$72"</definedName>
    <definedName name="cfc_1c">"$#REF!.$C$72"</definedName>
    <definedName name="cfc_1d">"$#REF!.$D$72"</definedName>
    <definedName name="cfc_2">"$#REF!.$E$72"</definedName>
    <definedName name="cfp_1b">"$#REF!.$B$74"</definedName>
    <definedName name="cfp_1c">"$#REF!.$C$74"</definedName>
    <definedName name="cfp_1d">"$#REF!.$D$74"</definedName>
    <definedName name="cfp_2">"$#REF!.$E$74"</definedName>
    <definedName name="cfpc_1b">"$#REF!.$B$81"</definedName>
    <definedName name="cfpi_1b">"$#REF!.$B$82"</definedName>
    <definedName name="cfpi_1c">"$#REF!.$C$82"</definedName>
    <definedName name="cfpi_1d">"$#REF!.$D$82"</definedName>
    <definedName name="cfpi_2">"$#REF!.$E$82"</definedName>
    <definedName name="cfpm_1b">"$#REF!.$B$86"</definedName>
    <definedName name="cfpm_1c">"$#REF!.$C$86"</definedName>
    <definedName name="cfpm_1d">"$#REF!.$D$86"</definedName>
    <definedName name="cfpm_2">"$#REF!.$E$86"</definedName>
    <definedName name="cfpo_1b">"$#REF!.$B$81"</definedName>
    <definedName name="cfpo_1c">"$#REF!.$C$81"</definedName>
    <definedName name="cfpo_1d">"$#REF!.$D$81"</definedName>
    <definedName name="cfpo_2">"$#REF!.$E$81"</definedName>
    <definedName name="cfpp_1b">"$#REF!.$B$83"</definedName>
    <definedName name="cfpp_1c">"$#REF!.$C$83"</definedName>
    <definedName name="cfpp_1d">"$#REF!.$D$83"</definedName>
    <definedName name="cfpp_2">"$#REF!.$E$83"</definedName>
    <definedName name="cfr_1b">"$#REF!.$B$76"</definedName>
    <definedName name="cfr_1c">"$#REF!.$C$76"</definedName>
    <definedName name="cfr_1d">"$#REF!.$D$76"</definedName>
    <definedName name="cfr_2">"$#REF!.$E$76"</definedName>
    <definedName name="Chargeabl">'[16]FF-1'!#REF!</definedName>
    <definedName name="Chargeable">'[17]1 LeadSchedule'!#REF!</definedName>
    <definedName name="Chargeable___0">[18]FF_2!#REF!</definedName>
    <definedName name="Chargeable___44">[18]FF_2!#REF!</definedName>
    <definedName name="Chargeable___77">[18]FF_2!#REF!</definedName>
    <definedName name="Chg_In_Eqt">"$#REF!.$A$7:$J$41"</definedName>
    <definedName name="Client_FileNo">#REF!</definedName>
    <definedName name="Client_FileNo_Desc">#REF!</definedName>
    <definedName name="Client_Name">#REF!</definedName>
    <definedName name="Client_Name_Desc">#REF!</definedName>
    <definedName name="Client_YearEnd">#REF!</definedName>
    <definedName name="Client_YearEnd_Desc">#REF!</definedName>
    <definedName name="cm_emploi_abc_adm">"$#REF!.$B$16"</definedName>
    <definedName name="cm_emploi_abc_deplacement">"$#REF!.$B$14"</definedName>
    <definedName name="cm_emploi_ismap_adm">"$#REF!.$B$11"</definedName>
    <definedName name="cm_emploi_ismap_deplacement">"$#REF!.$B$10"</definedName>
    <definedName name="Co_name">#REF!</definedName>
    <definedName name="COMMITMENTS">#N/A</definedName>
    <definedName name="CONSOL_JNL">#N/A</definedName>
    <definedName name="CONTINGENCY">#N/A</definedName>
    <definedName name="CONTROL">#N/A</definedName>
    <definedName name="Cost">#REF!</definedName>
    <definedName name="Count3">#REF!</definedName>
    <definedName name="cout_1_plan_papier">"$#REF!.$B$16"</definedName>
    <definedName name="Coy_cel">#REF!</definedName>
    <definedName name="Coy_cell">#REF!</definedName>
    <definedName name="Coy_name">#REF!</definedName>
    <definedName name="CR">[19]APCODE!$A$3:$B$65536</definedName>
    <definedName name="creditor">#REF!</definedName>
    <definedName name="CREDITORS">#REF!</definedName>
    <definedName name="_xlnm.Criteria">#REF!</definedName>
    <definedName name="CROK">[19]APCODE!$B$3:$C$602</definedName>
    <definedName name="CTTotals">#REF!</definedName>
    <definedName name="CurrentYA">'[20]Company Info'!$B$6</definedName>
    <definedName name="CurrYA">'[20]CA Comp'!#REF!</definedName>
    <definedName name="cv_1b">"$#REF!.$B$92"</definedName>
    <definedName name="cv_1c">"$#REF!.$C$92"</definedName>
    <definedName name="cv_1d">"$#REF!.$D$92"</definedName>
    <definedName name="cv_2">"$#REF!.$E$92"</definedName>
    <definedName name="cvc_1b">"$#REF!.$B$73"</definedName>
    <definedName name="cvc_1c">"$#REF!.$C$73"</definedName>
    <definedName name="cvc_1d">"$#REF!.$D$73"</definedName>
    <definedName name="cvc_2">"$#REF!.$E$73"</definedName>
    <definedName name="cvp_1b">"$#REF!.$B$75"</definedName>
    <definedName name="cvp_1c">"$#REF!.$C$75"</definedName>
    <definedName name="cvp_1d">"$#REF!.$D$75"</definedName>
    <definedName name="cvp_1v">"$#REF!.$C$75"</definedName>
    <definedName name="cvp_2">"$#REF!.$E$75"</definedName>
    <definedName name="cvr_1b">"$#REF!.$B$77"</definedName>
    <definedName name="cvr_1c">"$#REF!.$C$77"</definedName>
    <definedName name="cvr_1d">"$#REF!.$D$77"</definedName>
    <definedName name="cvr_2">"$#REF!.$E$77"</definedName>
    <definedName name="d">[21]ca!#REF!</definedName>
    <definedName name="Data">#REF!</definedName>
    <definedName name="_xlnm.Database">#REF!</definedName>
    <definedName name="Date">#REF!</definedName>
    <definedName name="depn">"'file:///F:/Documents and Settings/SHADOW/DOCS/CHEECHUNG/Book2.xls'#$nta_fa_company.$#REF!$#REF!"</definedName>
    <definedName name="DEPNýAIR_CON">"'file:///F:/Documents and Settings/SHADOW/DOCS/CHEECHUNG/Book2.xls'#$NTFS_Taxation.$#REF!$#REF!"</definedName>
    <definedName name="DEPRECIATION">"'file:///F:/Documents and Settings/SHADOW/DOCS/CHEECHUNG/Book2.xls'#$Equity.$#REF!$#REF!"</definedName>
    <definedName name="DEXP">"'file:///F:/Documents and Settings/SHADOW/DOCS/CHEECHUNG/Book2.xls'#$Sheet3.$#REF!$#REF!"</definedName>
    <definedName name="DFA">"'file:///F:/Documents and Settings/SHADOW/DOCS/CHEECHUNG/Book2.xls'#$Sheet3.$#REF!$#REF!"</definedName>
    <definedName name="dfd">'[22]FF-3'!$A$9:$K$11</definedName>
    <definedName name="DIRECTOR_SHARE">"'file:///F:/Documents and Settings/SHADOW/DOCS/CHEECHUNG/Book2.xls'#$Sheet3.$#REF!$#REF!"</definedName>
    <definedName name="DisposalTotals">#REF!</definedName>
    <definedName name="DPL">"'file:///F:/Documents and Settings/SHADOW/DOCS/CHEECHUNG/Book2.xls'#$Sheet3.$#REF!$#REF!"</definedName>
    <definedName name="DR_Accounts">"$#REF!.$A$1:$E$4"</definedName>
    <definedName name="DR_deemed_int">[2]NTFS_Taxation!$A$5:$J$13</definedName>
    <definedName name="DR_dir_shareholding">"'file:///F:/Documents and Settings/SHADOW/DOCS/CHEECHUNG/Book2.xls'#$'PL _ APM'.$#REF!$#REF!"</definedName>
    <definedName name="DR_DIRECTORS_DEEMED_INTEREST">[2]NTFS_Taxation!$A$1:$J$23</definedName>
    <definedName name="DR_DIRECTORS_DEEMED_INTEREST_IN_SHARES">[2]NTFS_Taxation!$A$1:$L$16</definedName>
    <definedName name="DR_DirIntSub">"$#REF!.$A$4:$M$26"</definedName>
    <definedName name="DR_results">"$#REF!.$A$6:$G$11"</definedName>
    <definedName name="DR_Shares_held_by_director">[2]NTFS_Taxation!$A$2:$L$11</definedName>
    <definedName name="DSC">"'file:///F:/Documents and Settings/SHADOW/DOCS/CHEECHUNG/Book2.xls'#$Sheet3.$#REF!$#REF!"</definedName>
    <definedName name="E">#REF!</definedName>
    <definedName name="E2_Range2">#REF!</definedName>
    <definedName name="Earliest_Month">"'file:///K:/REVBGT/P&amp;L99/HOT_REV/LCT.XLS'#$MTHR99.$#REF!$#REF!"</definedName>
    <definedName name="EEEE">[23]!EEEE</definedName>
    <definedName name="equity_22">'[2]APM _ DPL'!$A$7:$P$21</definedName>
    <definedName name="Excel_BuiltIn_Database">"$#REF!.$A$5:$AD$48"</definedName>
    <definedName name="Excel_BuiltIn_Database_1">"$#REF!.$A$5:$AD$48"</definedName>
    <definedName name="Excel_BuiltIn_Database_10">"$#REF!.$A$5:$AD$48"</definedName>
    <definedName name="Excel_BuiltIn_Database_17">"$#REF!.$A$5:$AD$48"</definedName>
    <definedName name="Excel_BuiltIn_Database_19">"$#REF!.$A$5:$AD$48"</definedName>
    <definedName name="Excel_BuiltIn_Database_2">"$#REF!.$A$5:$AD$48"</definedName>
    <definedName name="Excel_BuiltIn_Database_6">"$#REF!.$A$5:$AD$48"</definedName>
    <definedName name="Excel_BuiltIn_Database_9">"$#REF!.$A$5:$AD$48"</definedName>
    <definedName name="Excel_BuiltIn_Print_Area_1">#REF!</definedName>
    <definedName name="Excel_BuiltIn_Print_Area_12">#REF!</definedName>
    <definedName name="Excel_BuiltIn_Print_Area_2">#REF!</definedName>
    <definedName name="Excel_BuiltIn_Print_Area_29">#REF!</definedName>
    <definedName name="Excel_BuiltIn_Print_Area_34">#REF!</definedName>
    <definedName name="Excel_BuiltIn_Print_Titles_11">#REF!</definedName>
    <definedName name="Excel_BuiltIn_Print_Titles_32">#REF!</definedName>
    <definedName name="EXPORT1">[0]!EXPORT1</definedName>
    <definedName name="EXPORT2">[0]!EXPORT2</definedName>
    <definedName name="exps">"'file:///F:/Documents and Settings/SHADOW/DOCS/CHEECHUNG/Book2.xls'#$nta_fa_company.$#REF!$#REF!"</definedName>
    <definedName name="_xlnm.Extract">#REF!</definedName>
    <definedName name="F2_Range2">#REF!</definedName>
    <definedName name="F2_Range3">#REF!</definedName>
    <definedName name="FA">[24]BPR!$F$11</definedName>
    <definedName name="facteur_frais_personnel">"$#REF!.$B$2"</definedName>
    <definedName name="facteur_frais_personnel_abc">"$#REF!.$#REF!$#REF!"</definedName>
    <definedName name="fdf">"$#REF!.$A$2:$N$32"</definedName>
    <definedName name="FF">#REF!</definedName>
    <definedName name="FileName">#REF!</definedName>
    <definedName name="FINACC">#REF!</definedName>
    <definedName name="First_payment_due">#REF!</definedName>
    <definedName name="FmlAA">#REF!</definedName>
    <definedName name="FmlBA">#REF!</definedName>
    <definedName name="FmlBC">#REF!</definedName>
    <definedName name="FmlIA">#REF!</definedName>
    <definedName name="FmlQECF">#REF!</definedName>
    <definedName name="FmlREAddition">#REF!</definedName>
    <definedName name="FmlRECF">#REF!</definedName>
    <definedName name="FmlREDisposal">#REF!</definedName>
    <definedName name="FmlRETotal">#REF!</definedName>
    <definedName name="form07acm">#REF!</definedName>
    <definedName name="form07apm">#REF!</definedName>
    <definedName name="form07apy">#REF!</definedName>
    <definedName name="form07bcm">#REF!</definedName>
    <definedName name="form07bpm">#REF!</definedName>
    <definedName name="form07bpy">#REF!</definedName>
    <definedName name="form07ccm">#REF!</definedName>
    <definedName name="form07cm">#REF!</definedName>
    <definedName name="form07cpm">#REF!</definedName>
    <definedName name="form07cpy">#REF!</definedName>
    <definedName name="form07hcm">#REF!</definedName>
    <definedName name="form07hpm">#REF!</definedName>
    <definedName name="form07hpy">#REF!</definedName>
    <definedName name="form07pm">#REF!</definedName>
    <definedName name="form07py">#REF!</definedName>
    <definedName name="form08acm">#REF!</definedName>
    <definedName name="form08apm">#REF!</definedName>
    <definedName name="form08apy">#REF!</definedName>
    <definedName name="form08bcm">#REF!</definedName>
    <definedName name="form08bpm">#REF!</definedName>
    <definedName name="form08bpy">#REF!</definedName>
    <definedName name="form08ccm">#REF!</definedName>
    <definedName name="form08cm">#REF!</definedName>
    <definedName name="form08cpm">#REF!</definedName>
    <definedName name="form08cpy">#REF!</definedName>
    <definedName name="form08hcm">#REF!</definedName>
    <definedName name="form08hpm">#REF!</definedName>
    <definedName name="form08hpy">#REF!</definedName>
    <definedName name="form08pm">#REF!</definedName>
    <definedName name="form08py">#REF!</definedName>
    <definedName name="form11cm">#REF!</definedName>
    <definedName name="form11pm">#REF!</definedName>
    <definedName name="form11py">#REF!</definedName>
    <definedName name="form16abdg">#REF!</definedName>
    <definedName name="form16acm">#REF!</definedName>
    <definedName name="form16aytd">#REF!</definedName>
    <definedName name="form16aytdbdg">#REF!</definedName>
    <definedName name="form16bbdg">#REF!</definedName>
    <definedName name="form16bcm">#REF!</definedName>
    <definedName name="form16bytd">#REF!</definedName>
    <definedName name="form16bytdbdg">#REF!</definedName>
    <definedName name="form16cbdg">#REF!</definedName>
    <definedName name="form16ccm">#REF!</definedName>
    <definedName name="form16cytd">#REF!</definedName>
    <definedName name="form16cytdbdg">#REF!</definedName>
    <definedName name="form16hbdg">#REF!</definedName>
    <definedName name="form16hcm">#REF!</definedName>
    <definedName name="form16hytd">#REF!</definedName>
    <definedName name="form16hytdbdg">#REF!</definedName>
    <definedName name="form16xbdg">#REF!</definedName>
    <definedName name="form16xcm">#REF!</definedName>
    <definedName name="form16xytd">#REF!</definedName>
    <definedName name="form16xytdbdg">#REF!</definedName>
    <definedName name="form16ycm">#REF!</definedName>
    <definedName name="form16yytd">#REF!</definedName>
    <definedName name="form17abdg">#REF!</definedName>
    <definedName name="form17acm">#REF!</definedName>
    <definedName name="form17aytd">#REF!</definedName>
    <definedName name="form17aytdbdg">#REF!</definedName>
    <definedName name="form17bbdg">#REF!</definedName>
    <definedName name="form17bcm">#REF!</definedName>
    <definedName name="form17bdg">#REF!</definedName>
    <definedName name="form17bytd">#REF!</definedName>
    <definedName name="form17bytdbdg">#REF!</definedName>
    <definedName name="form17cbdg">#REF!</definedName>
    <definedName name="form17ccm">#REF!</definedName>
    <definedName name="form17cm">#REF!</definedName>
    <definedName name="form17cytd">#REF!</definedName>
    <definedName name="form17cytdbdg">#REF!</definedName>
    <definedName name="form17hbdg">#REF!</definedName>
    <definedName name="form17hcm">#REF!</definedName>
    <definedName name="form17hytd">#REF!</definedName>
    <definedName name="form17hytdbdg">#REF!</definedName>
    <definedName name="form17ytd">#REF!</definedName>
    <definedName name="form17ytdbdg">#REF!</definedName>
    <definedName name="form18bdg">#REF!</definedName>
    <definedName name="form18cm">#REF!</definedName>
    <definedName name="form18ytd">#REF!</definedName>
    <definedName name="form18ytdbdg">#REF!</definedName>
    <definedName name="form27cm">#REF!</definedName>
    <definedName name="form27ytd">#REF!</definedName>
    <definedName name="form28cmcomm">#REF!</definedName>
    <definedName name="form28cmdiv">#REF!</definedName>
    <definedName name="form28cmint">#REF!</definedName>
    <definedName name="form28cmmf">#REF!</definedName>
    <definedName name="form28cmrental">#REF!</definedName>
    <definedName name="form28cmsg">#REF!</definedName>
    <definedName name="form28cmsr">#REF!</definedName>
    <definedName name="form28ytdcomm">#REF!</definedName>
    <definedName name="form28ytddiv">#REF!</definedName>
    <definedName name="form28ytdint">#REF!</definedName>
    <definedName name="form28ytdmf">#REF!</definedName>
    <definedName name="form28ytdrental">#REF!</definedName>
    <definedName name="form28ytdsg">#REF!</definedName>
    <definedName name="form28ytdsr">#REF!</definedName>
    <definedName name="form31">#REF!</definedName>
    <definedName name="form32bdg">#REF!</definedName>
    <definedName name="form32cm">#REF!</definedName>
    <definedName name="form32ytd">#REF!</definedName>
    <definedName name="form32ytdbdg">#REF!</definedName>
    <definedName name="fsfjsjf">#REF!</definedName>
    <definedName name="ge">[2]_REF!$A$5:$G$28</definedName>
    <definedName name="geocode_manuel_minute">"$#REF!.$B$20"</definedName>
    <definedName name="gg">'[22]FF-3'!$1:$8</definedName>
    <definedName name="ggg">'[25]FF-2 (1)'!$A$10:$K$16</definedName>
    <definedName name="gggg">'[26]1 LeadSchedule'!#REF!</definedName>
    <definedName name="gh">#N/A</definedName>
    <definedName name="ghj">#REF!</definedName>
    <definedName name="gj">'[22]FF-3'!$A$9:$K$11</definedName>
    <definedName name="gop">"$#REF!.$#REF!$#REF!"</definedName>
    <definedName name="gop_1">"$#REF!.$#REF!$#REF!"</definedName>
    <definedName name="gop_10">"$#REF!.$#REF!$#REF!"</definedName>
    <definedName name="gop_17">"$#REF!.$#REF!$#REF!"</definedName>
    <definedName name="gop_19">"$#REF!.$#REF!$#REF!"</definedName>
    <definedName name="gop_2">"$#REF!.$#REF!$#REF!"</definedName>
    <definedName name="gop_6">"$#REF!.$#REF!$#REF!"</definedName>
    <definedName name="gop_9">"$#REF!.$#REF!$#REF!"</definedName>
    <definedName name="GROUP">"'file:///F:/Documents and Settings/SHADOW/DOCS/CHEECHUNG/Book2.xls'#$nta_INVESTMENT.$#REF!$#REF!"</definedName>
    <definedName name="GSTF5">"$#REF!.$A$4:$D$13"</definedName>
    <definedName name="H">#REF!</definedName>
    <definedName name="H2_Range2">#REF!</definedName>
    <definedName name="haksh">#REF!</definedName>
    <definedName name="he">"$#REF!.$C$38"</definedName>
    <definedName name="heading">#REF!</definedName>
    <definedName name="heading_1">"$#REF!.$A$1:$D$5"</definedName>
    <definedName name="heading_10">"$#REF!.$A$1:$D$5"</definedName>
    <definedName name="heading_17">"$#REF!.$A$1:$D$5"</definedName>
    <definedName name="heading_19">"$#REF!.$A$1:$D$5"</definedName>
    <definedName name="heading_2">"$#REF!.$A$1:$D$5"</definedName>
    <definedName name="heading_6">"$#REF!.$A$1:$D$5"</definedName>
    <definedName name="heading_9">"$#REF!.$A$1:$D$5"</definedName>
    <definedName name="HH">#REF!</definedName>
    <definedName name="HirePurchase">#REF!</definedName>
    <definedName name="huu">#REF!</definedName>
    <definedName name="hw">'[27]1 LeadSchedule'!#REF!</definedName>
    <definedName name="I">'[28]1 LeadSchedule'!#REF!</definedName>
    <definedName name="I2_Range2">#REF!</definedName>
    <definedName name="I2_Range3">#REF!</definedName>
    <definedName name="I2_Range4">#REF!</definedName>
    <definedName name="IA">#REF!</definedName>
    <definedName name="IAClaim">#REF!</definedName>
    <definedName name="INPUTGRID">#REF!</definedName>
    <definedName name="InsertCASum">#REF!</definedName>
    <definedName name="INTER_CO">#N/A</definedName>
    <definedName name="Invt">"$#REF!.$A$1:$K$16"</definedName>
    <definedName name="ISA_EAToolkit_Version">#REF!</definedName>
    <definedName name="J2_Range2">#REF!,#REF!</definedName>
    <definedName name="J2_Range3">#REF!</definedName>
    <definedName name="J2_Range4">#REF!</definedName>
    <definedName name="jg">'[22]FF-3'!$1:$8</definedName>
    <definedName name="jgj">'[25]FF-2 (1)'!$1:$9</definedName>
    <definedName name="jj">'[22]FF-3'!$A$9:$K$11</definedName>
    <definedName name="k">'[25]FF-2 (1)'!$A$10:$K$16</definedName>
    <definedName name="K2_Range2">#REF!</definedName>
    <definedName name="KAH_ACTUALDEP">"'file://Cyber-oug-hq/STAFF/Accounts/OrigBgt/10AHH00.XLS'#$MTHLYR99.$#REF!$#REF!"</definedName>
    <definedName name="KAH_ACTUALDIREXP">"'file://Cyber-oug-hq/STAFF/Accounts/OrigBgt/10AHH00.XLS'#$MTHLYR99.$#REF!$#REF!"</definedName>
    <definedName name="KAH_ACTUALEXP">"'file://Cyber-oug-hq/STAFF/Accounts/OrigBgt/10AHH00.XLS'#$MTHLYR99.$#REF!$#REF!"</definedName>
    <definedName name="KAH_ACTUALGOP">"'file://Cyber-oug-hq/STAFF/Accounts/OrigBgt/10AHH00.XLS'#$MTHLYR99.$#REF!$#REF!"</definedName>
    <definedName name="KAH_ACTUALINDEXP">"'file://Cyber-oug-hq/STAFF/Accounts/OrigBgt/10AHH00.XLS'#$MTHLYR99.$#REF!$#REF!"</definedName>
    <definedName name="KAH_ACTUALNOP">"'file://Cyber-oug-hq/STAFF/Accounts/OrigBgt/10AHH00.XLS'#$MTHLYR99.$#REF!$#REF!"</definedName>
    <definedName name="KAH_ACTUALREV">"'file://Cyber-oug-hq/STAFF/Accounts/OrigBgt/10AHH00.XLS'#$MTHLYR99.$#REF!$#REF!"</definedName>
    <definedName name="KAH_BGTDEP">"'file://Cyber-oug-hq/STAFF/Accounts/OrigBgt/10AHH00.XLS'#$MTHLYR99.$#REF!$#REF!"</definedName>
    <definedName name="KAH_BGTDIREXP">"'file://Cyber-oug-hq/STAFF/Accounts/OrigBgt/10AHH00.XLS'#$MTHLYR99.$#REF!$#REF!"</definedName>
    <definedName name="KAH_BGTEXP">"'file://Cyber-oug-hq/STAFF/Accounts/OrigBgt/10AHH00.XLS'#$MTHLYR99.$#REF!$#REF!"</definedName>
    <definedName name="KAH_BGTGOP">"'file://Cyber-oug-hq/STAFF/Accounts/OrigBgt/10AHH00.XLS'#$MTHLYR99.$#REF!$#REF!"</definedName>
    <definedName name="KAH_BGTINDEXP">"'file://Cyber-oug-hq/STAFF/Accounts/OrigBgt/10AHH00.XLS'#$MTHLYR99.$#REF!$#REF!"</definedName>
    <definedName name="KAH_BGTNOP">"'file://Cyber-oug-hq/STAFF/Accounts/OrigBgt/10AHH00.XLS'#$MTHLYR99.$#REF!$#REF!"</definedName>
    <definedName name="KAH_BGTREV">"'file://Cyber-oug-hq/STAFF/Accounts/OrigBgt/10AHH00.XLS'#$MTHLYR99.$#REF!$#REF!"</definedName>
    <definedName name="Kk">'[1]FF-21(a)'!#REF!</definedName>
    <definedName name="kkk">'[1]FF-21(a)'!#REF!</definedName>
    <definedName name="kw">#REF!</definedName>
    <definedName name="L">#REF!</definedName>
    <definedName name="L2_Range2">#REF!,#REF!</definedName>
    <definedName name="L2_Range3">#REF!</definedName>
    <definedName name="L2_Range4">#REF!</definedName>
    <definedName name="last">'[29]Entity Data'!#REF!</definedName>
    <definedName name="LASTCOLUMNCELL">#REF!</definedName>
    <definedName name="Latest_Month">"'file:///K:/REVBGT/P&amp;L99/HOT_REV/LCT.XLS'#$MTHR99.$#REF!$#REF!"</definedName>
    <definedName name="LeasedAssets">#REF!</definedName>
    <definedName name="ll">"$#REF!.$A$1:$D$5"</definedName>
    <definedName name="llllllllllllllllllll">[0]!llllllllllllllllllll</definedName>
    <definedName name="LM_Provision">"$#REF!.$A$3:$H$8"</definedName>
    <definedName name="loss_for_the_year">[2]NTFS_Taxation!$A$6:$E$9</definedName>
    <definedName name="m">#REF!</definedName>
    <definedName name="MAN">#REF!</definedName>
    <definedName name="MEDICAL">"'file:///F:/Documents and Settings/SHADOW/DOCS/CHEECHUNG/Book2.xls'#$NTFS_Taxation.$#REF!$#REF!"</definedName>
    <definedName name="MEDICAL_FEE">[2]NTFS_Taxation!$IT$8187</definedName>
    <definedName name="mf_1b">"$#REF!.$B$95"</definedName>
    <definedName name="mf_1c">"$#REF!.$C$95"</definedName>
    <definedName name="mf_1d">"$#REF!.$D$95"</definedName>
    <definedName name="mf_2">"$#REF!.$E$95"</definedName>
    <definedName name="mm">[25]FSA!$A$2</definedName>
    <definedName name="monthcode">[30]U!#REF!</definedName>
    <definedName name="mp">#REF!</definedName>
    <definedName name="mv_1b">"$#REF!.$B$96"</definedName>
    <definedName name="mv_1c">"$#REF!.$C$96"</definedName>
    <definedName name="mv_1d">"$#REF!.$D$96"</definedName>
    <definedName name="mv_2">"$#REF!.$E$96"</definedName>
    <definedName name="N">[0]!N</definedName>
    <definedName name="NAME">[31]FSL!$B$1</definedName>
    <definedName name="NameRef">#REF!</definedName>
    <definedName name="nb_heure_geocode_fixe_1000">"$#REF!.$B$26"</definedName>
    <definedName name="nb_ms_opérateur_semaine">"$#REF!.$B$14"</definedName>
    <definedName name="nb_msa_opérateur_semaine">"$#REF!.$B$14"</definedName>
    <definedName name="nb_vendeur_equipe">"$#REF!.$B$10"</definedName>
    <definedName name="nb_vendeur_equipe_2000">"$#REF!.$B$10"</definedName>
    <definedName name="nb_vendeur_equipe_2001">"$#REF!.$C$10"</definedName>
    <definedName name="nb_vendeur_equipe_2002">"$#REF!.$D$10"</definedName>
    <definedName name="nb_vente_abc_2000">"$#REF!.$B$31"</definedName>
    <definedName name="nb_vente_abc_2001">"$#REF!.$C$31"</definedName>
    <definedName name="nb_vente_abc_2002">"$#REF!.$D$31"</definedName>
    <definedName name="nb_vente_ms1_vendeur_2000">"$#REF!.$#REF!$#REF!"</definedName>
    <definedName name="nb_vente_ms1_vendeur_2001">"$#REF!.$#REF!$#REF!"</definedName>
    <definedName name="nb_vente_msa_vendeur_2000">"$#REF!.$#REF!$#REF!"</definedName>
    <definedName name="nb_vente_msa_vendeur_2001">"$#REF!.$#REF!$#REF!"</definedName>
    <definedName name="nb_vente_msa_vendeur_2002">"$#REF!.$#REF!$#REF!"</definedName>
    <definedName name="nb_vente_msa_vendeur_semaine_2001">"$#REF!.$#REF!$#REF!"</definedName>
    <definedName name="nb_vente_msa_vendeur_semaine_2002">"$#REF!.$#REF!$#REF!"</definedName>
    <definedName name="nb_vente_par_vendeur">"$#REF!.$#REF!$#REF!"</definedName>
    <definedName name="nb_vente_semaine_2000">"$#REF!.$B$9"</definedName>
    <definedName name="nb_vente_semaine_2001">"$#REF!.$C$9"</definedName>
    <definedName name="nb_vente_semaine_2002">"$#REF!.$D$9"</definedName>
    <definedName name="nb_vente_semaine_2003">"$#REF!.$E$9"</definedName>
    <definedName name="nbv_msa_vd_sem_2000">"$#REF!.$#REF!$#REF!"</definedName>
    <definedName name="NCVR">#REF!</definedName>
    <definedName name="Net_book_value">#REF!</definedName>
    <definedName name="NET_PROFIT">"'file:///F:/Documents and Settings/SHADOW/DOCS/CHEECHUNG/Book2.xls'#$Equity.$#REF!$#REF!"</definedName>
    <definedName name="new">#REF!</definedName>
    <definedName name="next">'[29]Entity Data'!$H$8</definedName>
    <definedName name="ngjgj">#REF!</definedName>
    <definedName name="njbj">"$#REF!.$K$38"</definedName>
    <definedName name="NL_FOR_THE_YR">"'file:///F:/Documents and Settings/SHADOW/DOCS/CHEECHUNG/Book2.xls'#$_REF.$#REF!$#REF!"</definedName>
    <definedName name="NL_LAST_YR">"'file:///F:/Documents and Settings/SHADOW/DOCS/CHEECHUNG/Book2.xls'#$Equity.$#REF!$#REF!"</definedName>
    <definedName name="NL_THIS_YR">"'file:///F:/Documents and Settings/SHADOW/DOCS/CHEECHUNG/Book2.xls'#$Equity.$#REF!$#REF!"</definedName>
    <definedName name="NoClaim">#REF!</definedName>
    <definedName name="NonClaim">#REF!</definedName>
    <definedName name="Note2">#REF!</definedName>
    <definedName name="NOTES">#N/A</definedName>
    <definedName name="NP_AFTER_TAX">"'file:///F:/Documents and Settings/SHADOW/DOCS/CHEECHUNG/Book2.xls'#$'CF Statement'.$#REF!$#REF!"</definedName>
    <definedName name="NP_FOR_THE_YR">"'file:///F:/Documents and Settings/SHADOW/DOCS/CHEECHUNG/Book2.xls'#$Equity.$#REF!$#REF!"</definedName>
    <definedName name="NTA_AffCoBal">[2]NTFS_Taxation!$A$4:$E$20</definedName>
    <definedName name="NTA_AMT_DUE_FROM_SUBSI">"$#REF!.$A$3:$J$12"</definedName>
    <definedName name="NTA_AMT_DUE_TO_SUBSI">"$#REF!.$A$3:$J$13"</definedName>
    <definedName name="NTA_CLUB">[2]NTFS_Taxation!$A$5:$E$9</definedName>
    <definedName name="NTA_Comm">[2]NTFS_Taxation!$A$4:$E$14</definedName>
    <definedName name="NTA_contigentliability">"$#REF!.$A$6:$D$18"</definedName>
    <definedName name="NTA_ContLiab">[2]NTFS_Taxation!$A$4:$E$11</definedName>
    <definedName name="nta_depreciation">[2]NTFS_Taxation!$A$5:$D$11</definedName>
    <definedName name="NTA_development_property">[2]_REF!$A$2:$F$16</definedName>
    <definedName name="NTA_Dividends">[2]NTFS_Taxation!$A$4:$E$16</definedName>
    <definedName name="nta_equity">[2]_REF!$A$7:$J$22</definedName>
    <definedName name="NTA_exceptional_item">[2]NTFS_Taxation!$A$1:$H$9</definedName>
    <definedName name="nta_fa">[2]NTFS_Taxation!$A$3:$K$24</definedName>
    <definedName name="NTA_FA_COMPANY">"$#REF!.$A$2:$N$32"</definedName>
    <definedName name="NTA_FA_GROUP">[2]NTFS_Taxation!$A$2:$N$30</definedName>
    <definedName name="nta_finance">[2]NTFS_Taxation!$A$5:$D$11</definedName>
    <definedName name="NTA_FINANCE_COST">"$#REF!.$A$1:$J$11"</definedName>
    <definedName name="nta_finance_costs">[2]_REF!$B$54:$O$60</definedName>
    <definedName name="nta_finance_lease">[2]NTFS_Taxation!$A$1:$A$14</definedName>
    <definedName name="NTA_FinanceCost">[2]NTFS_Taxation!$A$4:$E$18</definedName>
    <definedName name="NTA_FinCosts">"$#REF!.$A$5:$I$28"</definedName>
    <definedName name="nta_fixed_deposit">[2]NTFS_Taxation!$A$5:$G$10</definedName>
    <definedName name="NTA_HP">[2]NTFS_Taxation!$A$6:$K$29</definedName>
    <definedName name="NTA_HP_CREDITORS">"$#REF!.$A$3:$J$23"</definedName>
    <definedName name="NTA_IA">"$#REF!.$A$3:$I$23"</definedName>
    <definedName name="NTA_INVENTORIES">[2]NTFS_Taxation!$A$5:$E$10</definedName>
    <definedName name="NTA_INVESTMENT">"'file:///F:/Documents and Settings/SHADOW/DOCS/CHEECHUNG/Book2.xls'#$'DR_dir shareholding'.$#REF!$#REF!"</definedName>
    <definedName name="nta_loss">[2]NTFS_Taxation!$A$5:$G$14</definedName>
    <definedName name="nta_net_profit">[2]_REF!$A$3:$E$6</definedName>
    <definedName name="nta_o.expenses">[2]NTFS_Taxation!$A$1:$J$9</definedName>
    <definedName name="nta_operating_lease">[2]_REF!$A$8:$G$18</definedName>
    <definedName name="nta_other_debtors">[2]NTFS_Taxation!$A$5:$F$16</definedName>
    <definedName name="NTA_OTHER_EXPENSES">"$#REF!.$A$3:$I$13"</definedName>
    <definedName name="NTA_OTHER_PAYABLES">"$#REF!.$A$3:$I$17"</definedName>
    <definedName name="NTA_OTHER_RECEIVABLES">"$#REF!.$A$3:$I$19"</definedName>
    <definedName name="NTA_OtherOpInc">[2]NTFS_Taxation!$A$4:$E$17</definedName>
    <definedName name="NTA_OtherRec">[2]NTFS_Taxation!$A$4:$E$23</definedName>
    <definedName name="NTA_OthREc">"$#REF!.$A$7:$E$19"</definedName>
    <definedName name="NTA_PAY">"$#REF!.$A$7:$I$19"</definedName>
    <definedName name="NTA_PPE">[2]NTFS_Taxation!$A$4:$R$31</definedName>
    <definedName name="NTA_PPELives">[2]NTFS_Taxation!$A$8:$B$14</definedName>
    <definedName name="NTA_PROFIT_FOR_THE_YEAR">"$#REF!.$A$1:$K$12"</definedName>
    <definedName name="NTA_Rec">"$#REF!.$A$1:$I$22"</definedName>
    <definedName name="NTA_RELATED_PARTY">"$#REF!.$A$2:$I$18"</definedName>
    <definedName name="NTA_RPT">[2]NTFS_Taxation!$A$4:$E$12</definedName>
    <definedName name="nta_sh_cap">[2]NTFS_Taxation!$A$4:$G$14</definedName>
    <definedName name="NTA_SHARE_CAPITAL">"$#REF!.$A$6:$J$17"</definedName>
    <definedName name="nta_staff">[2]NTFS_Taxation!$A$5:$D$12</definedName>
    <definedName name="NTA_STAFF_COST">"$#REF!.$A$1:$H$10"</definedName>
    <definedName name="NTA_StaffCosts">[2]NTFS_Taxation!$A$4:$E$14</definedName>
    <definedName name="NTA_SUBSI">[2]NTFS_Taxation!$A$4:$E$13</definedName>
    <definedName name="NTA_SUBSIDetails">[2]NTFS_Taxation!$A$3:$I$18</definedName>
    <definedName name="NTA_Tax">[2]NTFS_Taxation!$A$4:$E$12</definedName>
    <definedName name="NTA_TAXATION">"'file:///F:/Documents and Settings/SHADOW/DOCS/CHEECHUNG/Book2.xls'#$Sheet2.$#REF!$#REF!"</definedName>
    <definedName name="NTA_TAxLoss">[2]NTFS_Taxation!$A$4:$I$12</definedName>
    <definedName name="NTA_TaxRecon">[2]NTFS_Taxation!$A$6:$I$23</definedName>
    <definedName name="nta_trade_payables">[2]NTFS_Taxation!$A$5:$F$14</definedName>
    <definedName name="NTA_TradeRec">[2]NTFS_Taxation!$A$5:$E$20</definedName>
    <definedName name="NTA_TrRec">"$#REF!.$A$5:$I$28"</definedName>
    <definedName name="nta_WIP">[2]NTFS_Taxation!$A$4:$G$13</definedName>
    <definedName name="NTFS_Cash_and_cash_equivalents">"$#REF!.$A$1:$I$10"</definedName>
    <definedName name="NTFS_Deposits_and_prepmts">"$#REF!.$A$1:$G$8"</definedName>
    <definedName name="NTFS_FA_grp">[2]NTFS_Taxation!$A$1:$N$31</definedName>
    <definedName name="NTFS_HP">[2]NTFS_Taxation!$A$1:$P$14</definedName>
    <definedName name="NTFS_invt_22">[2]NTFS_Taxation!$A$1:$J$14</definedName>
    <definedName name="NTFS_Operating_lease_commitments">"'file:///F:/Documents and Settings/SHADOW/DOCS/CHEECHUNG/Book2.xls'#$'DPL '.$#REF!$#REF!"</definedName>
    <definedName name="NTFS_Operating_lease_paid">"'file:///F:/Documents and Settings/SHADOW/DOCS/CHEECHUNG/Book2.xls'#$'DPL '.$#REF!$#REF!"</definedName>
    <definedName name="NTFS_other_operating_income">[2]NTFS_Taxation!$A$1:$L$11</definedName>
    <definedName name="NTFS_other_payables_and_accrual">[2]NTFS_Taxation!$A$1:$I$12</definedName>
    <definedName name="NTFS_prior_year_adjustment">[2]NTFS_Taxation!$A$1:$L$8</definedName>
    <definedName name="NTFS_Related_party">[2]_REF!$A$1:$G$9</definedName>
    <definedName name="NTFS_sales_and_marketing_exp">[2]NTFS_Taxation!$A$1:$J$11</definedName>
    <definedName name="NTFS_share_capital">[2]NTFS_Taxation!$A$1:$J$13</definedName>
    <definedName name="NTFS_T.payables_and_accruals">"'file:///F:/Documents and Settings/SHADOW/DOCS/CHEECHUNG/Book2.xls'#$'NTFS_operating lease commitment'.$#REF!$#REF!"</definedName>
    <definedName name="NTFS_TAXATION">[2]NTFS_Taxation!$A$1:$G$18</definedName>
    <definedName name="NUM_DOCS">#REF!</definedName>
    <definedName name="Number">#REF!</definedName>
    <definedName name="O2_Range2">#REF!</definedName>
    <definedName name="O2_Range3">#REF!</definedName>
    <definedName name="OCT">'[3]FF-3'!$A$9:$K$11</definedName>
    <definedName name="Ozlink">#REF!</definedName>
    <definedName name="P_L_DISCLOSURE">#N/A</definedName>
    <definedName name="pa">'[32]FF-2'!$A$1:$K$88</definedName>
    <definedName name="PAGE1">#N/A</definedName>
    <definedName name="PAGE2">#N/A</definedName>
    <definedName name="PAH_ACTUALDEP">"$#REF!.$AA$26"</definedName>
    <definedName name="PAH_ACTUALDIREXP">"$#REF!.$AA$18"</definedName>
    <definedName name="PAH_ACTUALEXP">"$#REF!.$AA$20"</definedName>
    <definedName name="PAH_ACTUALINDEXP">"$#REF!.$AA$19"</definedName>
    <definedName name="PAH_ACTUALNOP">"$#REF!.$AA$34"</definedName>
    <definedName name="PAH_ACTUALREV">"$#REF!.$AA$14"</definedName>
    <definedName name="PAH_BGTDEP">"$#REF!.$AB$26"</definedName>
    <definedName name="PAH_BGTDIREXP">"$#REF!.$AB$18"</definedName>
    <definedName name="PAH_BGTEXP">"$#REF!.$AB$20"</definedName>
    <definedName name="PAH_BGTGOP">"$#REF!.$AB$22"</definedName>
    <definedName name="PAH_BGTINDEXP">"$#REF!.$AB$19"</definedName>
    <definedName name="PAH_BGTNOP">"$#REF!.$AB$34"</definedName>
    <definedName name="PAH_BGTREV">"$#REF!.$AB$14"</definedName>
    <definedName name="PAH_GOP">"$#REF!.$AA$22"</definedName>
    <definedName name="Particulars">#REF!</definedName>
    <definedName name="PARTNERS_INITIALS">#REF!</definedName>
    <definedName name="Payments_per_year">#REF!</definedName>
    <definedName name="period">'[29]Entity Data'!$D$8</definedName>
    <definedName name="PeriodsInYear">"$#REF!.$J$6"</definedName>
    <definedName name="PHUKACTDEP">"$#REF!.$AC$34"</definedName>
    <definedName name="PHUKACTDEP_1">"$#REF!.$AC$34"</definedName>
    <definedName name="PHUKACTDEP_10">"$#REF!.$AC$34"</definedName>
    <definedName name="PHUKACTDEP_17">"$#REF!.$AC$34"</definedName>
    <definedName name="PHUKACTDEP_19">"$#REF!.$AC$34"</definedName>
    <definedName name="PHUKACTDEP_2">"$#REF!.$AC$34"</definedName>
    <definedName name="PHUKACTDEP_6">"$#REF!.$AC$34"</definedName>
    <definedName name="PHUKACTDEP_9">"$#REF!.$AC$34"</definedName>
    <definedName name="PHUKACTDIREXP">"$#REF!.$AC$18"</definedName>
    <definedName name="PHUKACTDIREXP_1">"$#REF!.$AC$18"</definedName>
    <definedName name="PHUKACTDIREXP_10">"$#REF!.$AC$18"</definedName>
    <definedName name="PHUKACTDIREXP_17">"$#REF!.$AC$18"</definedName>
    <definedName name="PHUKACTDIREXP_19">"$#REF!.$AC$18"</definedName>
    <definedName name="PHUKACTDIREXP_2">"$#REF!.$AC$18"</definedName>
    <definedName name="PHUKACTDIREXP_6">"$#REF!.$AC$18"</definedName>
    <definedName name="PHUKACTDIREXP_9">"$#REF!.$AC$18"</definedName>
    <definedName name="PHUKACTEXCH">"$#REF!.$AC$37"</definedName>
    <definedName name="PHUKACTEXCH_1">"$#REF!.$AC$37"</definedName>
    <definedName name="PHUKACTEXCH_10">"$#REF!.$AC$37"</definedName>
    <definedName name="PHUKACTEXCH_17">"$#REF!.$AC$37"</definedName>
    <definedName name="PHUKACTEXCH_19">"$#REF!.$AC$37"</definedName>
    <definedName name="PHUKACTEXCH_2">"$#REF!.$AC$37"</definedName>
    <definedName name="PHUKACTEXCH_6">"$#REF!.$AC$37"</definedName>
    <definedName name="PHUKACTEXCH_9">"$#REF!.$AC$37"</definedName>
    <definedName name="PHUKACTEXP">"$#REF!.$AC$20"</definedName>
    <definedName name="PHUKACTEXP_1">"$#REF!.$AC$20"</definedName>
    <definedName name="PHUKACTEXP_10">"$#REF!.$AC$20"</definedName>
    <definedName name="PHUKACTEXP_17">"$#REF!.$AC$20"</definedName>
    <definedName name="PHUKACTEXP_19">"$#REF!.$AC$20"</definedName>
    <definedName name="PHUKACTEXP_2">"$#REF!.$AC$20"</definedName>
    <definedName name="PHUKACTEXP_6">"$#REF!.$AC$20"</definedName>
    <definedName name="PHUKACTEXP_9">"$#REF!.$AC$20"</definedName>
    <definedName name="PHUKACTGOP">"$#REF!.$AC$22"</definedName>
    <definedName name="PHUKACTGOP_1">"$#REF!.$AC$22"</definedName>
    <definedName name="PHUKACTGOP_10">"$#REF!.$AC$22"</definedName>
    <definedName name="PHUKACTGOP_17">"$#REF!.$AC$22"</definedName>
    <definedName name="PHUKACTGOP_19">"$#REF!.$AC$22"</definedName>
    <definedName name="PHUKACTGOP_2">"$#REF!.$AC$22"</definedName>
    <definedName name="PHUKACTGOP_6">"$#REF!.$AC$22"</definedName>
    <definedName name="PHUKACTGOP_9">"$#REF!.$AC$22"</definedName>
    <definedName name="PHUKACTINDIREXP">"$#REF!.$AC$19"</definedName>
    <definedName name="PHUKACTINDIREXP_1">"$#REF!.$AC$19"</definedName>
    <definedName name="PHUKACTINDIREXP_10">"$#REF!.$AC$19"</definedName>
    <definedName name="PHUKACTINDIREXP_17">"$#REF!.$AC$19"</definedName>
    <definedName name="PHUKACTINDIREXP_19">"$#REF!.$AC$19"</definedName>
    <definedName name="PHUKACTINDIREXP_2">"$#REF!.$AC$19"</definedName>
    <definedName name="PHUKACTINDIREXP_6">"$#REF!.$AC$19"</definedName>
    <definedName name="PHUKACTINDIREXP_9">"$#REF!.$AC$19"</definedName>
    <definedName name="PHUKACTINTINC">"$#REF!.$AC$27"</definedName>
    <definedName name="PHUKACTINTINC_1">"$#REF!.$AC$27"</definedName>
    <definedName name="PHUKACTINTINC_10">"$#REF!.$AC$27"</definedName>
    <definedName name="PHUKACTINTINC_17">"$#REF!.$AC$27"</definedName>
    <definedName name="PHUKACTINTINC_19">"$#REF!.$AC$27"</definedName>
    <definedName name="PHUKACTINTINC_2">"$#REF!.$AC$27"</definedName>
    <definedName name="PHUKACTINTINC_6">"$#REF!.$AC$27"</definedName>
    <definedName name="PHUKACTINTINC_9">"$#REF!.$AC$27"</definedName>
    <definedName name="PHUKACTINTONLOAN">"$#REF!.$AC$35"</definedName>
    <definedName name="PHUKACTINTONLOAN_1">"$#REF!.$AC$35"</definedName>
    <definedName name="PHUKACTINTONLOAN_10">"$#REF!.$AC$35"</definedName>
    <definedName name="PHUKACTINTONLOAN_17">"$#REF!.$AC$35"</definedName>
    <definedName name="PHUKACTINTONLOAN_19">"$#REF!.$AC$35"</definedName>
    <definedName name="PHUKACTINTONLOAN_2">"$#REF!.$AC$35"</definedName>
    <definedName name="PHUKACTINTONLOAN_6">"$#REF!.$AC$35"</definedName>
    <definedName name="PHUKACTINTONLOAN_9">"$#REF!.$AC$35"</definedName>
    <definedName name="PHUKACTNOP">"$#REF!.$AC$45"</definedName>
    <definedName name="PHUKACTNOP_1">"$#REF!.$AC$45"</definedName>
    <definedName name="PHUKACTNOP_10">"$#REF!.$AC$45"</definedName>
    <definedName name="PHUKACTNOP_17">"$#REF!.$AC$45"</definedName>
    <definedName name="PHUKACTNOP_19">"$#REF!.$AC$45"</definedName>
    <definedName name="PHUKACTNOP_2">"$#REF!.$AC$45"</definedName>
    <definedName name="PHUKACTNOP_6">"$#REF!.$AC$45"</definedName>
    <definedName name="PHUKACTNOP_9">"$#REF!.$AC$45"</definedName>
    <definedName name="PHUKACTOTHEREXP">"$#REF!.$AC$40"</definedName>
    <definedName name="PHUKACTOTHEREXP_1">"$#REF!.$AC$40"</definedName>
    <definedName name="PHUKACTOTHEREXP_10">"$#REF!.$AC$40"</definedName>
    <definedName name="PHUKACTOTHEREXP_17">"$#REF!.$AC$40"</definedName>
    <definedName name="PHUKACTOTHEREXP_19">"$#REF!.$AC$40"</definedName>
    <definedName name="PHUKACTOTHEREXP_2">"$#REF!.$AC$40"</definedName>
    <definedName name="PHUKACTOTHEREXP_6">"$#REF!.$AC$40"</definedName>
    <definedName name="PHUKACTOTHEREXP_9">"$#REF!.$AC$40"</definedName>
    <definedName name="PHUKACTOTHERS">"$#REF!.$AC$28"</definedName>
    <definedName name="PHUKACTOTHERS_1">"$#REF!.$AC$28"</definedName>
    <definedName name="PHUKACTOTHERS_10">"$#REF!.$AC$28"</definedName>
    <definedName name="PHUKACTOTHERS_17">"$#REF!.$AC$28"</definedName>
    <definedName name="PHUKACTOTHERS_19">"$#REF!.$AC$28"</definedName>
    <definedName name="PHUKACTOTHERS_2">"$#REF!.$AC$28"</definedName>
    <definedName name="PHUKACTOTHERS_6">"$#REF!.$AC$28"</definedName>
    <definedName name="PHUKACTOTHERS_9">"$#REF!.$AC$28"</definedName>
    <definedName name="PHUKACTRENTINC">"$#REF!.$AC$26"</definedName>
    <definedName name="PHUKACTRENTINC_1">"$#REF!.$AC$26"</definedName>
    <definedName name="PHUKACTRENTINC_10">"$#REF!.$AC$26"</definedName>
    <definedName name="PHUKACTRENTINC_17">"$#REF!.$AC$26"</definedName>
    <definedName name="PHUKACTRENTINC_19">"$#REF!.$AC$26"</definedName>
    <definedName name="PHUKACTRENTINC_2">"$#REF!.$AC$26"</definedName>
    <definedName name="PHUKACTRENTINC_6">"$#REF!.$AC$26"</definedName>
    <definedName name="PHUKACTRENTINC_9">"$#REF!.$AC$26"</definedName>
    <definedName name="PHUKACTREV">"$#REF!.$AC$16"</definedName>
    <definedName name="PHUKACTREV_1">"$#REF!.$AC$16"</definedName>
    <definedName name="PHUKACTREV_10">"$#REF!.$AC$16"</definedName>
    <definedName name="PHUKACTREV_17">"$#REF!.$AC$16"</definedName>
    <definedName name="PHUKACTREV_19">"$#REF!.$AC$16"</definedName>
    <definedName name="PHUKACTREV_2">"$#REF!.$AC$16"</definedName>
    <definedName name="PHUKACTREV_6">"$#REF!.$AC$16"</definedName>
    <definedName name="PHUKACTREV_9">"$#REF!.$AC$16"</definedName>
    <definedName name="PHUKACTTOTALEXP">"$#REF!.$AC$43"</definedName>
    <definedName name="PHUKACTTOTALEXP_1">"$#REF!.$AC$43"</definedName>
    <definedName name="PHUKACTTOTALEXP_10">"$#REF!.$AC$43"</definedName>
    <definedName name="PHUKACTTOTALEXP_17">"$#REF!.$AC$43"</definedName>
    <definedName name="PHUKACTTOTALEXP_19">"$#REF!.$AC$43"</definedName>
    <definedName name="PHUKACTTOTALEXP_2">"$#REF!.$AC$43"</definedName>
    <definedName name="PHUKACTTOTALEXP_6">"$#REF!.$AC$43"</definedName>
    <definedName name="PHUKACTTOTALEXP_9">"$#REF!.$AC$43"</definedName>
    <definedName name="PHUKACTTOTALINC">"$#REF!.$AC$31"</definedName>
    <definedName name="PHUKACTTOTALINC_1">"$#REF!.$AC$31"</definedName>
    <definedName name="PHUKACTTOTALINC_10">"$#REF!.$AC$31"</definedName>
    <definedName name="PHUKACTTOTALINC_17">"$#REF!.$AC$31"</definedName>
    <definedName name="PHUKACTTOTALINC_19">"$#REF!.$AC$31"</definedName>
    <definedName name="PHUKACTTOTALINC_2">"$#REF!.$AC$31"</definedName>
    <definedName name="PHUKACTTOTALINC_6">"$#REF!.$AC$31"</definedName>
    <definedName name="PHUKACTTOTALINC_9">"$#REF!.$AC$31"</definedName>
    <definedName name="PHUKACTTOTALREV">"$#REF!.$AC$29"</definedName>
    <definedName name="PHUKACTTOTALREV_1">"$#REF!.$AC$29"</definedName>
    <definedName name="PHUKACTTOTALREV_10">"$#REF!.$AC$29"</definedName>
    <definedName name="PHUKACTTOTALREV_17">"$#REF!.$AC$29"</definedName>
    <definedName name="PHUKACTTOTALREV_19">"$#REF!.$AC$29"</definedName>
    <definedName name="PHUKACTTOTALREV_2">"$#REF!.$AC$29"</definedName>
    <definedName name="PHUKACTTOTALREV_6">"$#REF!.$AC$29"</definedName>
    <definedName name="PHUKACTTOTALREV_9">"$#REF!.$AC$29"</definedName>
    <definedName name="PHUKBGTDEP">"$#REF!.$AD$34"</definedName>
    <definedName name="PHUKBGTDEP_1">"$#REF!.$AD$34"</definedName>
    <definedName name="PHUKBGTDEP_10">"$#REF!.$AD$34"</definedName>
    <definedName name="PHUKBGTDEP_17">"$#REF!.$AD$34"</definedName>
    <definedName name="PHUKBGTDEP_19">"$#REF!.$AD$34"</definedName>
    <definedName name="PHUKBGTDEP_2">"$#REF!.$AD$34"</definedName>
    <definedName name="PHUKBGTDEP_6">"$#REF!.$AD$34"</definedName>
    <definedName name="PHUKBGTDEP_9">"$#REF!.$AD$34"</definedName>
    <definedName name="PHUKBGTDIREXP">"$#REF!.$AD$18"</definedName>
    <definedName name="PHUKBGTDIREXP_1">"$#REF!.$AD$18"</definedName>
    <definedName name="PHUKBGTDIREXP_10">"$#REF!.$AD$18"</definedName>
    <definedName name="PHUKBGTDIREXP_17">"$#REF!.$AD$18"</definedName>
    <definedName name="PHUKBGTDIREXP_19">"$#REF!.$AD$18"</definedName>
    <definedName name="PHUKBGTDIREXP_2">"$#REF!.$AD$18"</definedName>
    <definedName name="PHUKBGTDIREXP_6">"$#REF!.$AD$18"</definedName>
    <definedName name="PHUKBGTDIREXP_9">"$#REF!.$AD$18"</definedName>
    <definedName name="PHUKBGTEXCH">"$#REF!.$AD$37"</definedName>
    <definedName name="PHUKBGTEXCH_1">"$#REF!.$AD$37"</definedName>
    <definedName name="PHUKBGTEXCH_10">"$#REF!.$AD$37"</definedName>
    <definedName name="PHUKBGTEXCH_17">"$#REF!.$AD$37"</definedName>
    <definedName name="PHUKBGTEXCH_19">"$#REF!.$AD$37"</definedName>
    <definedName name="PHUKBGTEXCH_2">"$#REF!.$AD$37"</definedName>
    <definedName name="PHUKBGTEXCH_6">"$#REF!.$AD$37"</definedName>
    <definedName name="PHUKBGTEXCH_9">"$#REF!.$AD$37"</definedName>
    <definedName name="PHUKBGTEXP">"$#REF!.$AD$20"</definedName>
    <definedName name="PHUKBGTEXP_1">"$#REF!.$AD$20"</definedName>
    <definedName name="PHUKBGTEXP_10">"$#REF!.$AD$20"</definedName>
    <definedName name="PHUKBGTEXP_17">"$#REF!.$AD$20"</definedName>
    <definedName name="PHUKBGTEXP_19">"$#REF!.$AD$20"</definedName>
    <definedName name="PHUKBGTEXP_2">"$#REF!.$AD$20"</definedName>
    <definedName name="PHUKBGTEXP_6">"$#REF!.$AD$20"</definedName>
    <definedName name="PHUKBGTEXP_9">"$#REF!.$AD$20"</definedName>
    <definedName name="PHUKBGTGOP">"$#REF!.$AD$22"</definedName>
    <definedName name="PHUKBGTGOP_1">"$#REF!.$AD$22"</definedName>
    <definedName name="PHUKBGTGOP_10">"$#REF!.$AD$22"</definedName>
    <definedName name="PHUKBGTGOP_17">"$#REF!.$AD$22"</definedName>
    <definedName name="PHUKBGTGOP_19">"$#REF!.$AD$22"</definedName>
    <definedName name="PHUKBGTGOP_2">"$#REF!.$AD$22"</definedName>
    <definedName name="PHUKBGTGOP_6">"$#REF!.$AD$22"</definedName>
    <definedName name="PHUKBGTGOP_9">"$#REF!.$AD$22"</definedName>
    <definedName name="PHUKBGTINDIREXP">"$#REF!.$AD$19"</definedName>
    <definedName name="PHUKBGTINDIREXP_1">"$#REF!.$AD$19"</definedName>
    <definedName name="PHUKBGTINDIREXP_10">"$#REF!.$AD$19"</definedName>
    <definedName name="PHUKBGTINDIREXP_17">"$#REF!.$AD$19"</definedName>
    <definedName name="PHUKBGTINDIREXP_19">"$#REF!.$AD$19"</definedName>
    <definedName name="PHUKBGTINDIREXP_2">"$#REF!.$AD$19"</definedName>
    <definedName name="PHUKBGTINDIREXP_6">"$#REF!.$AD$19"</definedName>
    <definedName name="PHUKBGTINDIREXP_9">"$#REF!.$AD$19"</definedName>
    <definedName name="PHUKBGTINTINC">"$#REF!.$AD$27"</definedName>
    <definedName name="PHUKBGTINTINC_1">"$#REF!.$AD$27"</definedName>
    <definedName name="PHUKBGTINTINC_10">"$#REF!.$AD$27"</definedName>
    <definedName name="PHUKBGTINTINC_17">"$#REF!.$AD$27"</definedName>
    <definedName name="PHUKBGTINTINC_19">"$#REF!.$AD$27"</definedName>
    <definedName name="PHUKBGTINTINC_2">"$#REF!.$AD$27"</definedName>
    <definedName name="PHUKBGTINTINC_6">"$#REF!.$AD$27"</definedName>
    <definedName name="PHUKBGTINTINC_9">"$#REF!.$AD$27"</definedName>
    <definedName name="PHUKBGTINTONLOAN">"$#REF!.$AD$35"</definedName>
    <definedName name="PHUKBGTINTONLOAN_1">"$#REF!.$AD$35"</definedName>
    <definedName name="PHUKBGTINTONLOAN_10">"$#REF!.$AD$35"</definedName>
    <definedName name="PHUKBGTINTONLOAN_17">"$#REF!.$AD$35"</definedName>
    <definedName name="PHUKBGTINTONLOAN_19">"$#REF!.$AD$35"</definedName>
    <definedName name="PHUKBGTINTONLOAN_2">"$#REF!.$AD$35"</definedName>
    <definedName name="PHUKBGTINTONLOAN_6">"$#REF!.$AD$35"</definedName>
    <definedName name="PHUKBGTINTONLOAN_9">"$#REF!.$AD$35"</definedName>
    <definedName name="PHUKBGTNOP">"$#REF!.$AD$45"</definedName>
    <definedName name="PHUKBGTNOP_1">"$#REF!.$AD$45"</definedName>
    <definedName name="PHUKBGTNOP_10">"$#REF!.$AD$45"</definedName>
    <definedName name="PHUKBGTNOP_17">"$#REF!.$AD$45"</definedName>
    <definedName name="PHUKBGTNOP_19">"$#REF!.$AD$45"</definedName>
    <definedName name="PHUKBGTNOP_2">"$#REF!.$AD$45"</definedName>
    <definedName name="PHUKBGTNOP_6">"$#REF!.$AD$45"</definedName>
    <definedName name="PHUKBGTNOP_9">"$#REF!.$AD$45"</definedName>
    <definedName name="PHUKBGTOTHEREXP">"$#REF!.$AD$40"</definedName>
    <definedName name="PHUKBGTOTHEREXP_1">"$#REF!.$AD$40"</definedName>
    <definedName name="PHUKBGTOTHEREXP_10">"$#REF!.$AD$40"</definedName>
    <definedName name="PHUKBGTOTHEREXP_17">"$#REF!.$AD$40"</definedName>
    <definedName name="PHUKBGTOTHEREXP_19">"$#REF!.$AD$40"</definedName>
    <definedName name="PHUKBGTOTHEREXP_2">"$#REF!.$AD$40"</definedName>
    <definedName name="PHUKBGTOTHEREXP_6">"$#REF!.$AD$40"</definedName>
    <definedName name="PHUKBGTOTHEREXP_9">"$#REF!.$AD$40"</definedName>
    <definedName name="PHUKBGTOTHERS">"$#REF!.$AD$28"</definedName>
    <definedName name="PHUKBGTOTHERS_1">"$#REF!.$AD$28"</definedName>
    <definedName name="PHUKBGTOTHERS_10">"$#REF!.$AD$28"</definedName>
    <definedName name="PHUKBGTOTHERS_17">"$#REF!.$AD$28"</definedName>
    <definedName name="PHUKBGTOTHERS_19">"$#REF!.$AD$28"</definedName>
    <definedName name="PHUKBGTOTHERS_2">"$#REF!.$AD$28"</definedName>
    <definedName name="PHUKBGTOTHERS_6">"$#REF!.$AD$28"</definedName>
    <definedName name="PHUKBGTOTHERS_9">"$#REF!.$AD$28"</definedName>
    <definedName name="PHUKBGTRENTINC">"$#REF!.$AD$26"</definedName>
    <definedName name="PHUKBGTRENTINC_1">"$#REF!.$AD$26"</definedName>
    <definedName name="PHUKBGTRENTINC_10">"$#REF!.$AD$26"</definedName>
    <definedName name="PHUKBGTRENTINC_17">"$#REF!.$AD$26"</definedName>
    <definedName name="PHUKBGTRENTINC_19">"$#REF!.$AD$26"</definedName>
    <definedName name="PHUKBGTRENTINC_2">"$#REF!.$AD$26"</definedName>
    <definedName name="PHUKBGTRENTINC_6">"$#REF!.$AD$26"</definedName>
    <definedName name="PHUKBGTRENTINC_9">"$#REF!.$AD$26"</definedName>
    <definedName name="PHUKBGTREV">"$#REF!.$AD$16"</definedName>
    <definedName name="PHUKBGTREV_1">"$#REF!.$AD$16"</definedName>
    <definedName name="PHUKBGTREV_10">"$#REF!.$AD$16"</definedName>
    <definedName name="PHUKBGTREV_17">"$#REF!.$AD$16"</definedName>
    <definedName name="PHUKBGTREV_19">"$#REF!.$AD$16"</definedName>
    <definedName name="PHUKBGTREV_2">"$#REF!.$AD$16"</definedName>
    <definedName name="PHUKBGTREV_6">"$#REF!.$AD$16"</definedName>
    <definedName name="PHUKBGTREV_9">"$#REF!.$AD$16"</definedName>
    <definedName name="PHUKBGTTOTALEXP">"$#REF!.$AD$43"</definedName>
    <definedName name="PHUKBGTTOTALEXP_1">"$#REF!.$AD$43"</definedName>
    <definedName name="PHUKBGTTOTALEXP_10">"$#REF!.$AD$43"</definedName>
    <definedName name="PHUKBGTTOTALEXP_17">"$#REF!.$AD$43"</definedName>
    <definedName name="PHUKBGTTOTALEXP_19">"$#REF!.$AD$43"</definedName>
    <definedName name="PHUKBGTTOTALEXP_2">"$#REF!.$AD$43"</definedName>
    <definedName name="PHUKBGTTOTALEXP_6">"$#REF!.$AD$43"</definedName>
    <definedName name="PHUKBGTTOTALEXP_9">"$#REF!.$AD$43"</definedName>
    <definedName name="PHUKBGTTOTALINC">"$#REF!.$AD$31"</definedName>
    <definedName name="PHUKBGTTOTALINC_1">"$#REF!.$AD$31"</definedName>
    <definedName name="PHUKBGTTOTALINC_10">"$#REF!.$AD$31"</definedName>
    <definedName name="PHUKBGTTOTALINC_17">"$#REF!.$AD$31"</definedName>
    <definedName name="PHUKBGTTOTALINC_19">"$#REF!.$AD$31"</definedName>
    <definedName name="PHUKBGTTOTALINC_2">"$#REF!.$AD$31"</definedName>
    <definedName name="PHUKBGTTOTALINC_6">"$#REF!.$AD$31"</definedName>
    <definedName name="PHUKBGTTOTALINC_9">"$#REF!.$AD$31"</definedName>
    <definedName name="PHUKBGTTOTALREV">"$#REF!.$AD$29"</definedName>
    <definedName name="PHUKBGTTOTALREV_1">"$#REF!.$AD$29"</definedName>
    <definedName name="PHUKBGTTOTALREV_10">"$#REF!.$AD$29"</definedName>
    <definedName name="PHUKBGTTOTALREV_17">"$#REF!.$AD$29"</definedName>
    <definedName name="PHUKBGTTOTALREV_19">"$#REF!.$AD$29"</definedName>
    <definedName name="PHUKBGTTOTALREV_2">"$#REF!.$AD$29"</definedName>
    <definedName name="PHUKBGTTOTALREV_6">"$#REF!.$AD$29"</definedName>
    <definedName name="PHUKBGTTOTALREV_9">"$#REF!.$AD$29"</definedName>
    <definedName name="PL_SUPPLEMENTARY1">[2]NTFS_Taxation!$A$8:$K$34</definedName>
    <definedName name="PL_SUPPLEMENTARY2">[2]NTFS_Taxation!$A$6:$G$55</definedName>
    <definedName name="PL_SUPPLEMENTARY3">[2]NTFS_Taxation!$A$57:$G$77</definedName>
    <definedName name="PL3_Finance_costs">"$#REF!.$B$28:$P$28"</definedName>
    <definedName name="PLANT">"$#REF!.$R$12"</definedName>
    <definedName name="PM">#REF!</definedName>
    <definedName name="Pmt_to_use">#REF!</definedName>
    <definedName name="po">"$#REF!.$AC$20"</definedName>
    <definedName name="pooii">"$#REF!.$AD$22"</definedName>
    <definedName name="PP">[33]BPR!$F$11</definedName>
    <definedName name="preman">'[34]10'!#REF!</definedName>
    <definedName name="PrevYA">#REF!</definedName>
    <definedName name="_xlnm.Print_Area" localSheetId="1">总帐!$A$1:$Z$60</definedName>
    <definedName name="_xlnm.Print_Area">#REF!</definedName>
    <definedName name="PRINT_AREA_MI">#REF!</definedName>
    <definedName name="_xlnm.Print_Titles" localSheetId="0">TB!$1:$9</definedName>
    <definedName name="_xlnm.Print_Titles" localSheetId="1">总帐!$1:$8</definedName>
    <definedName name="Print_Titles_MI">#REF!</definedName>
    <definedName name="Printacbal">[0]!Printacbal</definedName>
    <definedName name="prix_achat_serveur">"$#REF!.$B$32"</definedName>
    <definedName name="prix_clic_icon">"$#REF!.$B$26"</definedName>
    <definedName name="Proceeds">#REF!</definedName>
    <definedName name="Profit">"'file:///F:/Documents and Settings/SHADOW/DOCS/CHEECHUNG/Book2.xls'#$nta_INVESTMENT.$#REF!$#REF!"</definedName>
    <definedName name="Profit_Loss">"$#REF!.$B$3:$AG$97"</definedName>
    <definedName name="provision_debt">"$#REF!.$A$40:$E$50"</definedName>
    <definedName name="QEAddition">#REF!</definedName>
    <definedName name="QEBF">#REF!</definedName>
    <definedName name="QECF">#REF!</definedName>
    <definedName name="QEDisposal">#REF!</definedName>
    <definedName name="R.B.A.">#REF!</definedName>
    <definedName name="R_E_Additions">#REF!</definedName>
    <definedName name="R_E_Additions___0">[35]FF_11!#REF!</definedName>
    <definedName name="R_E_Additions___44">[35]FF_11!#REF!</definedName>
    <definedName name="R_E_Additions___77">[35]FF_11!#REF!</definedName>
    <definedName name="R_E_b_f">#REF!</definedName>
    <definedName name="R_E_b_f___0">[35]FF_11!#REF!</definedName>
    <definedName name="R_E_b_f___44">[35]FF_11!#REF!</definedName>
    <definedName name="R_E_b_f___77">[35]FF_11!#REF!</definedName>
    <definedName name="R_e_c_f">#REF!</definedName>
    <definedName name="R_e_c_f___0">[35]FF_11!#REF!</definedName>
    <definedName name="R_e_c_f___44">[35]FF_11!#REF!</definedName>
    <definedName name="R_e_c_f___77">[35]FF_11!#REF!</definedName>
    <definedName name="R_Eb_f">#REF!</definedName>
    <definedName name="ramli">#REF!</definedName>
    <definedName name="ramli1">#REF!</definedName>
    <definedName name="ramli2">#REF!</definedName>
    <definedName name="ramli3">#REF!</definedName>
    <definedName name="ramli4">#REF!</definedName>
    <definedName name="ramli5">#REF!</definedName>
    <definedName name="ramli6">#REF!</definedName>
    <definedName name="ramli7">#REF!</definedName>
    <definedName name="RateAA">#REF!</definedName>
    <definedName name="RateIA">#REF!</definedName>
    <definedName name="ratio_cout_bdp_par_pvm">"$#REF!.$B$35"</definedName>
    <definedName name="ratio_cout_serveur_par_pvm">"$#REF!.$B$34"</definedName>
    <definedName name="ratio_ms1_autre_produit">"$#REF!.$#REF!$#REF!"</definedName>
    <definedName name="ratio_ms1p_autre_produit">"$#REF!.$#REF!$#REF!"</definedName>
    <definedName name="ratio_ms3p_autre_produit">"$#REF!.$#REF!$#REF!"</definedName>
    <definedName name="ratio_msa_autre_produit">"$#REF!.$#REF!$#REF!"</definedName>
    <definedName name="ratio_salaire_chargé">"$#REF!.$B$17"</definedName>
    <definedName name="RE_tranferred_in">#REF!</definedName>
    <definedName name="RE_transferred_in">#REF!</definedName>
    <definedName name="REAddition">#REF!</definedName>
    <definedName name="REBF">#REF!</definedName>
    <definedName name="receivables">"'file:///F:/Documents and Settings/SHADOW/DOCS/CHEECHUNG/Book2.xls'#$'NTFS_O_rec_ dep _ prepmts'.$#REF!$#REF!"</definedName>
    <definedName name="RECF">#REF!</definedName>
    <definedName name="REDisposal">#REF!</definedName>
    <definedName name="RestNote">#REF!</definedName>
    <definedName name="RETotal">#REF!</definedName>
    <definedName name="Revenue">#REF!</definedName>
    <definedName name="REVENUE_RESERVE">[2]NTFS_Taxation!$I$20</definedName>
    <definedName name="rf_1b">"$#REF!.$B$93"</definedName>
    <definedName name="rf_1c">"$#REF!.$C$93"</definedName>
    <definedName name="rf_1d">"$#REF!.$D$93"</definedName>
    <definedName name="rf_2">"$#REF!.$E$93"</definedName>
    <definedName name="rr">#REF!</definedName>
    <definedName name="rv_1b">"$#REF!.$B$94"</definedName>
    <definedName name="rv_1c">"$#REF!.$C$94"</definedName>
    <definedName name="rv_1d">"$#REF!.$D$94"</definedName>
    <definedName name="rv_2">"$#REF!.$E$94"</definedName>
    <definedName name="RZ_Range2">#REF!,#REF!</definedName>
    <definedName name="RZ_Range3">#REF!</definedName>
    <definedName name="RZ_Range4">#REF!</definedName>
    <definedName name="salaire_chef_vente_abc">"$#REF!.$B$13"</definedName>
    <definedName name="salaire_collecteur_abc">"$#REF!.$B$12"</definedName>
    <definedName name="salaire_commercial">"$#REF!.$B$4"</definedName>
    <definedName name="salaire_ingenierie">"$#REF!.$B$5"</definedName>
    <definedName name="salaire_prod">"$#REF!.$B$7"</definedName>
    <definedName name="salaire_suivi_projet">"$#REF!.$B$6"</definedName>
    <definedName name="salaire_vendeur_abc">"$#REF!.$B$11"</definedName>
    <definedName name="SchRef">#REF!</definedName>
    <definedName name="SchRefText">#REF!</definedName>
    <definedName name="SERI_SELANGIN_SDN_BHD">#REF!</definedName>
    <definedName name="SERI_SELANGIN_SDN_BHD_1">"$#REF!.$A$1:$D$5"</definedName>
    <definedName name="SERI_SELANGIN_SDN_BHD_10">"$#REF!.$A$1:$D$5"</definedName>
    <definedName name="SERI_SELANGIN_SDN_BHD_17">"$#REF!.$A$1:$D$5"</definedName>
    <definedName name="SERI_SELANGIN_SDN_BHD_19">"$#REF!.$A$1:$D$5"</definedName>
    <definedName name="SERI_SELANGIN_SDN_BHD_2">"$#REF!.$A$1:$D$5"</definedName>
    <definedName name="SERI_SELANGIN_SDN_BHD_6">"$#REF!.$A$1:$D$5"</definedName>
    <definedName name="SERI_SELANGIN_SDN_BHD_9">"$#REF!.$A$1:$D$5"</definedName>
    <definedName name="SHARED_FORMULA_11">SUM(#REF!+#REF!-#REF!)</definedName>
    <definedName name="SHARED_FORMULA_3">SUM(#REF!+#REF!-#REF!)</definedName>
    <definedName name="SHARED_FORMULA_7">#REF!+#REF!-#REF!</definedName>
    <definedName name="SheLett">#REF!</definedName>
    <definedName name="Spec">"$#REF!.$A$1:$AA$382"</definedName>
    <definedName name="Staff_adv">"$#REF!.$A$5:$E$97"</definedName>
    <definedName name="STATACC">#REF!</definedName>
    <definedName name="Sub_C017">#REF!</definedName>
    <definedName name="Sub_C023">#REF!</definedName>
    <definedName name="Sub_D001">#REF!</definedName>
    <definedName name="Sub_E001">#REF!</definedName>
    <definedName name="Sub_E004">#REF!</definedName>
    <definedName name="Sub_F001">#REF!</definedName>
    <definedName name="Sub_F004">#REF!</definedName>
    <definedName name="Sub_G001">#REF!</definedName>
    <definedName name="Sub_G004">#REF!</definedName>
    <definedName name="Sub_H001">#REF!</definedName>
    <definedName name="Sub_H004">#REF!</definedName>
    <definedName name="Sub_I001">#REF!</definedName>
    <definedName name="Sub_I004">#REF!</definedName>
    <definedName name="Sub_J001">#REF!</definedName>
    <definedName name="Sub_J004">#REF!</definedName>
    <definedName name="Sub_J005">#REF!</definedName>
    <definedName name="Sub_J006">#REF!</definedName>
    <definedName name="Sub_K001">#REF!</definedName>
    <definedName name="Sub_K004">#REF!</definedName>
    <definedName name="Sub_L001">#REF!</definedName>
    <definedName name="Sub_L004">#REF!</definedName>
    <definedName name="Sub_L005">#REF!</definedName>
    <definedName name="Sub_L006">#REF!</definedName>
    <definedName name="Sub_M001">#REF!</definedName>
    <definedName name="Sub_N001">#REF!</definedName>
    <definedName name="Sub_N004">#REF!</definedName>
    <definedName name="Sub_O001">#REF!</definedName>
    <definedName name="Sub_O004">#REF!</definedName>
    <definedName name="Sub_P001">#REF!</definedName>
    <definedName name="Sub_P004">#REF!</definedName>
    <definedName name="Sub_R001">#REF!</definedName>
    <definedName name="Sub_R004">#REF!</definedName>
    <definedName name="Sub_R007">#REF!</definedName>
    <definedName name="Sub_S001">#REF!</definedName>
    <definedName name="Sub_T001">#REF!</definedName>
    <definedName name="Sub_T004">#REF!</definedName>
    <definedName name="Sub_U001">#REF!</definedName>
    <definedName name="Sub_U004">#REF!</definedName>
    <definedName name="Sub_V001">#REF!</definedName>
    <definedName name="Subsi">"'file:///F:/Documents and Settings/SHADOW/DOCS/CHEECHUNG/Book2.xls'#$'NTFS_O_rec_ dep _ prepmts'.$#REF!$#REF!"</definedName>
    <definedName name="Summary">#REF!</definedName>
    <definedName name="Supplementary_PL">[2]_REF!$A$7:$G$30</definedName>
    <definedName name="szxz">"$#REF!.$AD$19"</definedName>
    <definedName name="t">[24]BPR!$F$11</definedName>
    <definedName name="taux_geocodage_OK">"$#REF!.$B$21"</definedName>
    <definedName name="taux_projet_geocode_manuel">"$#REF!.$B$22"</definedName>
    <definedName name="taux_projet1c_avec_serveur">"$#REF!.$B$23"</definedName>
    <definedName name="taux_projet1d_avec_serveur">"$#REF!.$B$25"</definedName>
    <definedName name="taux_revente_serveur">"$#REF!.$B$33"</definedName>
    <definedName name="TB">"'file:///F:/Documents and Settings/SHADOW/DOCS/CHEECHUNG/Book2.xls'#$Sheet3.$#REF!$#REF!"</definedName>
    <definedName name="Term_in_years">#REF!</definedName>
    <definedName name="this">'[29]Entity Data'!$G$8</definedName>
    <definedName name="Titl">'[36]5 Analysis'!#REF!</definedName>
    <definedName name="Title">'[17]4 Analysis'!#REF!</definedName>
    <definedName name="Title___0">'[37]4 Analysis'!#REF!</definedName>
    <definedName name="Title___44">'[37]4 Analysis'!#REF!</definedName>
    <definedName name="Title___77">'[37]4 Analysis'!#REF!</definedName>
    <definedName name="Title1">#REF!</definedName>
    <definedName name="Toolkit_Version">#REF!</definedName>
    <definedName name="TOT_EXP">"'file:///F:/Documents and Settings/SHADOW/DOCS/CHEECHUNG/Book2.xls'#$'NTFS_profit from operations'.$#REF!$#REF!"</definedName>
    <definedName name="TotalCA">[38]ca!#REF!</definedName>
    <definedName name="TotalCA___0">[39]ca!#REF!</definedName>
    <definedName name="TotalCA___44">[39]ca!#REF!</definedName>
    <definedName name="TotalCA___77">[39]ca!#REF!</definedName>
    <definedName name="TotalHP">#REF!</definedName>
    <definedName name="TotalIBA">#REF!</definedName>
    <definedName name="TotalLA">#REF!</definedName>
    <definedName name="TOTALS">#REF!</definedName>
    <definedName name="tps_fab_page_pattern">"$#REF!.$B$29"</definedName>
    <definedName name="TR">[2]nta_fa_company!$A$6:$S$38</definedName>
    <definedName name="Trade">"$#REF!.$A$2:$L$11"</definedName>
    <definedName name="TransferAsset">#REF!</definedName>
    <definedName name="trialbal1">[12]gl!#REF!</definedName>
    <definedName name="tt">#REF!</definedName>
    <definedName name="Type">#REF!</definedName>
    <definedName name="Type___0">[35]FF_11!#REF!</definedName>
    <definedName name="Type___44">[35]FF_11!#REF!</definedName>
    <definedName name="Type___77">[35]FF_11!#REF!</definedName>
    <definedName name="tyu">[25]B!$C$7</definedName>
    <definedName name="u">'[40]Bal Sheet'!$N$4</definedName>
    <definedName name="uj">[25]FSA!$A$1</definedName>
    <definedName name="uu">#REF!,#REF!</definedName>
    <definedName name="VALID01234">#REF!,#REF!</definedName>
    <definedName name="VALID1234">#REF!,#REF!</definedName>
    <definedName name="vvvv">"$#REF!.$AC$19"</definedName>
    <definedName name="wps">'[41]FF-6'!$A$5:$K$9</definedName>
    <definedName name="x">'[40]Bal Sheet'!$L$4</definedName>
    <definedName name="xsd">"$#REF!.$AD$20"</definedName>
    <definedName name="xx">#REF!</definedName>
    <definedName name="xyz">#REF!</definedName>
    <definedName name="y">'[40]Bal Sheet'!$N$4</definedName>
    <definedName name="YA">#REF!</definedName>
    <definedName name="YA_of_Tranferor">#REF!</definedName>
    <definedName name="YA_of_Transferor">#REF!</definedName>
    <definedName name="YA_transferred_in">#REF!</definedName>
    <definedName name="YE">[31]FSL!$B$2</definedName>
    <definedName name="you">'[17]1 LeadSchedule'!#REF!</definedName>
    <definedName name="you___0">[18]FF_2!#REF!</definedName>
    <definedName name="you___44">[18]FF_2!#REF!</definedName>
    <definedName name="you___77">[18]FF_2!#REF!</definedName>
    <definedName name="YTD_DEPRN">[42]accumdeprn!$A$3:$M$36</definedName>
    <definedName name="YY">#REF!</definedName>
    <definedName name="z">'[40]Bal Sheet'!$L$4</definedName>
    <definedName name="Z_39BC5E81_0594_11D1_8C74_006097B34275_.wvu.FilterData" hidden="1">#REF!</definedName>
    <definedName name="Z_39BC5E82_0594_11D1_8C74_006097B34275_.wvu.FilterData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B8175DE2_E97C_11D0_8C74_006097B34275_.wvu.FilterData" hidden="1">#REF!</definedName>
    <definedName name="Z_DCA8D884_2605_11D1_A510_006097B38048_.wvu.FilterData" hidden="1">#REF!</definedName>
    <definedName name="Z_E2699901_D040_11D0_A510_006097B38048_.wvu.FilterData" hidden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7" i="2" l="1"/>
  <c r="F55" i="2"/>
  <c r="H55" i="2" s="1"/>
  <c r="F44" i="5" l="1"/>
  <c r="M44" i="5" s="1"/>
  <c r="M21" i="5"/>
  <c r="L21" i="5"/>
  <c r="L44" i="5" l="1"/>
  <c r="H17" i="4" l="1"/>
  <c r="H12" i="4"/>
  <c r="Y71" i="2"/>
  <c r="Z71" i="2" s="1"/>
  <c r="Z72" i="2" s="1"/>
  <c r="Z73" i="2" s="1"/>
  <c r="Z74" i="2" s="1"/>
  <c r="Y69" i="2"/>
  <c r="R54" i="2"/>
  <c r="AB54" i="2" s="1"/>
  <c r="Q53" i="2"/>
  <c r="AB53" i="2" s="1"/>
  <c r="V52" i="2"/>
  <c r="AB52" i="2" s="1"/>
  <c r="V50" i="2"/>
  <c r="AB50" i="2" s="1"/>
  <c r="Y75" i="2" l="1"/>
  <c r="Y56" i="2" s="1"/>
  <c r="I56" i="2" s="1"/>
  <c r="AB29" i="2"/>
  <c r="W41" i="2"/>
  <c r="AB41" i="2" s="1"/>
  <c r="Q40" i="2"/>
  <c r="V40" i="2" s="1"/>
  <c r="V60" i="2" s="1"/>
  <c r="C33" i="5" s="1"/>
  <c r="J40" i="2"/>
  <c r="X39" i="2"/>
  <c r="AB39" i="2" s="1"/>
  <c r="W60" i="2"/>
  <c r="C34" i="5" s="1"/>
  <c r="X60" i="2"/>
  <c r="C35" i="5" s="1"/>
  <c r="Q38" i="2"/>
  <c r="L35" i="5" l="1"/>
  <c r="M35" i="5"/>
  <c r="M34" i="5"/>
  <c r="L34" i="5"/>
  <c r="L33" i="5"/>
  <c r="M33" i="5"/>
  <c r="AB40" i="2"/>
  <c r="Q60" i="2"/>
  <c r="Y38" i="2"/>
  <c r="Y60" i="2" s="1"/>
  <c r="C36" i="5" s="1"/>
  <c r="D28" i="5" l="1"/>
  <c r="L28" i="5" s="1"/>
  <c r="L36" i="5"/>
  <c r="M36" i="5"/>
  <c r="AB38" i="2"/>
  <c r="M28" i="5" l="1"/>
  <c r="S51" i="2"/>
  <c r="AB51" i="2" s="1"/>
  <c r="S45" i="2"/>
  <c r="AB45" i="2" s="1"/>
  <c r="R49" i="2"/>
  <c r="AB49" i="2" s="1"/>
  <c r="S48" i="2"/>
  <c r="AB48" i="2" s="1"/>
  <c r="R46" i="2"/>
  <c r="AB46" i="2" s="1"/>
  <c r="R44" i="2"/>
  <c r="AB44" i="2" s="1"/>
  <c r="S43" i="2"/>
  <c r="AB43" i="2" s="1"/>
  <c r="S42" i="2"/>
  <c r="AB42" i="2" s="1"/>
  <c r="R37" i="2"/>
  <c r="AB37" i="2" s="1"/>
  <c r="S36" i="2"/>
  <c r="AB36" i="2" s="1"/>
  <c r="R35" i="2"/>
  <c r="AB35" i="2" s="1"/>
  <c r="R34" i="2"/>
  <c r="AB34" i="2" s="1"/>
  <c r="S33" i="2"/>
  <c r="AB33" i="2" s="1"/>
  <c r="F32" i="2"/>
  <c r="S31" i="2"/>
  <c r="AB31" i="2" s="1"/>
  <c r="R30" i="2"/>
  <c r="AB30" i="2" s="1"/>
  <c r="F28" i="2"/>
  <c r="F27" i="2"/>
  <c r="F25" i="2"/>
  <c r="AB25" i="2" s="1"/>
  <c r="M24" i="2"/>
  <c r="M23" i="2"/>
  <c r="E24" i="2"/>
  <c r="E23" i="2"/>
  <c r="D22" i="2"/>
  <c r="F19" i="2"/>
  <c r="F18" i="2"/>
  <c r="F17" i="2"/>
  <c r="F16" i="2"/>
  <c r="F15" i="2"/>
  <c r="F14" i="2"/>
  <c r="F12" i="2"/>
  <c r="M21" i="2"/>
  <c r="AB21" i="2" s="1"/>
  <c r="M20" i="2"/>
  <c r="AB20" i="2" s="1"/>
  <c r="S13" i="2"/>
  <c r="AB13" i="2" s="1"/>
  <c r="F11" i="2"/>
  <c r="R10" i="2"/>
  <c r="AB10" i="2" s="1"/>
  <c r="G9" i="2"/>
  <c r="AB9" i="2" s="1"/>
  <c r="AA60" i="2"/>
  <c r="O60" i="2"/>
  <c r="N60" i="2"/>
  <c r="L60" i="2"/>
  <c r="K60" i="2"/>
  <c r="D18" i="5" s="1"/>
  <c r="I60" i="2"/>
  <c r="C14" i="5" s="1"/>
  <c r="T60" i="2"/>
  <c r="C31" i="5" s="1"/>
  <c r="AB58" i="2"/>
  <c r="AB57" i="2"/>
  <c r="AB56" i="2"/>
  <c r="J60" i="2"/>
  <c r="D16" i="5" s="1"/>
  <c r="M31" i="5" l="1"/>
  <c r="L31" i="5"/>
  <c r="M14" i="5"/>
  <c r="L14" i="5"/>
  <c r="M16" i="5"/>
  <c r="L16" i="5"/>
  <c r="M18" i="5"/>
  <c r="L18" i="5"/>
  <c r="M11" i="2"/>
  <c r="AB11" i="2" s="1"/>
  <c r="M19" i="2"/>
  <c r="AB19" i="2" s="1"/>
  <c r="S28" i="2"/>
  <c r="AB28" i="2" s="1"/>
  <c r="M16" i="2"/>
  <c r="AB16" i="2" s="1"/>
  <c r="S17" i="2"/>
  <c r="AB17" i="2" s="1"/>
  <c r="M18" i="2"/>
  <c r="AB18" i="2" s="1"/>
  <c r="S12" i="2"/>
  <c r="AB12" i="2" s="1"/>
  <c r="AB23" i="2"/>
  <c r="M15" i="2"/>
  <c r="AB15" i="2" s="1"/>
  <c r="M14" i="2"/>
  <c r="AB14" i="2" s="1"/>
  <c r="AB24" i="2"/>
  <c r="Z32" i="2"/>
  <c r="Z60" i="2" s="1"/>
  <c r="D37" i="5" s="1"/>
  <c r="S27" i="2"/>
  <c r="AB27" i="2" s="1"/>
  <c r="R60" i="2"/>
  <c r="F22" i="2"/>
  <c r="D60" i="2"/>
  <c r="C10" i="5" s="1"/>
  <c r="G60" i="2"/>
  <c r="D20" i="5" s="1"/>
  <c r="U60" i="2"/>
  <c r="C32" i="5" s="1"/>
  <c r="AB59" i="2"/>
  <c r="D29" i="5" l="1"/>
  <c r="L29" i="5" s="1"/>
  <c r="M29" i="5"/>
  <c r="M37" i="5"/>
  <c r="L37" i="5"/>
  <c r="M32" i="5"/>
  <c r="L32" i="5"/>
  <c r="M20" i="5"/>
  <c r="L20" i="5"/>
  <c r="L10" i="5"/>
  <c r="M10" i="5"/>
  <c r="AB32" i="2"/>
  <c r="F26" i="2"/>
  <c r="F60" i="2" s="1"/>
  <c r="S60" i="2"/>
  <c r="E22" i="2"/>
  <c r="D39" i="5" l="1"/>
  <c r="C11" i="5"/>
  <c r="M11" i="5" s="1"/>
  <c r="C30" i="5"/>
  <c r="H26" i="2"/>
  <c r="E60" i="2"/>
  <c r="AB22" i="2"/>
  <c r="F21" i="1"/>
  <c r="F22" i="1"/>
  <c r="F23" i="1"/>
  <c r="F20" i="1"/>
  <c r="F24" i="1" s="1"/>
  <c r="D24" i="1"/>
  <c r="L11" i="5" l="1"/>
  <c r="N11" i="5"/>
  <c r="M60" i="2"/>
  <c r="D17" i="5" s="1"/>
  <c r="H60" i="2"/>
  <c r="C13" i="5" s="1"/>
  <c r="C23" i="5" s="1"/>
  <c r="M30" i="5"/>
  <c r="M39" i="5" s="1"/>
  <c r="C39" i="5"/>
  <c r="L30" i="5"/>
  <c r="L39" i="5" s="1"/>
  <c r="AB26" i="2"/>
  <c r="M17" i="5" l="1"/>
  <c r="L17" i="5"/>
  <c r="D23" i="5"/>
  <c r="D24" i="5" s="1"/>
  <c r="D25" i="5" s="1"/>
  <c r="M13" i="5"/>
  <c r="L13" i="5"/>
  <c r="AB62" i="2"/>
  <c r="AB60" i="2"/>
  <c r="M40" i="5"/>
  <c r="M41" i="5" s="1"/>
  <c r="L40" i="5"/>
  <c r="M43" i="5" s="1"/>
  <c r="C40" i="5"/>
  <c r="C41" i="5" s="1"/>
  <c r="D40" i="5"/>
  <c r="D41" i="5" s="1"/>
  <c r="M23" i="5" l="1"/>
  <c r="L23" i="5"/>
  <c r="L24" i="5" s="1"/>
  <c r="L25" i="5" s="1"/>
  <c r="N18" i="5"/>
  <c r="C24" i="5"/>
  <c r="C25" i="5" s="1"/>
  <c r="L41" i="5"/>
  <c r="M46" i="5"/>
  <c r="L45" i="5"/>
  <c r="L46" i="5" s="1"/>
  <c r="M24" i="5" l="1"/>
  <c r="M25" i="5" l="1"/>
  <c r="N24" i="5"/>
</calcChain>
</file>

<file path=xl/sharedStrings.xml><?xml version="1.0" encoding="utf-8"?>
<sst xmlns="http://schemas.openxmlformats.org/spreadsheetml/2006/main" count="205" uniqueCount="109">
  <si>
    <t>UEN No</t>
  </si>
  <si>
    <t>:</t>
  </si>
  <si>
    <t>Incorporation date</t>
  </si>
  <si>
    <t>Registered office</t>
  </si>
  <si>
    <t>Financial year end</t>
  </si>
  <si>
    <t>Director</t>
  </si>
  <si>
    <t>Yu Qichuan</t>
  </si>
  <si>
    <t>Secretary</t>
  </si>
  <si>
    <t>Tricia Wanxuan</t>
  </si>
  <si>
    <t>100 Jalan Sultan #02-44, Sultan Plaza, Singapore 199001</t>
  </si>
  <si>
    <t>YWX HOLDING PTE LTD</t>
  </si>
  <si>
    <t>May</t>
  </si>
  <si>
    <t xml:space="preserve"> 202119939E</t>
  </si>
  <si>
    <t xml:space="preserve"> 7/6/2021</t>
  </si>
  <si>
    <t xml:space="preserve"> 66 Elias Road #07-11 Oasis @ Elias, Singapore 519941</t>
  </si>
  <si>
    <t>Shareholders and their shareholdings</t>
  </si>
  <si>
    <t>Xia Limin</t>
  </si>
  <si>
    <t>Wang Wei</t>
  </si>
  <si>
    <t>Wang Ji</t>
  </si>
  <si>
    <t>No of shares</t>
  </si>
  <si>
    <t>% held</t>
  </si>
  <si>
    <t>Descriptions</t>
  </si>
  <si>
    <t>Total</t>
  </si>
  <si>
    <t>S$</t>
  </si>
  <si>
    <t>BANK TRANSACTION DETAILS</t>
  </si>
  <si>
    <t>Date</t>
  </si>
  <si>
    <t>Share capital</t>
  </si>
  <si>
    <t>OCBC               SGD</t>
  </si>
  <si>
    <t>US$</t>
  </si>
  <si>
    <t>OCBC - USD</t>
  </si>
  <si>
    <t>Misc income</t>
  </si>
  <si>
    <t>MAS: Financial Database - Exchange Rates</t>
  </si>
  <si>
    <t>Exchange Rates (Monthly)</t>
  </si>
  <si>
    <t>Sep 2021 to Nov 2021</t>
  </si>
  <si>
    <t>End of Period</t>
  </si>
  <si>
    <t>S$ Per Unit of US Dollar</t>
  </si>
  <si>
    <t>S$ Per 100 Units of Chinese Renminbi</t>
  </si>
  <si>
    <t>Sep</t>
  </si>
  <si>
    <t>Oct</t>
  </si>
  <si>
    <t>Nov</t>
  </si>
  <si>
    <t>* Yearly, monthly and weekly figures are end period values.</t>
  </si>
  <si>
    <t>* Daily figures are values as of noon.</t>
  </si>
  <si>
    <t>Bank charges</t>
  </si>
  <si>
    <t>Wang Ji - fund transfer</t>
  </si>
  <si>
    <t>Xia Limin - fund transfer</t>
  </si>
  <si>
    <t>Yu Qichuan - fund transfer</t>
  </si>
  <si>
    <t>Wang Wei - fund transfer</t>
  </si>
  <si>
    <t>Yu Qichuan/Wang Ji - fund transfer</t>
  </si>
  <si>
    <t>Fund transferred</t>
  </si>
  <si>
    <t>General expenses</t>
  </si>
  <si>
    <t>Incorporation fee $315+$600+Stamp$19</t>
  </si>
  <si>
    <t>Incorproation &amp; Sec.fees</t>
  </si>
  <si>
    <t>Utility fees rec'd - Ban Leong</t>
  </si>
  <si>
    <t>Gain in exchange</t>
  </si>
  <si>
    <t>USD a/c exchange difference</t>
  </si>
  <si>
    <t>Bank charges paid for transfer fund to Xia</t>
  </si>
  <si>
    <t>PERIOD ENDED 31.5.2022</t>
  </si>
  <si>
    <t>JOURNAL ENTRIES</t>
  </si>
  <si>
    <t>DR</t>
  </si>
  <si>
    <t>CR</t>
  </si>
  <si>
    <t>Deposit paid</t>
  </si>
  <si>
    <t>Deposit received</t>
  </si>
  <si>
    <t>Management fees rec'd</t>
  </si>
  <si>
    <t>Rent paid</t>
  </si>
  <si>
    <t>Telephone &amp; internet</t>
  </si>
  <si>
    <t>Transport</t>
  </si>
  <si>
    <t>Utilities</t>
  </si>
  <si>
    <t>MDK (S) - Telephone &amp; internet (Inv. 2022-1004)</t>
  </si>
  <si>
    <t>MDK (S) - Office rent Apr 22 (Inv. 2022-1005)</t>
  </si>
  <si>
    <t>MDK (S) - Office rent May 22 (Inv. 2022-1006)</t>
  </si>
  <si>
    <t>MMT SG Pte Ltd - office rent May 22</t>
  </si>
  <si>
    <t>Being refund of utility deposit adjusted</t>
  </si>
  <si>
    <t>Ref.</t>
  </si>
  <si>
    <t>2022-1001</t>
  </si>
  <si>
    <t>2022-1002</t>
  </si>
  <si>
    <t>2022-1003</t>
  </si>
  <si>
    <t>2022-1004</t>
  </si>
  <si>
    <t>MDK (S) - Office car park Jul21 to Feb22</t>
  </si>
  <si>
    <t>MDK (S) - Utilities Jul21 to Jan22</t>
  </si>
  <si>
    <t>MDK (S) - Office rent Jul21 to Feb22</t>
  </si>
  <si>
    <t>2022-1005</t>
  </si>
  <si>
    <t>2022-1006</t>
  </si>
  <si>
    <t>JE(1)</t>
  </si>
  <si>
    <t>Utility deposit</t>
  </si>
  <si>
    <t>Utilities from Feb21 to May21</t>
  </si>
  <si>
    <t>Accruals</t>
  </si>
  <si>
    <t>Being Apr &amp; May telephone/internet charges accrued</t>
  </si>
  <si>
    <t>Telephone &amp; internet charges for Apr&amp;May22</t>
  </si>
  <si>
    <t>JE(2)</t>
  </si>
  <si>
    <t>TRIAL BALANCE WORKSHEET</t>
  </si>
  <si>
    <t>Description</t>
  </si>
  <si>
    <t>Trial balance</t>
  </si>
  <si>
    <t>Adjustment</t>
  </si>
  <si>
    <t>Adjusted trial balances</t>
  </si>
  <si>
    <t>Retained earnings</t>
  </si>
  <si>
    <t>Net profit for the year</t>
  </si>
  <si>
    <t>Other Icome</t>
  </si>
  <si>
    <t>Net profit before tax</t>
  </si>
  <si>
    <t>Income tax expense</t>
  </si>
  <si>
    <t>Net profit after tax</t>
  </si>
  <si>
    <t>`</t>
  </si>
  <si>
    <t>OCBC - SGD</t>
  </si>
  <si>
    <t>Management fees received</t>
  </si>
  <si>
    <t>Accountancy &amp; secretarial fees</t>
  </si>
  <si>
    <t>Genearl expenses</t>
  </si>
  <si>
    <t>Transport expenses</t>
  </si>
  <si>
    <t>Water &amp; electricity</t>
  </si>
  <si>
    <t>Investment in MDK (Zhejiang)</t>
  </si>
  <si>
    <t>Loan from shareholders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</si>
</sst>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-* #,##0.0000_-;\-* #,##0.0000_-;_-* &quot;-&quot;??_-;_-@_-"/>
    <numFmt numFmtId="167" formatCode="_(* #,##0.0000_);_(* \(#,##0.0000\);_(* &quot;-&quot;??_);_(@_)"/>
    <numFmt numFmtId="168" formatCode="0."/>
  </numFmts>
  <fonts count="12" x14ac:knownFonts="1">
    <font>
      <sz val="10"/>
      <color theme="1"/>
      <name val="Arial"/>
      <family val="2"/>
    </font>
    <font>
      <u/>
      <sz val="11"/>
      <color theme="1"/>
      <name val="Arial"/>
      <family val="2"/>
    </font>
    <font>
      <u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u/>
      <sz val="10"/>
      <color theme="1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164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0" borderId="0"/>
  </cellStyleXfs>
  <cellXfs count="88">
    <xf numFmtId="0" fontId="0" fillId="0" borderId="0" xfId="0"/>
    <xf numFmtId="0" fontId="1" fillId="0" borderId="0" xfId="0" applyFont="1" applyAlignment="1">
      <alignment horizontal="left"/>
    </xf>
    <xf numFmtId="164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164" fontId="3" fillId="0" borderId="0" xfId="0" applyNumberFormat="1" applyFont="1"/>
    <xf numFmtId="49" fontId="3" fillId="0" borderId="0" xfId="0" applyNumberFormat="1" applyFont="1" applyAlignment="1">
      <alignment horizontal="left"/>
    </xf>
    <xf numFmtId="14" fontId="3" fillId="0" borderId="0" xfId="1" quotePrefix="1" applyNumberFormat="1" applyFont="1" applyBorder="1" applyAlignment="1">
      <alignment horizontal="left"/>
    </xf>
    <xf numFmtId="49" fontId="3" fillId="0" borderId="0" xfId="0" applyNumberFormat="1" applyFont="1"/>
    <xf numFmtId="0" fontId="3" fillId="0" borderId="0" xfId="0" applyFont="1" applyAlignment="1">
      <alignment horizontal="center"/>
    </xf>
    <xf numFmtId="165" fontId="3" fillId="0" borderId="0" xfId="2" applyNumberFormat="1" applyFont="1"/>
    <xf numFmtId="165" fontId="3" fillId="0" borderId="1" xfId="2" applyNumberFormat="1" applyFont="1" applyBorder="1"/>
    <xf numFmtId="9" fontId="3" fillId="0" borderId="0" xfId="3" applyFont="1" applyAlignment="1">
      <alignment horizontal="center"/>
    </xf>
    <xf numFmtId="9" fontId="3" fillId="0" borderId="1" xfId="0" applyNumberFormat="1" applyFont="1" applyBorder="1" applyAlignment="1">
      <alignment horizontal="center"/>
    </xf>
    <xf numFmtId="165" fontId="3" fillId="0" borderId="0" xfId="2" applyNumberFormat="1" applyFont="1" applyBorder="1"/>
    <xf numFmtId="0" fontId="7" fillId="0" borderId="0" xfId="0" applyFont="1"/>
    <xf numFmtId="0" fontId="5" fillId="0" borderId="0" xfId="0" applyFont="1"/>
    <xf numFmtId="0" fontId="8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4" fontId="5" fillId="0" borderId="0" xfId="0" applyNumberFormat="1" applyFont="1" applyAlignment="1">
      <alignment horizontal="left"/>
    </xf>
    <xf numFmtId="164" fontId="5" fillId="0" borderId="0" xfId="4" applyFont="1" applyFill="1"/>
    <xf numFmtId="164" fontId="5" fillId="0" borderId="0" xfId="4" applyFont="1"/>
    <xf numFmtId="164" fontId="5" fillId="0" borderId="1" xfId="4" applyFont="1" applyFill="1" applyBorder="1"/>
    <xf numFmtId="164" fontId="5" fillId="0" borderId="1" xfId="4" applyFont="1" applyBorder="1"/>
    <xf numFmtId="164" fontId="5" fillId="0" borderId="0" xfId="4" applyFont="1" applyFill="1" applyBorder="1"/>
    <xf numFmtId="164" fontId="5" fillId="0" borderId="0" xfId="4" applyFont="1" applyBorder="1"/>
    <xf numFmtId="164" fontId="5" fillId="0" borderId="0" xfId="0" applyNumberFormat="1" applyFont="1"/>
    <xf numFmtId="0" fontId="5" fillId="0" borderId="2" xfId="0" applyFont="1" applyBorder="1" applyAlignment="1">
      <alignment horizontal="center" wrapText="1"/>
    </xf>
    <xf numFmtId="43" fontId="5" fillId="0" borderId="0" xfId="2" applyFont="1"/>
    <xf numFmtId="0" fontId="5" fillId="2" borderId="2" xfId="0" applyFont="1" applyFill="1" applyBorder="1" applyAlignment="1">
      <alignment horizontal="center" wrapText="1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164" fontId="5" fillId="2" borderId="0" xfId="4" applyFont="1" applyFill="1"/>
    <xf numFmtId="164" fontId="5" fillId="2" borderId="1" xfId="4" applyFont="1" applyFill="1" applyBorder="1"/>
    <xf numFmtId="164" fontId="5" fillId="2" borderId="0" xfId="4" applyFont="1" applyFill="1" applyBorder="1"/>
    <xf numFmtId="43" fontId="5" fillId="0" borderId="0" xfId="0" applyNumberFormat="1" applyFont="1"/>
    <xf numFmtId="166" fontId="7" fillId="0" borderId="0" xfId="0" applyNumberFormat="1" applyFont="1"/>
    <xf numFmtId="167" fontId="5" fillId="0" borderId="0" xfId="4" applyNumberFormat="1" applyFont="1" applyFill="1"/>
    <xf numFmtId="0" fontId="8" fillId="0" borderId="0" xfId="0" applyFont="1"/>
    <xf numFmtId="0" fontId="7" fillId="0" borderId="0" xfId="0" applyFont="1" applyAlignment="1">
      <alignment horizontal="center"/>
    </xf>
    <xf numFmtId="168" fontId="5" fillId="0" borderId="0" xfId="5" applyNumberFormat="1" applyFont="1" applyBorder="1" applyAlignment="1">
      <alignment horizontal="left"/>
    </xf>
    <xf numFmtId="164" fontId="5" fillId="0" borderId="0" xfId="6" applyFont="1"/>
    <xf numFmtId="39" fontId="5" fillId="0" borderId="0" xfId="0" applyNumberFormat="1" applyFont="1"/>
    <xf numFmtId="164" fontId="5" fillId="0" borderId="0" xfId="1" applyFont="1"/>
    <xf numFmtId="2" fontId="5" fillId="0" borderId="2" xfId="5" applyNumberFormat="1" applyFont="1" applyBorder="1"/>
    <xf numFmtId="2" fontId="5" fillId="0" borderId="0" xfId="5" applyNumberFormat="1" applyFont="1" applyBorder="1"/>
    <xf numFmtId="0" fontId="9" fillId="0" borderId="2" xfId="0" applyFont="1" applyBorder="1" applyAlignment="1">
      <alignment horizontal="center" wrapText="1"/>
    </xf>
    <xf numFmtId="164" fontId="5" fillId="0" borderId="2" xfId="4" applyFont="1" applyFill="1" applyBorder="1"/>
    <xf numFmtId="43" fontId="5" fillId="0" borderId="3" xfId="2" applyFont="1" applyBorder="1"/>
    <xf numFmtId="0" fontId="7" fillId="0" borderId="0" xfId="7" applyFont="1"/>
    <xf numFmtId="0" fontId="5" fillId="0" borderId="0" xfId="7" applyFont="1"/>
    <xf numFmtId="0" fontId="5" fillId="0" borderId="0" xfId="7" applyFont="1" applyAlignment="1">
      <alignment horizontal="left"/>
    </xf>
    <xf numFmtId="0" fontId="7" fillId="0" borderId="0" xfId="7" applyFont="1" applyAlignment="1">
      <alignment horizontal="left"/>
    </xf>
    <xf numFmtId="0" fontId="5" fillId="3" borderId="0" xfId="7" applyFont="1" applyFill="1"/>
    <xf numFmtId="164" fontId="5" fillId="0" borderId="0" xfId="1" applyFont="1" applyAlignment="1">
      <alignment horizontal="center"/>
    </xf>
    <xf numFmtId="164" fontId="5" fillId="0" borderId="0" xfId="1" applyFont="1" applyAlignment="1">
      <alignment horizontal="centerContinuous"/>
    </xf>
    <xf numFmtId="164" fontId="5" fillId="0" borderId="0" xfId="7" applyNumberFormat="1" applyFont="1" applyAlignment="1">
      <alignment horizontal="center"/>
    </xf>
    <xf numFmtId="2" fontId="5" fillId="0" borderId="0" xfId="7" applyNumberFormat="1" applyFont="1" applyAlignment="1">
      <alignment horizontal="center"/>
    </xf>
    <xf numFmtId="2" fontId="5" fillId="0" borderId="0" xfId="7" applyNumberFormat="1" applyFont="1" applyAlignment="1">
      <alignment horizontal="centerContinuous"/>
    </xf>
    <xf numFmtId="164" fontId="5" fillId="0" borderId="0" xfId="7" applyNumberFormat="1" applyFont="1"/>
    <xf numFmtId="1" fontId="5" fillId="0" borderId="0" xfId="7" applyNumberFormat="1" applyFont="1"/>
    <xf numFmtId="164" fontId="5" fillId="0" borderId="0" xfId="1" applyFont="1" applyFill="1"/>
    <xf numFmtId="164" fontId="5" fillId="3" borderId="0" xfId="1" applyFont="1" applyFill="1"/>
    <xf numFmtId="164" fontId="5" fillId="0" borderId="0" xfId="1" applyFont="1" applyBorder="1"/>
    <xf numFmtId="164" fontId="5" fillId="0" borderId="4" xfId="1" applyFont="1" applyBorder="1"/>
    <xf numFmtId="164" fontId="5" fillId="0" borderId="5" xfId="1" applyFont="1" applyBorder="1"/>
    <xf numFmtId="164" fontId="5" fillId="0" borderId="0" xfId="1" applyFont="1" applyFill="1" applyBorder="1"/>
    <xf numFmtId="164" fontId="5" fillId="0" borderId="6" xfId="1" applyFont="1" applyBorder="1"/>
    <xf numFmtId="164" fontId="5" fillId="0" borderId="7" xfId="1" applyFont="1" applyBorder="1"/>
    <xf numFmtId="164" fontId="5" fillId="0" borderId="2" xfId="1" applyFont="1" applyBorder="1"/>
    <xf numFmtId="164" fontId="5" fillId="3" borderId="0" xfId="1" applyFont="1" applyFill="1" applyBorder="1"/>
    <xf numFmtId="164" fontId="5" fillId="0" borderId="8" xfId="1" applyFont="1" applyBorder="1"/>
    <xf numFmtId="0" fontId="5" fillId="4" borderId="0" xfId="7" applyFont="1" applyFill="1"/>
    <xf numFmtId="39" fontId="5" fillId="4" borderId="0" xfId="7" applyNumberFormat="1" applyFont="1" applyFill="1"/>
    <xf numFmtId="164" fontId="5" fillId="0" borderId="3" xfId="1" applyFont="1" applyBorder="1"/>
    <xf numFmtId="164" fontId="5" fillId="0" borderId="1" xfId="1" applyFont="1" applyBorder="1"/>
    <xf numFmtId="164" fontId="5" fillId="0" borderId="9" xfId="1" applyFont="1" applyBorder="1"/>
    <xf numFmtId="164" fontId="5" fillId="0" borderId="10" xfId="1" applyFont="1" applyBorder="1"/>
    <xf numFmtId="164" fontId="7" fillId="0" borderId="0" xfId="1" applyFont="1" applyAlignment="1">
      <alignment horizontal="center"/>
    </xf>
    <xf numFmtId="164" fontId="7" fillId="0" borderId="0" xfId="7" applyNumberFormat="1" applyFont="1" applyAlignment="1">
      <alignment horizontal="center"/>
    </xf>
    <xf numFmtId="0" fontId="7" fillId="0" borderId="0" xfId="7" applyFont="1" applyAlignment="1">
      <alignment horizontal="center"/>
    </xf>
    <xf numFmtId="0" fontId="5" fillId="0" borderId="2" xfId="0" applyFont="1" applyBorder="1" applyAlignment="1">
      <alignment horizontal="center" wrapText="1"/>
    </xf>
    <xf numFmtId="49" fontId="3" fillId="0" borderId="0" xfId="0" applyNumberFormat="1" applyFont="1" applyAlignment="1">
      <alignment horizontal="left"/>
    </xf>
  </cellXfs>
  <cellStyles count="8">
    <cellStyle name="Comma" xfId="2" builtinId="3"/>
    <cellStyle name="Comma 10" xfId="1" xr:uid="{B5B00FFB-7EF5-4DE5-96AD-506509764A29}"/>
    <cellStyle name="Comma 2" xfId="4" xr:uid="{42E28089-7F0F-4B6D-8DF9-E7F2D91AD35A}"/>
    <cellStyle name="Comma 33 2" xfId="6" xr:uid="{8BC22762-EE90-4C6E-80E3-9736FDFFF1CF}"/>
    <cellStyle name="Comma 7" xfId="5" xr:uid="{14E5CA9D-D4BA-450A-8186-86146CE3E3FC}"/>
    <cellStyle name="Normal" xfId="0" builtinId="0"/>
    <cellStyle name="Normal 2" xfId="7" xr:uid="{1C7CA357-1190-4189-B23F-15BCAD0C0E77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9" Type="http://schemas.openxmlformats.org/officeDocument/2006/relationships/externalLink" Target="externalLinks/externalLink34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50" Type="http://schemas.openxmlformats.org/officeDocument/2006/relationships/styles" Target="styles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4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8" Type="http://schemas.openxmlformats.org/officeDocument/2006/relationships/externalLink" Target="externalLinks/externalLink3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BAfile\Aud2\Mal225\malead99\09-AWPs\AllAWP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DIT-1\1%20Sharing\Elizabeth\Documents%20and%20Settings\SHADOW\DOCS\CHEECHUNG\Book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BAfile\AUD2\Nit344\Ye99\AWPs\Nit344_AWP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DATABASE\Ahmad%20Nazri%20Mohamad\Clients\AIH%20(Malaysia)%20Sdn%20Bhd\Update\Cybercode%20(M)%20Sdn%20Bhd\Cashflow%20-%20work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-a076\dhanjeet\Documents%20and%20Settings\Administrator\Desktop\STDCOMP-Ngiam....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lizabeth\Documents%20and%20Settings\SHADOW\DOCS\CHEECHUNG\Book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CFS0001\VOL2\AuditDepartment\Shirley\SFP\Sfp98\SFP9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Transwater\BPR\Clients\PacIns98\Year%20end%201998\11-AWPs\WINDOWS\TEMP\fish%20fund%2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MSOFFICE\EXCEL\MTHACCTS\MPSB'2K\MP2K1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choon.nie.voon\Desktop\Done\2006\Magna%20Focus\Ehwal%20Wajib\Audit\Aa2000\Sarawak%20Timber%20Industry%20Development%20Corporation\Consolidation\Stidcassociatedcompani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choon.nie.voon\Desktop\Done\2006\Magna%20Focus\Ehwal%20Wajib\TaxDepartment\FH\tcomp9\LKHAI9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MSOFFICE\EXCEL\MTHACCTS\MPSB'2K\MP2K1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choon.nie.voon\Desktop\Done\2006\Magna%20Focus\Ehwal%20Wajib\PAY_FI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DATA\dsfurniture\dsawp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mien\NTV%207\HKL\abacus\ABACUS-SCH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KL\abacus\lead-Abacus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choon.nie.voon\Desktop\Done\2006\Magna%20Focus\Ehwal%20Wajib\GAMUDA9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bsData\Audit\Aa2004\Heng%20Feng%20Industry%20Sdn.%20Bhd\Audit\Aa2001\Safeguards%20(Sarawak)%20Sdn.%20Bhd\AUDIT\Saf166\Year%20Ending%2030%20June,%202001\09-AllAWPs\Obsolete\SAF166-fina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sb06\c-rusman\PPSB%20Share\Bank%20Balanc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CA-Merli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udit\Aa1999\Safeguard%20(S'wak)%20Sdn%20Bhd\Tax\safegu2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BAfile\AUD2\Nit344\Ye99\AWPs\Nit344_AWP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-a076\dhanjeet\Documents%20and%20Settings\Administrator\Desktop\model%20of%20schedule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DATA\Year_End_2000\Examples\Awp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DIT-1\1%20Sharing\StandardDoc\Nst334_Awp1_without%20adj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AMUDA9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CAUDNCOM037\aws\TaxDepartment\FH\tcomp9\LKHAI9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A98\Bena%20ATK%20Sdn.%20Bhd\Tax\GAMUDA9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DATA\PC-PBPM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DATA\Pelangi\Awp00\Pelangi-%20AWP00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References\External%20Audit\FCI\01-Awps\Fra812_Awp_MH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WINDOWS\Desktop\DATA\wuerth\YE00\wuerth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DATA\Year_End_2000\Examples\Awp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ork\Mitsui\WINDOWS\TEMP\CLIENT\Carta%20Bintang%20SJ%20Sec\SJ%20Sec\PM%20work-99%20final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bsData\Audit\Aa2004\Heng%20Feng%20Industry%20Sdn.%20Bhd\Audit\Aa2001\Safeguards%20(Sarawak)%20Sdn.%20Bhd\AUDIT\Saf166\Year%20Ending%2030%20June,%202001\09-AllAWPs\Fieldworks\Safeguards01-AllAWP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KL\abacus\ABACUS-SCH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bsData\Audit\Aa2004\Heng%20Feng%20Industry%20Sdn.%20Bhd\AA99\SAFEGUARD%20(S'WAK)%20SDN%20BHD\Tax-4988-CTC99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choon.nie.voon\Desktop\Done\2006\Magna%20Focus\Ehwal%20Wajib\Audit\Aa1999\Safeguard%20(S'wak)%20Sdn%20Bhd\Tax\safegu2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bsData\Audit\Aa2004\Heng%20Feng%20Industry%20Sdn.%20Bhd\Audit\Aa1999\Safeguard%20(S'wak)%20Sdn%20Bhd\Tax\safegu20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EM%20Accounts\UEM%2006-2000\Accounts060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WINDOWS\Desktop\DATA\dsfurniture\dsawp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DATA\AUDIT\Pelangi%20Group\Pelangi\Ye2000\11-AWPs\FA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admin_mdkiopto_com/Documents/Desktop/WHT/Combustion%20Solution%20PL/2022/TB%20&amp;%20J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21_a_"/>
      <sheetName val="FF-21(a)"/>
      <sheetName val="0000"/>
      <sheetName val="BPR"/>
      <sheetName val="F-1"/>
      <sheetName val="F-2"/>
      <sheetName val="F-3"/>
      <sheetName val="Materiality"/>
      <sheetName val="F-4"/>
      <sheetName val="F-5"/>
      <sheetName val="F-6"/>
      <sheetName val="F-7"/>
      <sheetName val="F7wkg"/>
      <sheetName val="F-9"/>
      <sheetName val="F-22"/>
      <sheetName val="Cashflow"/>
      <sheetName val="BPR balance sheet"/>
      <sheetName val="BPR profit &amp; loss"/>
      <sheetName val="BPR BS analysis"/>
      <sheetName val="BPR PL analysis"/>
      <sheetName val="A-22"/>
      <sheetName val="B"/>
      <sheetName val="B-1"/>
      <sheetName val="C"/>
      <sheetName val="C-1"/>
      <sheetName val="L"/>
      <sheetName val="M"/>
      <sheetName val="N"/>
      <sheetName val="U"/>
      <sheetName val="U-100"/>
      <sheetName val="FF"/>
      <sheetName val="FF-1"/>
      <sheetName val="FF-10"/>
      <sheetName val="FF-20"/>
      <sheetName val="CA"/>
      <sheetName val="FF-22(hp)"/>
      <sheetName val="FF-23(d)"/>
      <sheetName val="FF-30"/>
      <sheetName val="FF-31"/>
      <sheetName val="FF-40"/>
      <sheetName val="PP"/>
      <sheetName val="PP(spare)"/>
      <sheetName val="PP-20"/>
      <sheetName val="31"/>
      <sheetName val="AA"/>
      <sheetName val="BB"/>
      <sheetName val="BB-1"/>
      <sheetName val="MM"/>
      <sheetName val="10"/>
      <sheetName val="Sheet1"/>
      <sheetName val="13"/>
      <sheetName val="14"/>
      <sheetName val="20"/>
      <sheetName val="30"/>
      <sheetName val="NN-12"/>
      <sheetName val="PP-30"/>
      <sheetName val="PP-31"/>
      <sheetName val="PP-40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_REF"/>
      <sheetName val="APM _ DPL"/>
      <sheetName val="DPL2"/>
      <sheetName val="nta_fa_company"/>
      <sheetName val="NTFS_Taxation"/>
      <sheetName val="Book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3"/>
      <sheetName val="F-1"/>
      <sheetName val="F-2"/>
      <sheetName val="F-3"/>
      <sheetName val="F-4"/>
      <sheetName val="F-5"/>
      <sheetName val="F-11"/>
      <sheetName val="F-11a"/>
      <sheetName val="F-22"/>
      <sheetName val="B-40"/>
      <sheetName val="B-50"/>
      <sheetName val="U "/>
      <sheetName val="U-10"/>
      <sheetName val="U-30"/>
      <sheetName val="BB-30"/>
      <sheetName val="CC-30"/>
      <sheetName val="FF-1"/>
      <sheetName val="FF-2"/>
      <sheetName val="FF-3"/>
      <sheetName val="FF-4"/>
      <sheetName val="FF-4a"/>
      <sheetName val="FF-5"/>
      <sheetName val="FF-6"/>
      <sheetName val="FF-7"/>
      <sheetName val="FF-8"/>
      <sheetName val="10"/>
      <sheetName val="11"/>
      <sheetName val="20"/>
      <sheetName val="21"/>
      <sheetName val="30"/>
      <sheetName val="40"/>
      <sheetName val="50"/>
      <sheetName val="DD-10"/>
      <sheetName val="ca"/>
      <sheetName val="Sheet3"/>
      <sheetName val="NTFS_Taxation"/>
      <sheetName val="DPL2"/>
      <sheetName val="APM _ DPL"/>
      <sheetName val="_REF"/>
      <sheetName val="nta_fa_compan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">
          <cell r="A1" t="str">
            <v>NITE BEAUTY INDUSTRIES SDN. BHD.</v>
          </cell>
        </row>
        <row r="2">
          <cell r="A2" t="str">
            <v>FILE NUMBER   :  C 0887357-07</v>
          </cell>
        </row>
        <row r="3">
          <cell r="A3" t="str">
            <v>SECTION 108 CREDIT BALANCE</v>
          </cell>
        </row>
        <row r="6">
          <cell r="A6" t="str">
            <v>YEAR</v>
          </cell>
          <cell r="C6" t="str">
            <v>BALANCE</v>
          </cell>
          <cell r="E6" t="str">
            <v>CURRENT</v>
          </cell>
          <cell r="I6" t="str">
            <v>DIVIDENDS</v>
          </cell>
          <cell r="K6" t="str">
            <v>BALANCE</v>
          </cell>
        </row>
        <row r="7">
          <cell r="A7" t="str">
            <v>ENDED</v>
          </cell>
          <cell r="C7" t="str">
            <v>B/F</v>
          </cell>
          <cell r="E7" t="str">
            <v>YEAR</v>
          </cell>
          <cell r="G7" t="str">
            <v>BALANCE</v>
          </cell>
          <cell r="I7" t="str">
            <v>PAID</v>
          </cell>
          <cell r="K7" t="str">
            <v>C/F</v>
          </cell>
        </row>
        <row r="10">
          <cell r="A10" t="str">
            <v>31.12.1996</v>
          </cell>
          <cell r="C10">
            <v>14969.4</v>
          </cell>
          <cell r="E10">
            <v>518067.6</v>
          </cell>
          <cell r="G10">
            <v>533037</v>
          </cell>
          <cell r="I10">
            <v>0</v>
          </cell>
          <cell r="K10">
            <v>533037</v>
          </cell>
        </row>
        <row r="11">
          <cell r="G11" t="str">
            <v xml:space="preserve"> </v>
          </cell>
          <cell r="K11" t="str">
            <v xml:space="preserve"> 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comp"/>
      <sheetName val="cashflowcomp (2)"/>
      <sheetName val="Sheet3"/>
      <sheetName val="NTFS_Taxation"/>
    </sheetNames>
    <sheetDataSet>
      <sheetData sheetId="0" refreshError="1">
        <row r="3">
          <cell r="D3" t="str">
            <v>GAS DISTRICT COOLING (PJ) SDN. BHD.</v>
          </cell>
        </row>
        <row r="4">
          <cell r="D4" t="str">
            <v>( Incorporated in Malaysia)</v>
          </cell>
        </row>
        <row r="7">
          <cell r="D7" t="str">
            <v xml:space="preserve"> CASH FLOW STATEMENT </v>
          </cell>
        </row>
        <row r="8">
          <cell r="D8" t="str">
            <v>FOR THE YEAR ENDED 31 MARCH , 2001</v>
          </cell>
        </row>
        <row r="10">
          <cell r="I10" t="str">
            <v>2001</v>
          </cell>
          <cell r="J10" t="str">
            <v>2000</v>
          </cell>
        </row>
        <row r="11">
          <cell r="D11" t="str">
            <v>CASH FLOWS FROM OPERATING ACTIVITIES</v>
          </cell>
          <cell r="I11" t="str">
            <v>RM</v>
          </cell>
          <cell r="J11" t="str">
            <v>RM</v>
          </cell>
        </row>
        <row r="13">
          <cell r="D13" t="str">
            <v>Cash receipts from customers</v>
          </cell>
          <cell r="I13">
            <v>3697160.66</v>
          </cell>
          <cell r="J13">
            <v>716427</v>
          </cell>
        </row>
        <row r="14">
          <cell r="D14" t="str">
            <v>Cash paid to suppliers and employees</v>
          </cell>
          <cell r="I14">
            <v>-21667502.68</v>
          </cell>
          <cell r="J14">
            <v>-5367923</v>
          </cell>
        </row>
        <row r="15">
          <cell r="I15">
            <v>-17970342.02</v>
          </cell>
          <cell r="J15">
            <v>-4651496</v>
          </cell>
        </row>
        <row r="16">
          <cell r="D16" t="str">
            <v>Interest Income from fund investments  (in respect</v>
          </cell>
          <cell r="J16" t="str">
            <v>-</v>
          </cell>
        </row>
        <row r="17">
          <cell r="D17" t="str">
            <v>of operating activities only)</v>
          </cell>
        </row>
        <row r="18">
          <cell r="D18" t="str">
            <v>Interest Expenses(in respect of operating activities only)</v>
          </cell>
        </row>
        <row r="19">
          <cell r="D19" t="str">
            <v>Taxation paid</v>
          </cell>
          <cell r="J19">
            <v>-28700</v>
          </cell>
        </row>
        <row r="21">
          <cell r="D21" t="str">
            <v>Net cash generated from operating activities</v>
          </cell>
          <cell r="I21">
            <v>-17970342.02</v>
          </cell>
          <cell r="J21">
            <v>-4680196</v>
          </cell>
        </row>
        <row r="23">
          <cell r="D23" t="str">
            <v>CASH FLOWS FROM INVESTING ACTIVITIES</v>
          </cell>
        </row>
        <row r="25">
          <cell r="D25" t="str">
            <v>Investment in subsidiary/ies</v>
          </cell>
        </row>
        <row r="26">
          <cell r="D26" t="str">
            <v>Proceeds from partial disposal of investment in subsiadiary/ies</v>
          </cell>
        </row>
        <row r="27">
          <cell r="D27" t="str">
            <v>Interest Income from fund investments</v>
          </cell>
          <cell r="I27">
            <v>10269.969999999999</v>
          </cell>
        </row>
        <row r="28">
          <cell r="D28" t="str">
            <v>Purchase of property, plant and equipment</v>
          </cell>
          <cell r="I28">
            <v>-8539614.5199999996</v>
          </cell>
          <cell r="J28">
            <v>-38429521</v>
          </cell>
        </row>
        <row r="29">
          <cell r="D29" t="str">
            <v>Proceeds from sale of property, plant and equipment</v>
          </cell>
          <cell r="J29" t="str">
            <v>-</v>
          </cell>
        </row>
        <row r="30">
          <cell r="D30" t="str">
            <v>Redemption of loan stocks</v>
          </cell>
          <cell r="J30" t="str">
            <v>-</v>
          </cell>
        </row>
        <row r="31">
          <cell r="D31" t="str">
            <v>Dividends received</v>
          </cell>
          <cell r="J31" t="str">
            <v>-</v>
          </cell>
        </row>
        <row r="32">
          <cell r="D32" t="str">
            <v>Long Term receivables</v>
          </cell>
          <cell r="J32" t="str">
            <v>-</v>
          </cell>
        </row>
        <row r="33">
          <cell r="D33" t="str">
            <v>Investment in Associates</v>
          </cell>
          <cell r="J33" t="str">
            <v>-</v>
          </cell>
        </row>
        <row r="34">
          <cell r="D34" t="str">
            <v>Purchase of other investments</v>
          </cell>
          <cell r="J34" t="str">
            <v>-</v>
          </cell>
        </row>
        <row r="35">
          <cell r="D35" t="str">
            <v>Exp c/f</v>
          </cell>
          <cell r="J35">
            <v>-2961</v>
          </cell>
        </row>
        <row r="37">
          <cell r="D37" t="str">
            <v>Net cash used in investing activities</v>
          </cell>
          <cell r="I37">
            <v>-8529344.5499999989</v>
          </cell>
          <cell r="J37">
            <v>-38432482</v>
          </cell>
        </row>
        <row r="40">
          <cell r="D40" t="str">
            <v>CASH FLOWS FROM FINANCING ACTIVITIES</v>
          </cell>
        </row>
        <row r="42">
          <cell r="D42" t="str">
            <v>Drawdown of Murabahah Note Issuance facilities and</v>
          </cell>
        </row>
        <row r="43">
          <cell r="D43" t="str">
            <v>Al Bai'bithaman Ajil long term facility</v>
          </cell>
        </row>
        <row r="44">
          <cell r="D44" t="str">
            <v xml:space="preserve">Repayment of Murabahah Note Issuance facilities and </v>
          </cell>
        </row>
        <row r="45">
          <cell r="D45" t="str">
            <v>Redeemable Islamic Debt Securities</v>
          </cell>
        </row>
        <row r="46">
          <cell r="D46" t="str">
            <v>Repayment of term loans</v>
          </cell>
        </row>
        <row r="47">
          <cell r="D47" t="str">
            <v>Interest expenses paid</v>
          </cell>
        </row>
        <row r="48">
          <cell r="D48" t="str">
            <v>Drawdown of term loans</v>
          </cell>
        </row>
        <row r="49">
          <cell r="D49" t="str">
            <v>Payment of finance lease /hire purchase liabilities</v>
          </cell>
        </row>
        <row r="50">
          <cell r="D50" t="str">
            <v>Interco Loan Drawdown</v>
          </cell>
          <cell r="I50">
            <v>28740000</v>
          </cell>
          <cell r="J50">
            <v>126262800</v>
          </cell>
        </row>
        <row r="51">
          <cell r="D51" t="str">
            <v>Interco Interest Expense</v>
          </cell>
          <cell r="J51">
            <v>-83231800</v>
          </cell>
        </row>
        <row r="53">
          <cell r="D53" t="str">
            <v>Net cash (used in)/generated from financing activities</v>
          </cell>
          <cell r="I53">
            <v>28740000</v>
          </cell>
          <cell r="J53">
            <v>43031000</v>
          </cell>
        </row>
        <row r="55">
          <cell r="D55" t="str">
            <v>NET INCREASE/(DECREASE) IN CASH AND CASH EQUIVALENTS</v>
          </cell>
          <cell r="I55">
            <v>2240313.4300000034</v>
          </cell>
          <cell r="J55">
            <v>-81678</v>
          </cell>
        </row>
        <row r="56">
          <cell r="D56" t="str">
            <v>CASH AND CASH EQUIVALENTS AT BEGINNING OF THE YEAR</v>
          </cell>
          <cell r="I56">
            <v>87335</v>
          </cell>
          <cell r="J56">
            <v>169013</v>
          </cell>
        </row>
        <row r="57">
          <cell r="I57">
            <v>2327648.4300000034</v>
          </cell>
          <cell r="J57">
            <v>87335</v>
          </cell>
        </row>
        <row r="59">
          <cell r="D59" t="str">
            <v>CASH AND CASH EQUIVALENTS AT END OF THE YEAR</v>
          </cell>
          <cell r="I59">
            <v>2327648.4300000034</v>
          </cell>
          <cell r="J59">
            <v>87335</v>
          </cell>
        </row>
        <row r="62">
          <cell r="D62" t="str">
            <v>CASH AND CASH EQUIVALENTS AT END OF THE YEAR</v>
          </cell>
        </row>
        <row r="64">
          <cell r="D64" t="str">
            <v>Cash and bank balances</v>
          </cell>
          <cell r="I64">
            <v>53648</v>
          </cell>
          <cell r="J64">
            <v>87335</v>
          </cell>
        </row>
        <row r="65">
          <cell r="D65" t="str">
            <v>Deposits</v>
          </cell>
          <cell r="I65">
            <v>2274000</v>
          </cell>
        </row>
        <row r="66">
          <cell r="D66" t="str">
            <v>Bank overdrafts</v>
          </cell>
        </row>
        <row r="67">
          <cell r="I67">
            <v>2327648</v>
          </cell>
          <cell r="J67">
            <v>87335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m (2)"/>
      <sheetName val="F13"/>
      <sheetName val="(3)E1"/>
      <sheetName val="3B"/>
      <sheetName val="3G1"/>
      <sheetName val="(3)C"/>
      <sheetName val="(2)v3"/>
      <sheetName val="FD"/>
      <sheetName val="DIRECTOR"/>
      <sheetName val="RP"/>
      <sheetName val="STDCOMP-Ngiam...."/>
      <sheetName val="STDCOMP-Ngiam.....xls"/>
    </sheetNames>
    <definedNames>
      <definedName name="____p2" refersTo="#REF!" sheetId="0"/>
      <definedName name="_p2" refersTo="#RE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_REF"/>
      <sheetName val="APM _ DPL"/>
      <sheetName val="DPL2"/>
      <sheetName val="nta_fa_company"/>
      <sheetName val="NTFS_Taxation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-60"/>
      <sheetName val="F-1,F-3"/>
      <sheetName val="F-4"/>
      <sheetName val="F-5"/>
      <sheetName val="F-6"/>
      <sheetName val="SFPCONSO"/>
      <sheetName val="CJE"/>
      <sheetName val="cashflow"/>
      <sheetName val="CF-U"/>
      <sheetName val="CF-FA"/>
      <sheetName val="Asset"/>
      <sheetName val="U-2"/>
      <sheetName val="DEPRE"/>
      <sheetName val="Liability"/>
      <sheetName val="CC-10"/>
      <sheetName val="FF-10"/>
      <sheetName val="P&amp;L"/>
      <sheetName val="30AR"/>
      <sheetName val="38"/>
      <sheetName val="38-1"/>
      <sheetName val="Fixed Assets (Group)"/>
      <sheetName val="Land  and Buildings "/>
      <sheetName val="Fixed Assets (Company)"/>
      <sheetName val="Sheet2"/>
      <sheetName val="Sheet5"/>
      <sheetName val="SFP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im ___ Top"/>
      <sheetName val="Instructions"/>
      <sheetName val="GL --&gt; Interim"/>
      <sheetName val="Interim --&gt; Top"/>
      <sheetName val="Top Summary"/>
      <sheetName val="GL Input Validations"/>
      <sheetName val="Scratchpad"/>
      <sheetName val="F-1,F-3"/>
    </sheetNames>
    <sheetDataSet>
      <sheetData sheetId="0" refreshError="1"/>
      <sheetData sheetId="1" refreshError="1"/>
      <sheetData sheetId="2" refreshError="1"/>
      <sheetData sheetId="3" refreshError="1">
        <row r="4">
          <cell r="E4" t="str">
            <v>Cash</v>
          </cell>
        </row>
        <row r="5">
          <cell r="E5" t="str">
            <v>Cash at bank</v>
          </cell>
        </row>
        <row r="6">
          <cell r="E6" t="str">
            <v>Deposits and placements with financial institutions</v>
          </cell>
        </row>
        <row r="7">
          <cell r="E7" t="str">
            <v>Trade receivables</v>
          </cell>
        </row>
        <row r="8">
          <cell r="E8" t="str">
            <v>Prepayments</v>
          </cell>
        </row>
        <row r="9">
          <cell r="E9" t="str">
            <v>Interfund account</v>
          </cell>
        </row>
        <row r="10">
          <cell r="E10" t="str">
            <v>Other debtors</v>
          </cell>
        </row>
        <row r="11">
          <cell r="E11" t="str">
            <v>Other debtors - deposits</v>
          </cell>
        </row>
        <row r="12">
          <cell r="E12" t="str">
            <v>AR Debtors - Affiliated Companies</v>
          </cell>
        </row>
        <row r="13">
          <cell r="E13" t="str">
            <v>Due from Holding Company</v>
          </cell>
        </row>
        <row r="14">
          <cell r="E14" t="str">
            <v>Provision for bad and doubtful debts</v>
          </cell>
        </row>
        <row r="15">
          <cell r="E15" t="str">
            <v>Provision for bad and doubtful debts - Related Companies</v>
          </cell>
        </row>
        <row r="16">
          <cell r="E16" t="str">
            <v>Stocks - Consumables</v>
          </cell>
        </row>
        <row r="17">
          <cell r="E17" t="str">
            <v>Stocks - Promotional Items</v>
          </cell>
        </row>
        <row r="18">
          <cell r="E18" t="str">
            <v>Current Account - Overseas Operations</v>
          </cell>
        </row>
        <row r="19">
          <cell r="E19" t="str">
            <v>Intermember bank balances</v>
          </cell>
        </row>
        <row r="20">
          <cell r="E20" t="str">
            <v>Current Account - Subsidiaries</v>
          </cell>
        </row>
        <row r="21">
          <cell r="E21" t="str">
            <v>Loan/Advances -Subsidiaries</v>
          </cell>
        </row>
        <row r="22">
          <cell r="E22" t="str">
            <v>Loan/Advance - Holding/Ultimate Holding Co</v>
          </cell>
        </row>
        <row r="23">
          <cell r="E23" t="str">
            <v>Current Account - Fellow Subsidiaries</v>
          </cell>
        </row>
        <row r="24">
          <cell r="E24" t="str">
            <v>Loan/Advance - fellow subsidiaries</v>
          </cell>
        </row>
        <row r="25">
          <cell r="E25" t="str">
            <v>Current Account - Affiliated Companies</v>
          </cell>
        </row>
        <row r="26">
          <cell r="E26" t="str">
            <v>Loan/Advance - Affiliated Companies</v>
          </cell>
        </row>
        <row r="27">
          <cell r="E27" t="str">
            <v>Investment in Quoted Shares</v>
          </cell>
        </row>
        <row r="28">
          <cell r="E28" t="str">
            <v>Other Investments</v>
          </cell>
        </row>
        <row r="29">
          <cell r="E29" t="str">
            <v>Provision for diminution</v>
          </cell>
        </row>
        <row r="30">
          <cell r="E30" t="str">
            <v>Fixed Assets</v>
          </cell>
        </row>
        <row r="31">
          <cell r="E31" t="str">
            <v>Provision for depreciation</v>
          </cell>
        </row>
        <row r="32">
          <cell r="E32" t="str">
            <v>Deferred Expenditure</v>
          </cell>
        </row>
        <row r="33">
          <cell r="E33" t="str">
            <v>Unearned Premium Reserve</v>
          </cell>
        </row>
        <row r="34">
          <cell r="E34" t="str">
            <v>Due to Agents and Reinsurers</v>
          </cell>
        </row>
        <row r="35">
          <cell r="E35" t="str">
            <v>AP Creditors-Purchases-Subsidiary Co</v>
          </cell>
        </row>
        <row r="36">
          <cell r="E36" t="str">
            <v>AP Creditors-Purchases-Felllow Subsidiaries</v>
          </cell>
        </row>
        <row r="37">
          <cell r="E37" t="str">
            <v>Due to Holding Company</v>
          </cell>
        </row>
        <row r="38">
          <cell r="E38" t="str">
            <v>Accruals</v>
          </cell>
        </row>
        <row r="39">
          <cell r="E39" t="str">
            <v>Long term debt</v>
          </cell>
        </row>
        <row r="40">
          <cell r="E40" t="str">
            <v>Provision for Outstanding Claims</v>
          </cell>
        </row>
        <row r="41">
          <cell r="E41" t="str">
            <v>Other Creditors</v>
          </cell>
        </row>
        <row r="42">
          <cell r="E42" t="str">
            <v>Share Capital</v>
          </cell>
        </row>
        <row r="43">
          <cell r="E43" t="str">
            <v>Retained Profits</v>
          </cell>
        </row>
        <row r="44">
          <cell r="E44" t="str">
            <v>Operating Revenue</v>
          </cell>
        </row>
        <row r="45">
          <cell r="E45" t="str">
            <v>Non Operating Revenue</v>
          </cell>
        </row>
        <row r="46">
          <cell r="E46" t="str">
            <v>Personnel Cost</v>
          </cell>
        </row>
        <row r="47">
          <cell r="E47" t="str">
            <v>Establishment cost</v>
          </cell>
        </row>
        <row r="48">
          <cell r="E48" t="str">
            <v>Marketing Expenditure</v>
          </cell>
        </row>
        <row r="49">
          <cell r="E49" t="str">
            <v>Administrative and General Expenditure</v>
          </cell>
        </row>
        <row r="50">
          <cell r="E50" t="str">
            <v>Non Operating Expenses</v>
          </cell>
        </row>
        <row r="51">
          <cell r="E51" t="str">
            <v>Accrued discretionary compensation</v>
          </cell>
        </row>
        <row r="52">
          <cell r="E52" t="str">
            <v>Accrued product warranty reserve</v>
          </cell>
        </row>
        <row r="53">
          <cell r="E53" t="str">
            <v>Accrued product liability reserve</v>
          </cell>
        </row>
        <row r="54">
          <cell r="E54" t="str">
            <v>Accrued royalties payable</v>
          </cell>
        </row>
        <row r="55">
          <cell r="E55" t="str">
            <v>Accrued compensated absences</v>
          </cell>
        </row>
        <row r="56">
          <cell r="E56" t="str">
            <v>Amounts owed to related parties - ST</v>
          </cell>
        </row>
        <row r="57">
          <cell r="E57" t="str">
            <v>Interest payable</v>
          </cell>
        </row>
        <row r="58">
          <cell r="E58" t="str">
            <v>Taxes other than income</v>
          </cell>
        </row>
        <row r="59">
          <cell r="E59" t="str">
            <v>Dividends payable</v>
          </cell>
        </row>
        <row r="60">
          <cell r="E60" t="str">
            <v>Customer rebates</v>
          </cell>
        </row>
        <row r="61">
          <cell r="E61" t="str">
            <v>Other current liabilities</v>
          </cell>
        </row>
        <row r="62">
          <cell r="E62" t="str">
            <v>Income taxes payable</v>
          </cell>
        </row>
        <row r="63">
          <cell r="E63" t="str">
            <v>Current deferred income tax liabilities</v>
          </cell>
        </row>
        <row r="64">
          <cell r="E64" t="str">
            <v>Contingent liabilities</v>
          </cell>
        </row>
        <row r="65">
          <cell r="E65" t="str">
            <v>Long term debt</v>
          </cell>
        </row>
        <row r="66">
          <cell r="E66" t="str">
            <v>Capital lease obligations</v>
          </cell>
        </row>
        <row r="67">
          <cell r="E67" t="str">
            <v>Amounts owed to related parties - LT</v>
          </cell>
        </row>
        <row r="68">
          <cell r="E68" t="str">
            <v>Other long term obligations</v>
          </cell>
        </row>
        <row r="69">
          <cell r="E69" t="str">
            <v>Accr post-ret benefits/ pension oblig</v>
          </cell>
        </row>
        <row r="70">
          <cell r="E70" t="str">
            <v>Long term deferred income tax liab.</v>
          </cell>
        </row>
        <row r="71">
          <cell r="E71" t="str">
            <v>Deferred tax credits</v>
          </cell>
        </row>
        <row r="72">
          <cell r="E72" t="str">
            <v>Environmental reserves</v>
          </cell>
        </row>
        <row r="73">
          <cell r="E73" t="str">
            <v>Other liabilities and deferred credits</v>
          </cell>
        </row>
        <row r="74">
          <cell r="E74" t="str">
            <v>Common stock</v>
          </cell>
        </row>
        <row r="75">
          <cell r="E75" t="str">
            <v>Additional paid-in capital</v>
          </cell>
        </row>
        <row r="76">
          <cell r="E76" t="str">
            <v>Retained earnings</v>
          </cell>
        </row>
        <row r="77">
          <cell r="E77" t="str">
            <v>Preferred stock</v>
          </cell>
        </row>
        <row r="78">
          <cell r="E78" t="str">
            <v>Unrealized (gain) loss on securities</v>
          </cell>
        </row>
        <row r="79">
          <cell r="E79" t="str">
            <v>(Treasury stock)</v>
          </cell>
        </row>
        <row r="80">
          <cell r="E80" t="str">
            <v>Partnership equity</v>
          </cell>
        </row>
        <row r="81">
          <cell r="E81" t="str">
            <v>(Stock subscription receivable)</v>
          </cell>
        </row>
        <row r="82">
          <cell r="E82" t="str">
            <v>Cumulative translation adjustment</v>
          </cell>
        </row>
        <row r="83">
          <cell r="E83" t="str">
            <v>(ESOP debt)</v>
          </cell>
        </row>
        <row r="84">
          <cell r="E84" t="str">
            <v>Other equity</v>
          </cell>
        </row>
        <row r="85">
          <cell r="E85" t="str">
            <v>Gross Premiums</v>
          </cell>
        </row>
        <row r="86">
          <cell r="E86" t="str">
            <v>(Reinsurance Outwards)</v>
          </cell>
        </row>
        <row r="87">
          <cell r="E87" t="str">
            <v>Reinsurance Inwards</v>
          </cell>
        </row>
        <row r="88">
          <cell r="E88" t="str">
            <v>Commissions</v>
          </cell>
        </row>
        <row r="89">
          <cell r="E89" t="str">
            <v>Other Loss</v>
          </cell>
        </row>
        <row r="90">
          <cell r="E90" t="str">
            <v>Salaries &amp; employee benefit - expenses</v>
          </cell>
        </row>
        <row r="91">
          <cell r="E91" t="str">
            <v>Depreciation, deplet. and amortization</v>
          </cell>
        </row>
        <row r="92">
          <cell r="E92" t="str">
            <v>Warehousing expenses</v>
          </cell>
        </row>
        <row r="93">
          <cell r="E93" t="str">
            <v>Delivery expenses</v>
          </cell>
        </row>
        <row r="94">
          <cell r="E94" t="str">
            <v>Lease costs</v>
          </cell>
        </row>
        <row r="95">
          <cell r="E95" t="str">
            <v>Occupancy expense</v>
          </cell>
        </row>
        <row r="96">
          <cell r="E96" t="str">
            <v>Bad debt expense</v>
          </cell>
        </row>
        <row r="97">
          <cell r="E97" t="str">
            <v>Other operating expenses</v>
          </cell>
        </row>
        <row r="98">
          <cell r="E98" t="str">
            <v>Interest expense</v>
          </cell>
        </row>
        <row r="99">
          <cell r="E99" t="str">
            <v>Extraordinary items - gain</v>
          </cell>
        </row>
        <row r="100">
          <cell r="E100" t="str">
            <v>Extraordinary items - loss</v>
          </cell>
        </row>
        <row r="101">
          <cell r="E101" t="str">
            <v>Discontinued operations</v>
          </cell>
        </row>
        <row r="102">
          <cell r="E102" t="str">
            <v>Change in accounting principle</v>
          </cell>
        </row>
        <row r="103">
          <cell r="E103" t="str">
            <v>Interest income</v>
          </cell>
        </row>
        <row r="104">
          <cell r="E104" t="str">
            <v>Associated company income</v>
          </cell>
        </row>
        <row r="105">
          <cell r="E105" t="str">
            <v>Foreign exchange gain</v>
          </cell>
        </row>
        <row r="106">
          <cell r="E106" t="str">
            <v>Foreign exchange loss</v>
          </cell>
        </row>
        <row r="107">
          <cell r="E107" t="str">
            <v>Other income, net</v>
          </cell>
        </row>
        <row r="108">
          <cell r="E108" t="str">
            <v>Other expense</v>
          </cell>
        </row>
        <row r="109">
          <cell r="E109" t="str">
            <v>Tax on income</v>
          </cell>
        </row>
        <row r="110">
          <cell r="E110" t="str">
            <v>Investment Income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"/>
      <sheetName val="TB-gl"/>
      <sheetName val="Interim --&gt; Top"/>
      <sheetName val="1 LeadSchedul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ment"/>
      <sheetName val="Share of ret. profit"/>
      <sheetName val="Share of current profit"/>
      <sheetName val="Dividend"/>
      <sheetName val="gl"/>
    </sheetNames>
    <sheetDataSet>
      <sheetData sheetId="0" refreshError="1">
        <row r="1">
          <cell r="A1" t="str">
            <v>CLIENT :</v>
          </cell>
          <cell r="C1" t="str">
            <v>STIDC</v>
          </cell>
        </row>
        <row r="2">
          <cell r="A2" t="str">
            <v>CONSOLIDATION :</v>
          </cell>
          <cell r="C2" t="str">
            <v>31.12.97</v>
          </cell>
        </row>
        <row r="3">
          <cell r="A3" t="str">
            <v>SUBJECT :</v>
          </cell>
          <cell r="C3" t="str">
            <v>INVESTMENT IN ASSOCIATED CO. (SUMMARY)</v>
          </cell>
        </row>
        <row r="6">
          <cell r="A6" t="str">
            <v>-</v>
          </cell>
          <cell r="B6" t="str">
            <v>-</v>
          </cell>
          <cell r="C6" t="str">
            <v>-</v>
          </cell>
          <cell r="D6" t="str">
            <v>-</v>
          </cell>
          <cell r="E6" t="str">
            <v>-</v>
          </cell>
          <cell r="F6" t="str">
            <v>-</v>
          </cell>
          <cell r="G6" t="str">
            <v>-</v>
          </cell>
          <cell r="H6" t="str">
            <v>-</v>
          </cell>
          <cell r="I6" t="str">
            <v>-</v>
          </cell>
          <cell r="J6" t="str">
            <v>-</v>
          </cell>
          <cell r="K6" t="str">
            <v>-</v>
          </cell>
          <cell r="L6" t="str">
            <v>-</v>
          </cell>
          <cell r="M6" t="str">
            <v>-</v>
          </cell>
          <cell r="N6" t="str">
            <v>-</v>
          </cell>
          <cell r="O6" t="str">
            <v>-</v>
          </cell>
        </row>
        <row r="7">
          <cell r="M7" t="str">
            <v>BINTULU</v>
          </cell>
        </row>
        <row r="8">
          <cell r="D8" t="str">
            <v>W/P</v>
          </cell>
          <cell r="E8" t="str">
            <v>HOUTING</v>
          </cell>
          <cell r="F8" t="str">
            <v>HORNBILL</v>
          </cell>
          <cell r="G8" t="str">
            <v>SMC</v>
          </cell>
          <cell r="H8" t="str">
            <v>AMRA</v>
          </cell>
          <cell r="I8" t="str">
            <v>KESTREL</v>
          </cell>
          <cell r="J8" t="str">
            <v>TINAMOU</v>
          </cell>
          <cell r="K8" t="str">
            <v>SELAH</v>
          </cell>
          <cell r="L8" t="str">
            <v>BALAMRA</v>
          </cell>
          <cell r="M8" t="str">
            <v>ADHESIVES</v>
          </cell>
          <cell r="N8" t="str">
            <v>BORNEO PULP</v>
          </cell>
        </row>
        <row r="9">
          <cell r="D9" t="str">
            <v>REF.</v>
          </cell>
          <cell r="E9" t="str">
            <v>SDN. BHD.</v>
          </cell>
          <cell r="F9" t="str">
            <v>SKYWAYS S/B</v>
          </cell>
          <cell r="G9" t="str">
            <v>SDN. BHD.</v>
          </cell>
          <cell r="H9" t="str">
            <v>TIMBER S/B</v>
          </cell>
          <cell r="I9" t="str">
            <v>SDN. BHD.</v>
          </cell>
          <cell r="J9" t="str">
            <v>SDN. BHD.</v>
          </cell>
          <cell r="K9" t="str">
            <v>TIMBER S/B</v>
          </cell>
          <cell r="L9" t="str">
            <v>SDN. BHD.</v>
          </cell>
          <cell r="M9" t="str">
            <v>CHEMICALS S/B</v>
          </cell>
          <cell r="N9" t="str">
            <v>&amp; PAPER</v>
          </cell>
          <cell r="O9" t="str">
            <v>TOTAL</v>
          </cell>
        </row>
        <row r="10">
          <cell r="A10" t="str">
            <v>-</v>
          </cell>
          <cell r="B10" t="str">
            <v>-</v>
          </cell>
          <cell r="C10" t="str">
            <v>-</v>
          </cell>
          <cell r="D10" t="str">
            <v>-</v>
          </cell>
          <cell r="E10" t="str">
            <v>-</v>
          </cell>
          <cell r="F10" t="str">
            <v>-</v>
          </cell>
          <cell r="G10" t="str">
            <v>-</v>
          </cell>
          <cell r="H10" t="str">
            <v>-</v>
          </cell>
          <cell r="I10" t="str">
            <v>-</v>
          </cell>
          <cell r="J10" t="str">
            <v>-</v>
          </cell>
          <cell r="K10" t="str">
            <v>-</v>
          </cell>
          <cell r="L10" t="str">
            <v>-</v>
          </cell>
          <cell r="M10" t="str">
            <v>-</v>
          </cell>
          <cell r="N10" t="str">
            <v>-</v>
          </cell>
          <cell r="O10" t="str">
            <v>-</v>
          </cell>
        </row>
        <row r="11">
          <cell r="E11" t="str">
            <v>RM</v>
          </cell>
          <cell r="F11" t="str">
            <v>RM</v>
          </cell>
          <cell r="G11" t="str">
            <v>RM</v>
          </cell>
          <cell r="H11" t="str">
            <v>RM</v>
          </cell>
          <cell r="I11" t="str">
            <v>RM</v>
          </cell>
          <cell r="J11" t="str">
            <v>RM</v>
          </cell>
          <cell r="K11" t="str">
            <v>RM</v>
          </cell>
          <cell r="L11" t="str">
            <v>RM</v>
          </cell>
          <cell r="M11" t="str">
            <v>RM</v>
          </cell>
          <cell r="N11" t="str">
            <v>RM</v>
          </cell>
          <cell r="O11" t="str">
            <v>RM</v>
          </cell>
        </row>
        <row r="14">
          <cell r="A14" t="str">
            <v>Costs of investment</v>
          </cell>
          <cell r="E14">
            <v>30000</v>
          </cell>
          <cell r="F14">
            <v>15939795</v>
          </cell>
          <cell r="G14">
            <v>10415996</v>
          </cell>
          <cell r="H14">
            <v>30000</v>
          </cell>
          <cell r="I14">
            <v>30000</v>
          </cell>
          <cell r="J14">
            <v>30000</v>
          </cell>
          <cell r="K14">
            <v>30000</v>
          </cell>
          <cell r="L14">
            <v>30000</v>
          </cell>
          <cell r="M14">
            <v>4500000</v>
          </cell>
          <cell r="N14">
            <v>1</v>
          </cell>
          <cell r="O14">
            <v>31035792</v>
          </cell>
        </row>
        <row r="18">
          <cell r="A18" t="str">
            <v>Share of profit</v>
          </cell>
        </row>
        <row r="19">
          <cell r="B19" t="str">
            <v>- Prior to 1989</v>
          </cell>
          <cell r="O19">
            <v>889177</v>
          </cell>
        </row>
        <row r="20">
          <cell r="B20" t="str">
            <v>- 1989</v>
          </cell>
          <cell r="E20">
            <v>11085</v>
          </cell>
          <cell r="F20">
            <v>749806</v>
          </cell>
          <cell r="G20">
            <v>-1026451</v>
          </cell>
          <cell r="H20">
            <v>-786</v>
          </cell>
          <cell r="I20">
            <v>13111</v>
          </cell>
          <cell r="J20">
            <v>2179</v>
          </cell>
          <cell r="K20">
            <v>-1424</v>
          </cell>
          <cell r="L20">
            <v>8527</v>
          </cell>
          <cell r="M20">
            <v>0</v>
          </cell>
          <cell r="N20">
            <v>0</v>
          </cell>
          <cell r="O20">
            <v>-243953</v>
          </cell>
        </row>
        <row r="21">
          <cell r="B21" t="str">
            <v>- 1990 (Net)</v>
          </cell>
          <cell r="E21">
            <v>7292</v>
          </cell>
          <cell r="F21">
            <v>2143458</v>
          </cell>
          <cell r="G21">
            <v>-561915</v>
          </cell>
          <cell r="H21">
            <v>4250</v>
          </cell>
          <cell r="I21">
            <v>6995</v>
          </cell>
          <cell r="J21">
            <v>18955</v>
          </cell>
          <cell r="K21">
            <v>-69</v>
          </cell>
          <cell r="L21">
            <v>10244</v>
          </cell>
          <cell r="M21">
            <v>6116</v>
          </cell>
          <cell r="N21">
            <v>0</v>
          </cell>
          <cell r="O21">
            <v>1635326</v>
          </cell>
        </row>
        <row r="22">
          <cell r="B22" t="str">
            <v>- 1991</v>
          </cell>
          <cell r="E22">
            <v>950</v>
          </cell>
          <cell r="F22">
            <v>-611998</v>
          </cell>
          <cell r="G22">
            <v>225546</v>
          </cell>
          <cell r="H22">
            <v>909</v>
          </cell>
          <cell r="I22">
            <v>-1992</v>
          </cell>
          <cell r="J22">
            <v>523</v>
          </cell>
          <cell r="K22">
            <v>-17555</v>
          </cell>
          <cell r="L22">
            <v>-4345</v>
          </cell>
          <cell r="M22">
            <v>505483</v>
          </cell>
          <cell r="N22">
            <v>0</v>
          </cell>
          <cell r="O22">
            <v>97521</v>
          </cell>
        </row>
        <row r="23">
          <cell r="B23" t="str">
            <v>- 1992</v>
          </cell>
          <cell r="E23">
            <v>-3802</v>
          </cell>
          <cell r="F23">
            <v>1008711</v>
          </cell>
          <cell r="G23">
            <v>170405</v>
          </cell>
          <cell r="H23">
            <v>10788</v>
          </cell>
          <cell r="I23">
            <v>13308</v>
          </cell>
          <cell r="J23">
            <v>14307</v>
          </cell>
          <cell r="K23">
            <v>23681</v>
          </cell>
          <cell r="L23">
            <v>7601</v>
          </cell>
          <cell r="M23">
            <v>248991</v>
          </cell>
          <cell r="N23">
            <v>0</v>
          </cell>
          <cell r="O23">
            <v>1493990</v>
          </cell>
        </row>
        <row r="24">
          <cell r="B24" t="str">
            <v>- 1993</v>
          </cell>
          <cell r="E24">
            <v>38775</v>
          </cell>
          <cell r="F24">
            <v>2395031</v>
          </cell>
          <cell r="G24">
            <v>105882</v>
          </cell>
          <cell r="H24">
            <v>39144</v>
          </cell>
          <cell r="I24">
            <v>7655</v>
          </cell>
          <cell r="J24">
            <v>7468</v>
          </cell>
          <cell r="K24">
            <v>75242</v>
          </cell>
          <cell r="L24">
            <v>15424</v>
          </cell>
          <cell r="M24">
            <v>1774541</v>
          </cell>
          <cell r="N24">
            <v>0</v>
          </cell>
          <cell r="O24">
            <v>4459162</v>
          </cell>
        </row>
        <row r="25">
          <cell r="B25" t="str">
            <v>- 1994 (Net of tax)</v>
          </cell>
          <cell r="E25">
            <v>-9173</v>
          </cell>
          <cell r="F25">
            <v>326553</v>
          </cell>
          <cell r="G25">
            <v>-63955</v>
          </cell>
          <cell r="H25">
            <v>60902</v>
          </cell>
          <cell r="I25">
            <v>2705</v>
          </cell>
          <cell r="J25">
            <v>10945</v>
          </cell>
          <cell r="K25">
            <v>18910</v>
          </cell>
          <cell r="L25">
            <v>-6533</v>
          </cell>
          <cell r="M25">
            <v>1016057</v>
          </cell>
          <cell r="N25">
            <v>0</v>
          </cell>
          <cell r="O25">
            <v>1356411</v>
          </cell>
        </row>
        <row r="26">
          <cell r="B26" t="str">
            <v>- 1995</v>
          </cell>
          <cell r="E26">
            <v>-8047</v>
          </cell>
          <cell r="F26">
            <v>1309784</v>
          </cell>
          <cell r="G26">
            <v>-1607856</v>
          </cell>
          <cell r="H26">
            <v>55485</v>
          </cell>
          <cell r="I26">
            <v>-3299</v>
          </cell>
          <cell r="J26">
            <v>-1502</v>
          </cell>
          <cell r="K26">
            <v>34215</v>
          </cell>
          <cell r="L26">
            <v>-6479</v>
          </cell>
          <cell r="M26">
            <v>2496486</v>
          </cell>
          <cell r="N26">
            <v>0</v>
          </cell>
          <cell r="O26">
            <v>2268787</v>
          </cell>
        </row>
        <row r="27">
          <cell r="B27" t="str">
            <v>- 1996 (Net of tax)</v>
          </cell>
          <cell r="E27">
            <v>-7932</v>
          </cell>
          <cell r="F27">
            <v>1364550</v>
          </cell>
          <cell r="G27">
            <v>-1558172</v>
          </cell>
          <cell r="H27">
            <v>83877</v>
          </cell>
          <cell r="I27">
            <v>-8423</v>
          </cell>
          <cell r="J27">
            <v>1913</v>
          </cell>
          <cell r="K27">
            <v>34236</v>
          </cell>
          <cell r="L27">
            <v>17183</v>
          </cell>
          <cell r="M27">
            <v>1822963</v>
          </cell>
          <cell r="N27">
            <v>0</v>
          </cell>
          <cell r="O27">
            <v>1750195</v>
          </cell>
        </row>
        <row r="28">
          <cell r="B28" t="str">
            <v>- 1997 (Net of tax)</v>
          </cell>
          <cell r="E28">
            <v>-1223.3999999999999</v>
          </cell>
          <cell r="F28">
            <v>1229509.6000000003</v>
          </cell>
          <cell r="G28">
            <v>-1189056.26</v>
          </cell>
          <cell r="H28">
            <v>293669.40000000002</v>
          </cell>
          <cell r="I28">
            <v>5065.8</v>
          </cell>
          <cell r="J28">
            <v>9621.2999999999993</v>
          </cell>
          <cell r="K28">
            <v>33471.899999999994</v>
          </cell>
          <cell r="L28">
            <v>4749.3</v>
          </cell>
          <cell r="M28">
            <v>1282115.0999999999</v>
          </cell>
          <cell r="N28">
            <v>0</v>
          </cell>
          <cell r="O28">
            <v>1667922.7400000002</v>
          </cell>
        </row>
        <row r="30">
          <cell r="A30" t="str">
            <v>Share of dividend (Net)</v>
          </cell>
        </row>
        <row r="31">
          <cell r="B31" t="str">
            <v>- 1989</v>
          </cell>
          <cell r="E31">
            <v>-9750</v>
          </cell>
          <cell r="F31">
            <v>-208813</v>
          </cell>
          <cell r="G31">
            <v>0</v>
          </cell>
          <cell r="H31">
            <v>0</v>
          </cell>
          <cell r="I31">
            <v>0</v>
          </cell>
          <cell r="J31">
            <v>-5850</v>
          </cell>
          <cell r="K31">
            <v>-7800</v>
          </cell>
          <cell r="L31">
            <v>-19500</v>
          </cell>
          <cell r="M31">
            <v>0</v>
          </cell>
          <cell r="N31">
            <v>0</v>
          </cell>
          <cell r="O31">
            <v>-251713</v>
          </cell>
        </row>
        <row r="32">
          <cell r="B32" t="str">
            <v>- 1990</v>
          </cell>
          <cell r="E32">
            <v>-3900</v>
          </cell>
          <cell r="F32">
            <v>-160868</v>
          </cell>
          <cell r="G32">
            <v>0</v>
          </cell>
          <cell r="H32">
            <v>0</v>
          </cell>
          <cell r="I32">
            <v>0</v>
          </cell>
          <cell r="J32">
            <v>-15600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B33" t="str">
            <v>- 1991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B34" t="str">
            <v>- 1992 (Gross)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B35" t="str">
            <v>- 1993</v>
          </cell>
          <cell r="E35">
            <v>0</v>
          </cell>
          <cell r="F35">
            <v>-595000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-595000</v>
          </cell>
        </row>
        <row r="36">
          <cell r="B36" t="str">
            <v>- 1994</v>
          </cell>
          <cell r="E36">
            <v>0</v>
          </cell>
          <cell r="F36">
            <v>-595000</v>
          </cell>
          <cell r="G36">
            <v>0</v>
          </cell>
          <cell r="H36">
            <v>-10200</v>
          </cell>
          <cell r="I36">
            <v>-10200</v>
          </cell>
          <cell r="J36">
            <v>-19800</v>
          </cell>
          <cell r="K36">
            <v>-14280</v>
          </cell>
          <cell r="L36">
            <v>-10200</v>
          </cell>
          <cell r="M36">
            <v>-225000</v>
          </cell>
          <cell r="N36">
            <v>0</v>
          </cell>
          <cell r="O36">
            <v>-884680</v>
          </cell>
        </row>
        <row r="37">
          <cell r="B37" t="str">
            <v>- 1995</v>
          </cell>
          <cell r="E37">
            <v>0</v>
          </cell>
          <cell r="F37">
            <v>0</v>
          </cell>
          <cell r="G37">
            <v>0</v>
          </cell>
          <cell r="H37">
            <v>-21000</v>
          </cell>
          <cell r="I37">
            <v>-6300</v>
          </cell>
          <cell r="J37">
            <v>0</v>
          </cell>
          <cell r="K37">
            <v>-14700</v>
          </cell>
          <cell r="L37">
            <v>-10200</v>
          </cell>
          <cell r="M37">
            <v>-450000</v>
          </cell>
          <cell r="N37">
            <v>0</v>
          </cell>
          <cell r="O37">
            <v>-502200</v>
          </cell>
        </row>
        <row r="38">
          <cell r="B38" t="str">
            <v>- 1996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-225000</v>
          </cell>
          <cell r="N38">
            <v>0</v>
          </cell>
          <cell r="O38">
            <v>-225000</v>
          </cell>
        </row>
        <row r="39">
          <cell r="B39" t="str">
            <v>- 1997</v>
          </cell>
          <cell r="E39">
            <v>0</v>
          </cell>
          <cell r="F39">
            <v>0</v>
          </cell>
          <cell r="G39">
            <v>0</v>
          </cell>
          <cell r="H39">
            <v>-38150</v>
          </cell>
          <cell r="I39">
            <v>0</v>
          </cell>
          <cell r="J39">
            <v>0</v>
          </cell>
          <cell r="K39">
            <v>-114450</v>
          </cell>
          <cell r="L39">
            <v>0</v>
          </cell>
          <cell r="N39">
            <v>0</v>
          </cell>
          <cell r="O39">
            <v>-152600</v>
          </cell>
        </row>
        <row r="42">
          <cell r="E42">
            <v>14274.599999999999</v>
          </cell>
          <cell r="F42">
            <v>8355723.5999999996</v>
          </cell>
          <cell r="G42">
            <v>-5505572.2599999998</v>
          </cell>
          <cell r="H42">
            <v>478888.4</v>
          </cell>
          <cell r="I42">
            <v>18625.800000000003</v>
          </cell>
          <cell r="J42">
            <v>23159.300000000003</v>
          </cell>
          <cell r="K42">
            <v>49477.899999999994</v>
          </cell>
          <cell r="L42">
            <v>6471.3000000000029</v>
          </cell>
          <cell r="M42">
            <v>8252752.0999999996</v>
          </cell>
          <cell r="N42">
            <v>0</v>
          </cell>
          <cell r="O42">
            <v>12763345.74</v>
          </cell>
        </row>
        <row r="46">
          <cell r="B46" t="str">
            <v>TOTAL</v>
          </cell>
          <cell r="E46">
            <v>44274.6</v>
          </cell>
          <cell r="F46">
            <v>24295518.600000001</v>
          </cell>
          <cell r="G46">
            <v>4910423.74</v>
          </cell>
          <cell r="H46">
            <v>508888.4</v>
          </cell>
          <cell r="I46">
            <v>48625.8</v>
          </cell>
          <cell r="J46">
            <v>53159.3</v>
          </cell>
          <cell r="K46">
            <v>79477.899999999994</v>
          </cell>
          <cell r="L46">
            <v>36471.300000000003</v>
          </cell>
          <cell r="M46">
            <v>12752752.1</v>
          </cell>
          <cell r="N46">
            <v>1</v>
          </cell>
          <cell r="O46">
            <v>43799137.740000002</v>
          </cell>
        </row>
        <row r="50">
          <cell r="F50" t="str">
            <v>EJE &lt;403&gt;</v>
          </cell>
        </row>
        <row r="52">
          <cell r="F52" t="str">
            <v>RETAINED PROFIT B/F</v>
          </cell>
          <cell r="I52">
            <v>2206880</v>
          </cell>
        </row>
        <row r="54">
          <cell r="F54" t="str">
            <v xml:space="preserve">                 INVESTMENT IN ASSOCIATED COMPANIES</v>
          </cell>
          <cell r="J54">
            <v>2206880</v>
          </cell>
        </row>
        <row r="56">
          <cell r="F56" t="str">
            <v>(BEING DIVIDEND INCOME RECEIVED FROM ASSOCIATED COMPANIES IN 1993, 1994 &amp; 1995 ACCOUNTED FOR USING EQUITY METHOD)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LeadSchedule"/>
      <sheetName val="ploss"/>
      <sheetName val="Investment"/>
    </sheetNames>
    <sheetDataSet>
      <sheetData sheetId="0"/>
      <sheetData sheetId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"/>
      <sheetName val="TB-gl"/>
      <sheetName val="1 LeadSchedule"/>
      <sheetName val="Interim --&gt; To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 (1)"/>
      <sheetName val="gl"/>
    </sheetNames>
    <sheetDataSet>
      <sheetData sheetId="0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6"/>
      <sheetName val="Hypothesis"/>
      <sheetName val="Profitability"/>
      <sheetName val="Profit anal"/>
      <sheetName val="BS"/>
      <sheetName val="FSA"/>
      <sheetName val="F-1&amp;2"/>
      <sheetName val="F-3"/>
      <sheetName val="F-4"/>
      <sheetName val="F-9"/>
      <sheetName val="F-11"/>
      <sheetName val="FF-2"/>
      <sheetName val="FF-4"/>
      <sheetName val="FF-6"/>
      <sheetName val="FF-10"/>
      <sheetName val="10"/>
      <sheetName val="20"/>
      <sheetName val="30"/>
      <sheetName val="os"/>
      <sheetName val="Breakdown (1)"/>
      <sheetName val="Bal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5">
          <cell r="A5" t="str">
            <v xml:space="preserve">SECTION 108 TAX CREDIT </v>
          </cell>
        </row>
        <row r="7">
          <cell r="A7" t="str">
            <v>YEAR</v>
          </cell>
          <cell r="C7" t="str">
            <v>BALANCE</v>
          </cell>
          <cell r="E7" t="str">
            <v>CURRENT</v>
          </cell>
          <cell r="I7" t="str">
            <v>DIVIDEND</v>
          </cell>
          <cell r="K7" t="str">
            <v>BALANCE</v>
          </cell>
        </row>
        <row r="8">
          <cell r="A8" t="str">
            <v>ENDED</v>
          </cell>
          <cell r="C8" t="str">
            <v>C/F</v>
          </cell>
          <cell r="E8" t="str">
            <v>YEAR</v>
          </cell>
          <cell r="G8" t="str">
            <v>BALANCE</v>
          </cell>
          <cell r="I8" t="str">
            <v>PAID</v>
          </cell>
          <cell r="K8" t="str">
            <v>C/F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 Analysis"/>
      <sheetName val="   Contents"/>
      <sheetName val="1 LeadSchedule"/>
      <sheetName val="2 Sec108"/>
      <sheetName val="3 P&amp;L - 4 Op.Exp"/>
      <sheetName val="3A Turnover 3B COS"/>
      <sheetName val="   Directors"/>
      <sheetName val="Shareholders"/>
      <sheetName val="Dividend"/>
      <sheetName val="ITA-RA"/>
      <sheetName val="Int-rest"/>
      <sheetName val="OTHER (2)"/>
      <sheetName val="FF-6"/>
      <sheetName val="Checklist"/>
      <sheetName val="Sheet2"/>
      <sheetName val="Highlight"/>
      <sheetName val="A3-1"/>
      <sheetName val="A3-2"/>
      <sheetName val="A3-3"/>
      <sheetName val="A2-1"/>
      <sheetName val="A2-2"/>
      <sheetName val="A2-3"/>
      <sheetName val="A2-4"/>
      <sheetName val="A-8"/>
      <sheetName val="SAD"/>
      <sheetName val="A5-1 CPL"/>
      <sheetName val="A5-2 CBS"/>
      <sheetName val="A5-3 Inter bal"/>
      <sheetName val="A5-4 Inter trans"/>
      <sheetName val="A5-5 RPT"/>
      <sheetName val="A5-6 Notes"/>
      <sheetName val="A5-7 FC &amp; sale prop"/>
      <sheetName val="C"/>
      <sheetName val="C-10"/>
      <sheetName val="E"/>
      <sheetName val="F"/>
      <sheetName val="F-10"/>
      <sheetName val="G"/>
      <sheetName val="I"/>
      <sheetName val="I-10"/>
      <sheetName val="K"/>
      <sheetName val="K-8"/>
      <sheetName val="K-9"/>
      <sheetName val="K-10"/>
      <sheetName val="M"/>
      <sheetName val="M-2"/>
      <sheetName val="N"/>
      <sheetName val="N-20"/>
      <sheetName val="P"/>
      <sheetName val="O"/>
      <sheetName val="S"/>
      <sheetName val="T"/>
      <sheetName val="U10"/>
      <sheetName val="U11"/>
      <sheetName val="U20"/>
      <sheetName val="U21"/>
      <sheetName val="U-22"/>
      <sheetName val="U30"/>
      <sheetName val="U31"/>
      <sheetName val="U70"/>
      <sheetName val="FF_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1"/>
      <sheetName val="pldt"/>
      <sheetName val="Sheet1"/>
      <sheetName val="F-1 F-2"/>
      <sheetName val="F-3"/>
      <sheetName val="F-4"/>
      <sheetName val="F-5"/>
      <sheetName val="F-9"/>
      <sheetName val="A"/>
      <sheetName val="D"/>
      <sheetName val="B "/>
      <sheetName val="B-3"/>
      <sheetName val="B-4"/>
      <sheetName val="B-10"/>
      <sheetName val="L"/>
      <sheetName val="M"/>
      <sheetName val="U-disc"/>
      <sheetName val="U "/>
      <sheetName val="U-2"/>
      <sheetName val="U-3"/>
      <sheetName val="U-4"/>
      <sheetName val="BB"/>
      <sheetName val="BB-1"/>
      <sheetName val="BB-5"/>
      <sheetName val="CC"/>
      <sheetName val="CC-3"/>
      <sheetName val="FF"/>
      <sheetName val="FF-1"/>
      <sheetName val="FF-2"/>
      <sheetName val="FF-3"/>
      <sheetName val="FF-4"/>
      <sheetName val="10"/>
      <sheetName val="10-1"/>
      <sheetName val="20 30"/>
      <sheetName val="30-1"/>
      <sheetName val="70 "/>
      <sheetName val="P-1"/>
      <sheetName val="0000"/>
      <sheetName val="5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LeadSchedule"/>
      <sheetName val="4 Analysis"/>
      <sheetName val="   Contents"/>
      <sheetName val="2 Sec108"/>
      <sheetName val="SCHEDULE 1"/>
      <sheetName val="SCHEDULE 3"/>
      <sheetName val="SCHEDULE 3A"/>
      <sheetName val="SCHEDULE 3B"/>
      <sheetName val="SCHEDULE 3C"/>
      <sheetName val="SCHEDULE 4"/>
      <sheetName val="SCHEDULE 4A"/>
      <sheetName val="SCHEDULE 5"/>
      <sheetName val="SCHEDULE 5A"/>
      <sheetName val="SCHEDULE 6"/>
      <sheetName val="SCHEDULE 7"/>
      <sheetName val="Dividend"/>
      <sheetName val="SCHEDULE 9"/>
      <sheetName val="INT2"/>
      <sheetName val="SCHEDULE 10C"/>
      <sheetName val="   Directors"/>
      <sheetName val="WORKING"/>
      <sheetName val="ATTACH"/>
      <sheetName val="ITA-RA"/>
      <sheetName val="OTHER (2)"/>
      <sheetName val="FF-1"/>
      <sheetName val="FF-2 (1)"/>
      <sheetName val="FSA"/>
      <sheetName val="B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2"/>
      <sheetName val="1 LeadSchedule"/>
      <sheetName val="4 Analysis"/>
    </sheetNames>
    <sheetDataSet>
      <sheetData sheetId="0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CODE"/>
      <sheetName val="ALL"/>
      <sheetName val="OUTSTANDING"/>
      <sheetName val="RELEASED CHEQUE"/>
      <sheetName val="UNCLEAR CQ"/>
      <sheetName val="PRINTING"/>
      <sheetName val="TESTING"/>
      <sheetName val="TESTING1"/>
      <sheetName val="Outstanding Payment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5"/>
      <sheetName val="Sheet14"/>
      <sheetName val="Sheet16"/>
      <sheetName val="Module1"/>
      <sheetName val="A2-1"/>
      <sheetName val="A3"/>
      <sheetName val="A8"/>
      <sheetName val="C-lead"/>
      <sheetName val="C2"/>
      <sheetName val="C1"/>
      <sheetName val="E-lead"/>
      <sheetName val="E1"/>
      <sheetName val="E2"/>
      <sheetName val="G-lead"/>
      <sheetName val="G1"/>
      <sheetName val="I-lead"/>
      <sheetName val="I1"/>
      <sheetName val="K-lead"/>
      <sheetName val="M-lead"/>
      <sheetName val="M1"/>
      <sheetName val="N-lead"/>
      <sheetName val="N1"/>
      <sheetName val="N3"/>
      <sheetName val="O-lead"/>
      <sheetName val="T-lead"/>
      <sheetName val="U-lead"/>
      <sheetName val="U1"/>
      <sheetName val="U2"/>
      <sheetName val="U2-1"/>
      <sheetName val="U2-2"/>
      <sheetName val="U3"/>
      <sheetName val="U4"/>
      <sheetName val="U5"/>
      <sheetName val="U6"/>
      <sheetName val="U7"/>
      <sheetName val="FF_2"/>
    </sheetNames>
    <sheetDataSet>
      <sheetData sheetId="0" refreshError="1">
        <row r="3">
          <cell r="A3">
            <v>1</v>
          </cell>
          <cell r="B3" t="str">
            <v>MAZROL BIN SARMAN</v>
          </cell>
          <cell r="C3">
            <v>1</v>
          </cell>
        </row>
        <row r="4">
          <cell r="A4" t="str">
            <v>ALI</v>
          </cell>
          <cell r="B4" t="str">
            <v>ALI JAHITAN SDN BHD</v>
          </cell>
          <cell r="C4" t="str">
            <v>ALI</v>
          </cell>
        </row>
        <row r="5">
          <cell r="A5" t="str">
            <v>AR</v>
          </cell>
          <cell r="B5" t="str">
            <v>AREMEN PROPERTIES SDN. BHD.</v>
          </cell>
          <cell r="C5" t="str">
            <v>AR</v>
          </cell>
        </row>
        <row r="6">
          <cell r="A6" t="str">
            <v>ATR</v>
          </cell>
          <cell r="B6" t="str">
            <v>ATRAN BIN ISMAIL</v>
          </cell>
        </row>
        <row r="7">
          <cell r="A7" t="str">
            <v>TB19</v>
          </cell>
          <cell r="B7" t="str">
            <v>BASRI BIN MANAN K/P NO 8329641</v>
          </cell>
        </row>
        <row r="8">
          <cell r="A8" t="str">
            <v>BUMI</v>
          </cell>
          <cell r="B8" t="str">
            <v>BUMEE BAKTI</v>
          </cell>
          <cell r="C8" t="str">
            <v>BUMI</v>
          </cell>
        </row>
        <row r="9">
          <cell r="A9" t="str">
            <v>C</v>
          </cell>
          <cell r="B9" t="str">
            <v>CASH</v>
          </cell>
          <cell r="C9" t="str">
            <v>C</v>
          </cell>
        </row>
        <row r="10">
          <cell r="A10" t="str">
            <v>CAN</v>
          </cell>
          <cell r="B10" t="str">
            <v>CANCELLED</v>
          </cell>
          <cell r="C10" t="str">
            <v>CAN</v>
          </cell>
        </row>
        <row r="11">
          <cell r="A11" t="str">
            <v>CHE</v>
          </cell>
          <cell r="B11" t="str">
            <v>CHEONG SWEE LIAN</v>
          </cell>
          <cell r="C11" t="str">
            <v>CHE</v>
          </cell>
        </row>
        <row r="12">
          <cell r="A12" t="str">
            <v>CKH</v>
          </cell>
          <cell r="B12" t="str">
            <v>CASH - KHAZALI HAMID</v>
          </cell>
          <cell r="C12" t="str">
            <v>CKH</v>
          </cell>
        </row>
        <row r="13">
          <cell r="A13" t="str">
            <v>CZ01</v>
          </cell>
          <cell r="B13" t="str">
            <v>CASH - ZAINAL ABIDIN</v>
          </cell>
          <cell r="C13" t="str">
            <v>CZ01</v>
          </cell>
        </row>
        <row r="14">
          <cell r="A14" t="str">
            <v>DBKL</v>
          </cell>
          <cell r="B14" t="str">
            <v>DEWAN BANDARAYA KUALA LUMPUR</v>
          </cell>
          <cell r="C14" t="str">
            <v>DBKL</v>
          </cell>
        </row>
        <row r="15">
          <cell r="A15" t="str">
            <v>DING</v>
          </cell>
          <cell r="B15" t="str">
            <v>ANDREW DING SOON LEONG</v>
          </cell>
          <cell r="C15" t="str">
            <v>DING</v>
          </cell>
        </row>
        <row r="16">
          <cell r="A16" t="str">
            <v>EDU</v>
          </cell>
          <cell r="B16" t="str">
            <v>EDUCATIONAL FILM SERVICES SDN. BHD.</v>
          </cell>
          <cell r="C16" t="str">
            <v>EDU</v>
          </cell>
        </row>
        <row r="17">
          <cell r="A17" t="str">
            <v>ELE</v>
          </cell>
          <cell r="B17" t="str">
            <v>ELECTCOMS SDN BHD</v>
          </cell>
        </row>
        <row r="18">
          <cell r="A18" t="str">
            <v>EPF</v>
          </cell>
          <cell r="B18" t="str">
            <v>KUMPULAN WANG SIMPANAN PEKERJA</v>
          </cell>
          <cell r="C18" t="str">
            <v>EPF</v>
          </cell>
        </row>
        <row r="19">
          <cell r="A19" t="str">
            <v>GUO</v>
          </cell>
          <cell r="B19" t="str">
            <v>GUOMAN PORT DICKSON</v>
          </cell>
          <cell r="C19" t="str">
            <v>GUO</v>
          </cell>
        </row>
        <row r="20">
          <cell r="A20" t="str">
            <v>HALIM</v>
          </cell>
          <cell r="B20" t="str">
            <v>H.ABDUL HALIM BIN HAMEED</v>
          </cell>
          <cell r="C20" t="str">
            <v>HALIM</v>
          </cell>
        </row>
        <row r="21">
          <cell r="A21" t="str">
            <v>J</v>
          </cell>
          <cell r="B21" t="str">
            <v>JIA WA TRADING</v>
          </cell>
          <cell r="C21" t="str">
            <v>J</v>
          </cell>
        </row>
        <row r="22">
          <cell r="A22" t="str">
            <v>JAS</v>
          </cell>
          <cell r="B22" t="str">
            <v>JASHIN CABINS (M) SDN BHD</v>
          </cell>
        </row>
        <row r="23">
          <cell r="A23" t="str">
            <v>k</v>
          </cell>
          <cell r="B23" t="str">
            <v>HONG LEONG LEASING SDN. BHD.</v>
          </cell>
          <cell r="C23" t="str">
            <v>k</v>
          </cell>
        </row>
        <row r="24">
          <cell r="A24" t="str">
            <v>KA01</v>
          </cell>
          <cell r="B24" t="str">
            <v>ABDOL MALIK DUMON</v>
          </cell>
          <cell r="C24" t="str">
            <v>KA01</v>
          </cell>
        </row>
        <row r="25">
          <cell r="A25" t="str">
            <v>KA02</v>
          </cell>
          <cell r="B25" t="str">
            <v>AHMAD SEMAIL</v>
          </cell>
          <cell r="C25" t="str">
            <v>KA02</v>
          </cell>
        </row>
        <row r="26">
          <cell r="A26" t="str">
            <v>KA04</v>
          </cell>
          <cell r="B26" t="str">
            <v>AHMAD FAIZAL IDRIS</v>
          </cell>
          <cell r="C26" t="str">
            <v>KA04</v>
          </cell>
        </row>
        <row r="27">
          <cell r="A27" t="str">
            <v>KA05</v>
          </cell>
          <cell r="B27" t="str">
            <v>AZHAR BIN HARON</v>
          </cell>
        </row>
        <row r="28">
          <cell r="A28" t="str">
            <v>KH01</v>
          </cell>
          <cell r="B28" t="str">
            <v>HASMERA IBRAHIM</v>
          </cell>
          <cell r="C28" t="str">
            <v>KH01</v>
          </cell>
        </row>
        <row r="29">
          <cell r="A29" t="str">
            <v>KHZ</v>
          </cell>
          <cell r="B29" t="str">
            <v>KHAZALI BIN HAMID</v>
          </cell>
          <cell r="C29" t="str">
            <v>KHZ</v>
          </cell>
        </row>
        <row r="30">
          <cell r="A30" t="str">
            <v>KI01</v>
          </cell>
          <cell r="B30" t="str">
            <v>IDRIS MOHD ISA</v>
          </cell>
          <cell r="C30" t="str">
            <v>KI01</v>
          </cell>
        </row>
        <row r="31">
          <cell r="A31" t="str">
            <v>KIM</v>
          </cell>
          <cell r="B31" t="str">
            <v>KLINIK INTER-MED</v>
          </cell>
          <cell r="C31" t="str">
            <v>KIM</v>
          </cell>
        </row>
        <row r="32">
          <cell r="A32" t="str">
            <v>KJ01</v>
          </cell>
          <cell r="B32" t="str">
            <v>JAMAAN BIN SULAIMAN</v>
          </cell>
          <cell r="C32" t="str">
            <v>KJ01</v>
          </cell>
        </row>
        <row r="33">
          <cell r="A33" t="str">
            <v>KK01</v>
          </cell>
          <cell r="B33" t="str">
            <v>KHAIRIL ANUAR BIN OMAR</v>
          </cell>
        </row>
        <row r="34">
          <cell r="A34" t="str">
            <v>KL01</v>
          </cell>
          <cell r="B34" t="str">
            <v>LAI CHUNG WAH</v>
          </cell>
          <cell r="C34" t="str">
            <v>KL01</v>
          </cell>
        </row>
        <row r="35">
          <cell r="A35" t="str">
            <v>KM01</v>
          </cell>
          <cell r="B35" t="str">
            <v>MOHD. NOOR AWANG</v>
          </cell>
          <cell r="C35" t="str">
            <v>KM01</v>
          </cell>
        </row>
        <row r="36">
          <cell r="A36" t="str">
            <v>KM02</v>
          </cell>
          <cell r="B36" t="str">
            <v>M/GENERAL (R) LAI CHUNG WAH</v>
          </cell>
          <cell r="C36" t="str">
            <v>KM02</v>
          </cell>
        </row>
        <row r="37">
          <cell r="A37" t="str">
            <v>KM03</v>
          </cell>
          <cell r="B37" t="str">
            <v>MOHAMAD BIN IBRAHIM</v>
          </cell>
          <cell r="C37" t="str">
            <v>KM03</v>
          </cell>
        </row>
        <row r="38">
          <cell r="A38" t="str">
            <v>KM04</v>
          </cell>
          <cell r="B38" t="str">
            <v>MAZLAN BIN AHMAD</v>
          </cell>
          <cell r="C38" t="str">
            <v>KM04</v>
          </cell>
        </row>
        <row r="39">
          <cell r="A39" t="str">
            <v>KN01</v>
          </cell>
          <cell r="B39" t="str">
            <v>NORHAYATI KAPRAWI</v>
          </cell>
          <cell r="C39" t="str">
            <v>KN01</v>
          </cell>
        </row>
        <row r="40">
          <cell r="A40" t="str">
            <v>KN02</v>
          </cell>
          <cell r="B40" t="str">
            <v>NOUXMAN BURHANUDDIN</v>
          </cell>
          <cell r="C40" t="str">
            <v>KN02</v>
          </cell>
        </row>
        <row r="41">
          <cell r="A41" t="str">
            <v>KQ01</v>
          </cell>
          <cell r="B41" t="str">
            <v>OMERO CONTU</v>
          </cell>
          <cell r="C41" t="str">
            <v>KQ01</v>
          </cell>
        </row>
        <row r="42">
          <cell r="A42" t="str">
            <v>KS01</v>
          </cell>
          <cell r="B42" t="str">
            <v>SARIF KAMAL MUSTAFA</v>
          </cell>
          <cell r="C42" t="str">
            <v>KS01</v>
          </cell>
        </row>
        <row r="43">
          <cell r="A43" t="str">
            <v>KW01</v>
          </cell>
          <cell r="B43" t="str">
            <v>WAN AZAM WAN MUSA</v>
          </cell>
          <cell r="C43" t="str">
            <v>KW01</v>
          </cell>
        </row>
        <row r="44">
          <cell r="A44" t="str">
            <v>LA01</v>
          </cell>
          <cell r="B44" t="str">
            <v>ARAB-MALAYSIAN MERCHANT BANK BERHAD</v>
          </cell>
          <cell r="C44" t="str">
            <v>LA01</v>
          </cell>
        </row>
        <row r="45">
          <cell r="A45" t="str">
            <v>LA02</v>
          </cell>
          <cell r="B45" t="str">
            <v xml:space="preserve">ASEAMLEASE BERHAD </v>
          </cell>
          <cell r="C45" t="str">
            <v>LA02</v>
          </cell>
        </row>
        <row r="46">
          <cell r="A46" t="str">
            <v>LB01</v>
          </cell>
          <cell r="B46" t="str">
            <v>BANK ISLAM MALAYSIA BERHAD</v>
          </cell>
          <cell r="C46" t="str">
            <v>LB01</v>
          </cell>
        </row>
        <row r="47">
          <cell r="A47" t="str">
            <v>LE</v>
          </cell>
          <cell r="B47" t="str">
            <v>LE. ORIENTAL CATERING.</v>
          </cell>
          <cell r="C47" t="str">
            <v>LE</v>
          </cell>
        </row>
        <row r="48">
          <cell r="A48" t="str">
            <v>LHDN</v>
          </cell>
          <cell r="B48" t="str">
            <v>PENGARAH HASIL DALAM NEGERI</v>
          </cell>
          <cell r="C48" t="str">
            <v>LHDN</v>
          </cell>
        </row>
        <row r="49">
          <cell r="A49" t="str">
            <v>LM01</v>
          </cell>
          <cell r="B49" t="str">
            <v>MBF FINANCE BERHAD</v>
          </cell>
          <cell r="C49" t="str">
            <v>LM01</v>
          </cell>
        </row>
        <row r="50">
          <cell r="A50" t="str">
            <v>M1</v>
          </cell>
          <cell r="B50" t="str">
            <v>MOHD ADZHARI BIN YUSUF</v>
          </cell>
        </row>
        <row r="51">
          <cell r="A51" t="str">
            <v>M2</v>
          </cell>
          <cell r="B51" t="str">
            <v>MOHD NASHARUDIN BIN ABD JALIL</v>
          </cell>
        </row>
        <row r="52">
          <cell r="A52" t="str">
            <v>M3</v>
          </cell>
          <cell r="B52" t="str">
            <v>ABDULLAH BIN AYOB</v>
          </cell>
        </row>
        <row r="53">
          <cell r="A53" t="str">
            <v>M4</v>
          </cell>
          <cell r="B53" t="str">
            <v>NORHAFIZAN BIN MHD NOOR</v>
          </cell>
        </row>
        <row r="54">
          <cell r="A54" t="str">
            <v>MENON</v>
          </cell>
          <cell r="B54" t="str">
            <v>K  SASITHARAN KRISHNAN MENON</v>
          </cell>
          <cell r="C54" t="str">
            <v>MENON</v>
          </cell>
        </row>
        <row r="55">
          <cell r="A55" t="str">
            <v>MUS</v>
          </cell>
          <cell r="B55" t="str">
            <v>MUSTAFA ZAHIDIN &amp; ASSOCIATES SENDIRIAN BERHAD</v>
          </cell>
          <cell r="C55" t="str">
            <v>MUS</v>
          </cell>
        </row>
        <row r="56">
          <cell r="A56" t="str">
            <v>NA01</v>
          </cell>
          <cell r="B56" t="str">
            <v>AKISEV PERTAMA SDN. BHD.</v>
          </cell>
          <cell r="C56" t="str">
            <v>NA01</v>
          </cell>
        </row>
        <row r="57">
          <cell r="A57" t="str">
            <v>NA02</v>
          </cell>
          <cell r="B57" t="str">
            <v>AMAL AGENCY</v>
          </cell>
          <cell r="C57" t="str">
            <v>NA02</v>
          </cell>
        </row>
        <row r="58">
          <cell r="A58" t="str">
            <v>NA03</v>
          </cell>
          <cell r="B58" t="str">
            <v>ASSISTAD SDN. BHD.</v>
          </cell>
          <cell r="C58" t="str">
            <v>NA03</v>
          </cell>
        </row>
        <row r="59">
          <cell r="A59" t="str">
            <v>NA04</v>
          </cell>
          <cell r="B59" t="str">
            <v>UNITED PAPERS &amp; STATIONERY</v>
          </cell>
          <cell r="C59" t="str">
            <v>NA04</v>
          </cell>
        </row>
        <row r="60">
          <cell r="A60" t="str">
            <v>NA05</v>
          </cell>
          <cell r="B60" t="str">
            <v>AGM AUTO PARTS &amp; SERVICE SDN. BHD.</v>
          </cell>
          <cell r="C60" t="str">
            <v>NA05</v>
          </cell>
        </row>
        <row r="61">
          <cell r="A61" t="str">
            <v>NA06</v>
          </cell>
          <cell r="B61" t="str">
            <v>ASSP TRADING NETWORK SDN BHD</v>
          </cell>
          <cell r="C61" t="str">
            <v>NA06</v>
          </cell>
        </row>
        <row r="62">
          <cell r="A62" t="str">
            <v>NA07</v>
          </cell>
          <cell r="B62" t="str">
            <v>AZRA TRADING  &amp; ENGINEERING</v>
          </cell>
          <cell r="C62" t="str">
            <v>NA07</v>
          </cell>
        </row>
        <row r="63">
          <cell r="A63" t="str">
            <v>NB02</v>
          </cell>
          <cell r="B63" t="str">
            <v>BERANI GUARD SDN. BHD.</v>
          </cell>
          <cell r="C63" t="str">
            <v>NB02</v>
          </cell>
        </row>
        <row r="64">
          <cell r="A64" t="str">
            <v>NB03</v>
          </cell>
          <cell r="B64" t="str">
            <v>BUSINESS TRENDS PERSONNEL SDN. BHD.</v>
          </cell>
          <cell r="C64" t="str">
            <v>NB03</v>
          </cell>
        </row>
        <row r="65">
          <cell r="A65" t="str">
            <v>NB04</v>
          </cell>
          <cell r="B65" t="str">
            <v>BEYEN SALES &amp; SERVICES (M) SDN BHD</v>
          </cell>
          <cell r="C65" t="str">
            <v>NB04</v>
          </cell>
        </row>
        <row r="66">
          <cell r="A66" t="str">
            <v>NC01</v>
          </cell>
          <cell r="B66" t="str">
            <v>CELLULAR COMMUNICATIONS NETWORK (MALAYSIA) SDN. BHD.</v>
          </cell>
          <cell r="C66" t="str">
            <v>NC01</v>
          </cell>
        </row>
        <row r="67">
          <cell r="A67" t="str">
            <v>NC02</v>
          </cell>
          <cell r="B67" t="str">
            <v>CAIDMARK SDN. BHD.</v>
          </cell>
          <cell r="C67" t="str">
            <v>NC02</v>
          </cell>
        </row>
        <row r="68">
          <cell r="A68" t="str">
            <v>NC03</v>
          </cell>
          <cell r="B68" t="str">
            <v>CANON MARKETING (M) SDN. BHD.</v>
          </cell>
          <cell r="C68" t="str">
            <v>NC03</v>
          </cell>
        </row>
        <row r="69">
          <cell r="A69" t="str">
            <v>NC04</v>
          </cell>
          <cell r="B69" t="str">
            <v>CCS ELECTRICAL</v>
          </cell>
          <cell r="C69" t="str">
            <v>NC04</v>
          </cell>
        </row>
        <row r="70">
          <cell r="A70" t="str">
            <v>NC05</v>
          </cell>
          <cell r="B70" t="str">
            <v>CONCEPT CODE (M) SDN BHD</v>
          </cell>
          <cell r="C70" t="str">
            <v>NC05</v>
          </cell>
        </row>
        <row r="71">
          <cell r="A71" t="str">
            <v>NC07</v>
          </cell>
          <cell r="B71" t="str">
            <v>CHEEMA VIDEO PRODUCTIONS</v>
          </cell>
          <cell r="C71" t="str">
            <v>NC07</v>
          </cell>
        </row>
        <row r="72">
          <cell r="A72" t="str">
            <v>NC08</v>
          </cell>
          <cell r="B72" t="str">
            <v>CITY PEST CONTROL &amp; FUMIGATORS (M) SDN BHD</v>
          </cell>
          <cell r="C72" t="str">
            <v>NC08</v>
          </cell>
        </row>
        <row r="73">
          <cell r="A73" t="str">
            <v>ND01</v>
          </cell>
          <cell r="B73" t="str">
            <v>DINAMIK - FLICK (M) SDN. BHD.</v>
          </cell>
          <cell r="C73" t="str">
            <v>ND01</v>
          </cell>
        </row>
        <row r="74">
          <cell r="A74" t="str">
            <v>ND02</v>
          </cell>
          <cell r="B74" t="str">
            <v>DUSUN NYIUR SDN. BHD.</v>
          </cell>
          <cell r="C74" t="str">
            <v>ND02</v>
          </cell>
        </row>
        <row r="75">
          <cell r="A75" t="str">
            <v>ND03</v>
          </cell>
          <cell r="B75" t="str">
            <v>D'ELITTE</v>
          </cell>
          <cell r="C75" t="str">
            <v>ND03</v>
          </cell>
        </row>
        <row r="76">
          <cell r="A76" t="str">
            <v>ND04</v>
          </cell>
          <cell r="B76" t="str">
            <v>DELL ASIA PACIFIC SDN.</v>
          </cell>
          <cell r="C76" t="str">
            <v>ND04</v>
          </cell>
        </row>
        <row r="77">
          <cell r="A77" t="str">
            <v>ND05</v>
          </cell>
          <cell r="B77" t="str">
            <v>DUAN TAILOR.</v>
          </cell>
          <cell r="C77" t="str">
            <v>ND05</v>
          </cell>
        </row>
        <row r="78">
          <cell r="A78" t="str">
            <v>NE01</v>
          </cell>
          <cell r="B78" t="str">
            <v>EDART SDN. BHD.</v>
          </cell>
          <cell r="C78" t="str">
            <v>NE01</v>
          </cell>
        </row>
        <row r="79">
          <cell r="A79" t="str">
            <v>NE03</v>
          </cell>
          <cell r="B79" t="str">
            <v>ELECTCOMS SDN BHD</v>
          </cell>
        </row>
        <row r="80">
          <cell r="A80" t="str">
            <v>NF01</v>
          </cell>
          <cell r="B80" t="str">
            <v>SYSPRESS SDN BHD</v>
          </cell>
          <cell r="C80" t="str">
            <v>NF01</v>
          </cell>
        </row>
        <row r="81">
          <cell r="A81" t="str">
            <v>NF02</v>
          </cell>
          <cell r="B81" t="str">
            <v>FUJI XEROX ASIA PACIFIC PTE. LTD.</v>
          </cell>
          <cell r="C81" t="str">
            <v>NF02</v>
          </cell>
        </row>
        <row r="82">
          <cell r="A82" t="str">
            <v>NH01</v>
          </cell>
          <cell r="B82" t="str">
            <v>HENG ELECTRICAL</v>
          </cell>
          <cell r="C82" t="str">
            <v>NH01</v>
          </cell>
        </row>
        <row r="83">
          <cell r="A83" t="str">
            <v>NH02</v>
          </cell>
          <cell r="B83" t="str">
            <v>PERUNDING HASHIM &amp; NEH SDN. BHD.</v>
          </cell>
          <cell r="C83" t="str">
            <v>NH02</v>
          </cell>
        </row>
        <row r="84">
          <cell r="A84" t="str">
            <v>NH03</v>
          </cell>
          <cell r="B84" t="str">
            <v>HONG ADVERTISING &amp; TRADING CO</v>
          </cell>
          <cell r="C84" t="str">
            <v>NH03</v>
          </cell>
        </row>
        <row r="85">
          <cell r="A85" t="str">
            <v>NI01</v>
          </cell>
          <cell r="B85" t="str">
            <v>INTEGRATED AUTOMATION SYSTEMS (M) SDN BHD</v>
          </cell>
          <cell r="C85" t="str">
            <v>NI01</v>
          </cell>
        </row>
        <row r="86">
          <cell r="A86" t="str">
            <v>NJ01</v>
          </cell>
          <cell r="B86" t="str">
            <v>JABATAN PENGANGKUTAN JALAN WILAYAH PERSEKUTUAN.</v>
          </cell>
          <cell r="C86" t="str">
            <v>NJ01</v>
          </cell>
        </row>
        <row r="87">
          <cell r="A87" t="str">
            <v>NK01</v>
          </cell>
          <cell r="B87" t="str">
            <v>KOTA RAYA STATIONER</v>
          </cell>
          <cell r="C87" t="str">
            <v>NK01</v>
          </cell>
        </row>
        <row r="88">
          <cell r="A88" t="str">
            <v>NK02</v>
          </cell>
          <cell r="B88" t="str">
            <v>KONNAS AGENCIES TRAVEL SVS SDN .BHD.</v>
          </cell>
          <cell r="C88" t="str">
            <v>NK02</v>
          </cell>
        </row>
        <row r="89">
          <cell r="A89" t="str">
            <v>NK03</v>
          </cell>
          <cell r="B89" t="str">
            <v>KIT LOONG TYRE SERVICE SDN. BHD.</v>
          </cell>
          <cell r="C89" t="str">
            <v>NK03</v>
          </cell>
        </row>
        <row r="90">
          <cell r="A90" t="str">
            <v>NK04</v>
          </cell>
          <cell r="B90" t="str">
            <v>KLINIK KITA AMPANG</v>
          </cell>
          <cell r="C90" t="str">
            <v>NK04</v>
          </cell>
        </row>
        <row r="91">
          <cell r="A91" t="str">
            <v>NK05</v>
          </cell>
          <cell r="B91" t="str">
            <v>KLINIK SAUJANA</v>
          </cell>
          <cell r="C91" t="str">
            <v>NK05</v>
          </cell>
        </row>
        <row r="92">
          <cell r="A92" t="str">
            <v>NK06</v>
          </cell>
          <cell r="B92" t="str">
            <v>KENFIL DISTRIBUTION (M) SDN BHD</v>
          </cell>
          <cell r="C92" t="str">
            <v>NK06</v>
          </cell>
        </row>
        <row r="93">
          <cell r="A93" t="str">
            <v>NK07</v>
          </cell>
          <cell r="B93" t="str">
            <v>K.U. SISTEM SDN. BHD.</v>
          </cell>
          <cell r="C93" t="str">
            <v>NK07</v>
          </cell>
        </row>
        <row r="94">
          <cell r="A94" t="str">
            <v>NL01</v>
          </cell>
          <cell r="B94" t="str">
            <v>LI BIE D' TAILOR</v>
          </cell>
          <cell r="C94" t="str">
            <v>NL01</v>
          </cell>
        </row>
        <row r="95">
          <cell r="A95" t="str">
            <v>NM01</v>
          </cell>
          <cell r="B95" t="str">
            <v>MOBIKOM SDN. BHD</v>
          </cell>
          <cell r="C95" t="str">
            <v>NM01</v>
          </cell>
        </row>
        <row r="96">
          <cell r="A96" t="str">
            <v>NM03</v>
          </cell>
          <cell r="B96" t="str">
            <v>MUTIARA TELECOMMUNICATIONS SDN. BHD.</v>
          </cell>
          <cell r="C96" t="str">
            <v>NM03</v>
          </cell>
        </row>
        <row r="97">
          <cell r="A97" t="str">
            <v>NM04</v>
          </cell>
          <cell r="B97" t="str">
            <v>MULTIPAGE SDN. BHD.</v>
          </cell>
          <cell r="C97" t="str">
            <v>NM04</v>
          </cell>
        </row>
        <row r="98">
          <cell r="A98" t="str">
            <v>NM05</v>
          </cell>
          <cell r="B98" t="str">
            <v>MURAD HASHIM ASSOCIATES SN. BHD.</v>
          </cell>
          <cell r="C98" t="str">
            <v>NM05</v>
          </cell>
        </row>
        <row r="99">
          <cell r="A99" t="str">
            <v>NM06</v>
          </cell>
          <cell r="B99" t="str">
            <v>MITRA MALAYSIA SDN. BHD.</v>
          </cell>
          <cell r="C99" t="str">
            <v>NM06</v>
          </cell>
        </row>
        <row r="100">
          <cell r="A100" t="str">
            <v>NM07</v>
          </cell>
          <cell r="B100" t="str">
            <v>MAXIS COLLECTIONS SDN. BHD.</v>
          </cell>
          <cell r="C100" t="str">
            <v>NM07</v>
          </cell>
        </row>
        <row r="101">
          <cell r="A101" t="str">
            <v>NN01</v>
          </cell>
          <cell r="B101" t="str">
            <v>NEURAL SERVICES SDN. BHD.</v>
          </cell>
          <cell r="C101" t="str">
            <v>NN01</v>
          </cell>
        </row>
        <row r="102">
          <cell r="A102" t="str">
            <v>NP01</v>
          </cell>
          <cell r="B102" t="str">
            <v>PURE WATER (KL) SDN. BHD.</v>
          </cell>
          <cell r="C102" t="str">
            <v>NP01</v>
          </cell>
        </row>
        <row r="103">
          <cell r="A103" t="str">
            <v>NP02</v>
          </cell>
          <cell r="B103" t="str">
            <v>POLIKLINIK KUMPULAN CITY</v>
          </cell>
          <cell r="C103" t="str">
            <v>NP02</v>
          </cell>
        </row>
        <row r="104">
          <cell r="A104" t="str">
            <v>NP03</v>
          </cell>
          <cell r="B104" t="str">
            <v xml:space="preserve">PRO-ULTRA SDN BHD </v>
          </cell>
          <cell r="C104" t="str">
            <v>NP03</v>
          </cell>
        </row>
        <row r="105">
          <cell r="A105" t="str">
            <v>NP04</v>
          </cell>
          <cell r="B105" t="str">
            <v>PNK TRADING AND CONSTRUCTION</v>
          </cell>
          <cell r="C105" t="str">
            <v>NP04</v>
          </cell>
        </row>
        <row r="106">
          <cell r="A106" t="str">
            <v>NP06</v>
          </cell>
          <cell r="B106" t="str">
            <v>DR. FATEH MYDIN DAN RAKAN RAKAN SDN BHD</v>
          </cell>
          <cell r="C106" t="str">
            <v>NP06</v>
          </cell>
        </row>
        <row r="107">
          <cell r="A107" t="str">
            <v>NR01</v>
          </cell>
          <cell r="B107" t="str">
            <v>REPROCOPY SDN BHD.</v>
          </cell>
          <cell r="C107" t="str">
            <v>NR01</v>
          </cell>
        </row>
        <row r="108">
          <cell r="A108" t="str">
            <v>NS01</v>
          </cell>
          <cell r="B108" t="str">
            <v>STAR SECURITY SERVICES SDN. BHD.</v>
          </cell>
          <cell r="C108" t="str">
            <v>NS01</v>
          </cell>
        </row>
        <row r="109">
          <cell r="A109" t="str">
            <v>NS02</v>
          </cell>
          <cell r="B109" t="str">
            <v>SMJ MARKETING (M) SDN. BHD.</v>
          </cell>
          <cell r="C109" t="str">
            <v>NS02</v>
          </cell>
        </row>
        <row r="110">
          <cell r="A110" t="str">
            <v>NS03</v>
          </cell>
          <cell r="B110" t="str">
            <v>SYARIKAT MOTOR &amp; KREDIT K.F. SDN. BHD.</v>
          </cell>
          <cell r="C110" t="str">
            <v>NS03</v>
          </cell>
        </row>
        <row r="111">
          <cell r="A111" t="str">
            <v>NS04</v>
          </cell>
          <cell r="B111" t="str">
            <v>SOON FATT TYPEWRITER SERVICE</v>
          </cell>
          <cell r="C111" t="str">
            <v>NS04</v>
          </cell>
        </row>
        <row r="112">
          <cell r="A112" t="str">
            <v>NS05</v>
          </cell>
          <cell r="B112" t="str">
            <v>S.B FURNITURE</v>
          </cell>
          <cell r="C112" t="str">
            <v>NS05</v>
          </cell>
        </row>
        <row r="113">
          <cell r="A113" t="str">
            <v>NS06</v>
          </cell>
          <cell r="B113" t="str">
            <v>STANSALL (M) SDN BHD</v>
          </cell>
          <cell r="C113" t="str">
            <v>NS06</v>
          </cell>
        </row>
        <row r="114">
          <cell r="A114" t="str">
            <v>NT01</v>
          </cell>
          <cell r="B114" t="str">
            <v>TELEKOM MALAYSIA BERHAD</v>
          </cell>
          <cell r="C114" t="str">
            <v>NT01</v>
          </cell>
        </row>
        <row r="115">
          <cell r="A115" t="str">
            <v>NT02</v>
          </cell>
          <cell r="B115" t="str">
            <v>TRIPATI ENTERPRISE</v>
          </cell>
          <cell r="C115" t="str">
            <v>NT02</v>
          </cell>
        </row>
        <row r="116">
          <cell r="A116" t="str">
            <v>NT03</v>
          </cell>
          <cell r="B116" t="str">
            <v>TELE DYNAMICS SDN. BHD.</v>
          </cell>
          <cell r="C116" t="str">
            <v>NT03</v>
          </cell>
        </row>
        <row r="117">
          <cell r="A117" t="str">
            <v>NT03</v>
          </cell>
          <cell r="B117" t="str">
            <v>TELE DYNAMICS SDN BHD</v>
          </cell>
          <cell r="C117" t="str">
            <v>NT03</v>
          </cell>
        </row>
        <row r="118">
          <cell r="A118" t="str">
            <v>NT04</v>
          </cell>
          <cell r="B118" t="str">
            <v>TENAGA NASIONAL BERHAD</v>
          </cell>
          <cell r="C118" t="str">
            <v>NT04</v>
          </cell>
        </row>
        <row r="119">
          <cell r="A119" t="str">
            <v>NT05</v>
          </cell>
          <cell r="B119" t="str">
            <v>TIMUR CARPARK SDN. BHD.</v>
          </cell>
          <cell r="C119" t="str">
            <v>NT05</v>
          </cell>
        </row>
        <row r="120">
          <cell r="A120" t="str">
            <v>NT06</v>
          </cell>
          <cell r="B120" t="str">
            <v>TRANS-PEST CONTROL SERVICES</v>
          </cell>
          <cell r="C120" t="str">
            <v>NT06</v>
          </cell>
        </row>
        <row r="121">
          <cell r="A121" t="str">
            <v>NT07</v>
          </cell>
          <cell r="B121" t="str">
            <v>TOYO SETSUBI OFFICE SYSTEM SDN BHD</v>
          </cell>
          <cell r="C121" t="str">
            <v>NT07</v>
          </cell>
        </row>
        <row r="122">
          <cell r="A122" t="str">
            <v>NT08</v>
          </cell>
          <cell r="B122" t="str">
            <v>TETRIX SDN BHD</v>
          </cell>
          <cell r="C122" t="str">
            <v>NT08</v>
          </cell>
        </row>
        <row r="123">
          <cell r="A123" t="str">
            <v>NT09</v>
          </cell>
          <cell r="B123" t="str">
            <v xml:space="preserve">TWIN-TY ENTERPRISE </v>
          </cell>
          <cell r="C123" t="str">
            <v>NT09</v>
          </cell>
        </row>
        <row r="124">
          <cell r="A124" t="str">
            <v>NT11</v>
          </cell>
          <cell r="B124" t="str">
            <v>TRAPEZIUM (M) SDN BHD.</v>
          </cell>
          <cell r="C124" t="str">
            <v>NT11</v>
          </cell>
        </row>
        <row r="125">
          <cell r="A125" t="str">
            <v>NU01</v>
          </cell>
          <cell r="B125" t="str">
            <v>UNITED STRAITS FUSO SDN. BHD.</v>
          </cell>
          <cell r="C125" t="str">
            <v>NU01</v>
          </cell>
        </row>
        <row r="126">
          <cell r="A126" t="str">
            <v>NU02</v>
          </cell>
          <cell r="B126" t="str">
            <v>UNITEERS COMMUNICATIONS S/B</v>
          </cell>
          <cell r="C126" t="str">
            <v>NU02</v>
          </cell>
        </row>
        <row r="127">
          <cell r="A127" t="str">
            <v>NU03</v>
          </cell>
          <cell r="B127" t="str">
            <v>UNI INDUSTRIAL &amp; OFFICE SUPPLIES SDN. BHD.</v>
          </cell>
          <cell r="C127" t="str">
            <v>NU03</v>
          </cell>
        </row>
        <row r="128">
          <cell r="A128" t="str">
            <v>NW01</v>
          </cell>
          <cell r="B128" t="str">
            <v>WILLFINE INTERIORS</v>
          </cell>
          <cell r="C128" t="str">
            <v>NW01</v>
          </cell>
        </row>
        <row r="129">
          <cell r="A129" t="str">
            <v>NW02</v>
          </cell>
          <cell r="B129" t="str">
            <v>WYWY (MARKETING) SDN. BHD.</v>
          </cell>
          <cell r="C129" t="str">
            <v>NW02</v>
          </cell>
        </row>
        <row r="130">
          <cell r="A130" t="str">
            <v>NW03</v>
          </cell>
          <cell r="B130" t="str">
            <v>WILLIS FABER (MALAYSIA) S/B</v>
          </cell>
          <cell r="C130" t="str">
            <v>NW03</v>
          </cell>
        </row>
        <row r="131">
          <cell r="A131" t="str">
            <v>NW04</v>
          </cell>
          <cell r="B131" t="str">
            <v>WISMA CENTRAL MANAGEMENT CORPORATION</v>
          </cell>
          <cell r="C131" t="str">
            <v>NW04</v>
          </cell>
        </row>
        <row r="132">
          <cell r="A132" t="str">
            <v>NW05</v>
          </cell>
          <cell r="B132" t="str">
            <v>WYWY PACIFIC SDN BHD</v>
          </cell>
          <cell r="C132" t="str">
            <v>NW05</v>
          </cell>
        </row>
        <row r="133">
          <cell r="A133" t="str">
            <v>NZ01</v>
          </cell>
          <cell r="B133" t="str">
            <v>ZAIKO - KANRI (M) SDN BHD.</v>
          </cell>
          <cell r="C133" t="str">
            <v>NZ01</v>
          </cell>
        </row>
        <row r="134">
          <cell r="A134" t="str">
            <v>ORK01</v>
          </cell>
          <cell r="B134" t="str">
            <v>KELANA HILIR SDN BHD</v>
          </cell>
          <cell r="C134" t="str">
            <v>ORK01</v>
          </cell>
        </row>
        <row r="135">
          <cell r="A135" t="str">
            <v>P</v>
          </cell>
          <cell r="B135" t="str">
            <v>PERCON CORPORATION SDN. BHD.</v>
          </cell>
          <cell r="C135" t="str">
            <v>P</v>
          </cell>
        </row>
        <row r="136">
          <cell r="A136" t="str">
            <v>PA01</v>
          </cell>
          <cell r="B136" t="str">
            <v>AMPERO (M) SDN BHD</v>
          </cell>
          <cell r="C136" t="str">
            <v>PA01</v>
          </cell>
        </row>
        <row r="137">
          <cell r="A137" t="str">
            <v>PC01</v>
          </cell>
          <cell r="B137" t="str">
            <v>CAPITAL BLISS SDN BHD</v>
          </cell>
          <cell r="C137" t="str">
            <v>PC01</v>
          </cell>
        </row>
        <row r="138">
          <cell r="A138" t="str">
            <v>PC02</v>
          </cell>
          <cell r="B138" t="str">
            <v>CE INSTRUMENTS SDN BHD</v>
          </cell>
          <cell r="C138" t="str">
            <v>PC02</v>
          </cell>
        </row>
        <row r="139">
          <cell r="A139" t="str">
            <v>PC03</v>
          </cell>
          <cell r="B139" t="str">
            <v>C.T.A REALTY SDN BHD</v>
          </cell>
          <cell r="C139" t="str">
            <v>PC03</v>
          </cell>
        </row>
        <row r="140">
          <cell r="A140" t="str">
            <v>PC04</v>
          </cell>
          <cell r="B140" t="str">
            <v>CAN PILING &amp; CONSTRUCTION</v>
          </cell>
          <cell r="C140" t="str">
            <v>PC04</v>
          </cell>
        </row>
        <row r="141">
          <cell r="A141" t="str">
            <v>PC05</v>
          </cell>
          <cell r="B141" t="str">
            <v>SYARIKAT PEMBINAAN INDAH</v>
          </cell>
          <cell r="C141" t="str">
            <v>PC05</v>
          </cell>
        </row>
        <row r="142">
          <cell r="A142" t="str">
            <v>PC10</v>
          </cell>
          <cell r="B142" t="str">
            <v>PETTY CASH (HQ)</v>
          </cell>
          <cell r="C142" t="str">
            <v>PC10</v>
          </cell>
        </row>
        <row r="143">
          <cell r="A143" t="str">
            <v>PC20</v>
          </cell>
          <cell r="B143" t="str">
            <v>PETTY CASH (LOT 181)</v>
          </cell>
        </row>
        <row r="144">
          <cell r="A144" t="str">
            <v>PC24</v>
          </cell>
          <cell r="B144" t="str">
            <v>PETTY CASH (UDA)</v>
          </cell>
          <cell r="C144" t="str">
            <v>PC24</v>
          </cell>
        </row>
        <row r="145">
          <cell r="A145" t="str">
            <v>PC26</v>
          </cell>
          <cell r="B145" t="str">
            <v>PETTY CASH (VIADUCT)</v>
          </cell>
          <cell r="C145" t="str">
            <v>PC26</v>
          </cell>
        </row>
        <row r="146">
          <cell r="A146" t="str">
            <v>PC27</v>
          </cell>
          <cell r="B146" t="str">
            <v>PETTY CASH AKLEH-PACKAGE 1</v>
          </cell>
        </row>
        <row r="147">
          <cell r="A147" t="str">
            <v>PDRM</v>
          </cell>
          <cell r="B147" t="str">
            <v>PDRM-KETUA  CAWANGAN TRAFIK</v>
          </cell>
          <cell r="C147" t="str">
            <v>PDRM</v>
          </cell>
        </row>
        <row r="148">
          <cell r="A148" t="str">
            <v>PF01</v>
          </cell>
          <cell r="B148" t="str">
            <v>FOO HUAT SENG SDN BHD</v>
          </cell>
          <cell r="C148" t="str">
            <v>PF01</v>
          </cell>
        </row>
        <row r="149">
          <cell r="A149" t="str">
            <v>PF02</v>
          </cell>
          <cell r="B149" t="str">
            <v>FITRAH ENGINEERING</v>
          </cell>
          <cell r="C149" t="str">
            <v>PF02</v>
          </cell>
        </row>
        <row r="150">
          <cell r="A150" t="str">
            <v>PG01</v>
          </cell>
          <cell r="B150" t="str">
            <v>GEOLAB (M) SDN BHD</v>
          </cell>
          <cell r="C150" t="str">
            <v>PG01</v>
          </cell>
        </row>
        <row r="151">
          <cell r="A151" t="str">
            <v>PG02</v>
          </cell>
          <cell r="B151" t="str">
            <v>GEOSTRENGTH ENGINEERING SDN. BHD.</v>
          </cell>
          <cell r="C151" t="str">
            <v>PG02</v>
          </cell>
        </row>
        <row r="152">
          <cell r="A152" t="str">
            <v>PH01</v>
          </cell>
          <cell r="B152" t="str">
            <v>HULS TECHNOLOGIES (M) SDN BHD</v>
          </cell>
          <cell r="C152" t="str">
            <v>PH01</v>
          </cell>
        </row>
        <row r="153">
          <cell r="A153" t="str">
            <v>PI01</v>
          </cell>
          <cell r="B153" t="str">
            <v>IZOMA SDN BHD</v>
          </cell>
          <cell r="C153" t="str">
            <v>PI01</v>
          </cell>
        </row>
        <row r="154">
          <cell r="A154" t="str">
            <v>PI01</v>
          </cell>
          <cell r="B154" t="str">
            <v>IZOMA SDN BHD</v>
          </cell>
          <cell r="C154" t="str">
            <v>PI01</v>
          </cell>
        </row>
        <row r="155">
          <cell r="A155" t="str">
            <v>PI02</v>
          </cell>
          <cell r="B155" t="str">
            <v>IZOMA SDN. BHD.</v>
          </cell>
          <cell r="C155" t="str">
            <v>PI02</v>
          </cell>
        </row>
        <row r="156">
          <cell r="A156" t="str">
            <v>PJ01</v>
          </cell>
          <cell r="B156" t="str">
            <v>JURUKUR PERUNDING SERVICES</v>
          </cell>
          <cell r="C156" t="str">
            <v>PJ01</v>
          </cell>
        </row>
        <row r="157">
          <cell r="A157" t="str">
            <v>PJ01</v>
          </cell>
          <cell r="B157" t="str">
            <v>JURUKUR PERUNDING SERVICES</v>
          </cell>
          <cell r="C157" t="str">
            <v>PJ01</v>
          </cell>
        </row>
        <row r="158">
          <cell r="A158" t="str">
            <v>PK01</v>
          </cell>
          <cell r="B158" t="str">
            <v>KELPILE SDN BHD</v>
          </cell>
          <cell r="C158" t="str">
            <v>PK01</v>
          </cell>
        </row>
        <row r="159">
          <cell r="A159" t="str">
            <v>PK01</v>
          </cell>
          <cell r="B159" t="str">
            <v>KELPILE SDN. BHD.</v>
          </cell>
          <cell r="C159" t="str">
            <v>PK01</v>
          </cell>
        </row>
        <row r="160">
          <cell r="A160" t="str">
            <v>PK02</v>
          </cell>
          <cell r="B160" t="str">
            <v>KETARA TIMOR SDN BHD</v>
          </cell>
          <cell r="C160" t="str">
            <v>PK02</v>
          </cell>
        </row>
        <row r="161">
          <cell r="A161" t="str">
            <v>PK03</v>
          </cell>
          <cell r="B161" t="str">
            <v>KR CONSTRUCTION SDN . BHD.</v>
          </cell>
          <cell r="C161" t="str">
            <v>PK03</v>
          </cell>
        </row>
        <row r="162">
          <cell r="A162" t="str">
            <v>PK04</v>
          </cell>
          <cell r="B162" t="str">
            <v>KARLIN BIN SABAR</v>
          </cell>
          <cell r="C162" t="str">
            <v>PK04</v>
          </cell>
        </row>
        <row r="163">
          <cell r="A163" t="str">
            <v>PK04</v>
          </cell>
          <cell r="B163" t="str">
            <v>KARLIN BIN SABAR</v>
          </cell>
          <cell r="C163" t="str">
            <v>PK04</v>
          </cell>
        </row>
        <row r="164">
          <cell r="A164" t="str">
            <v>PK05</v>
          </cell>
          <cell r="B164" t="str">
            <v>KGD BUILDERS SDN BHD</v>
          </cell>
          <cell r="C164" t="str">
            <v>PK05</v>
          </cell>
        </row>
        <row r="165">
          <cell r="A165" t="str">
            <v>PL01</v>
          </cell>
          <cell r="B165" t="str">
            <v>L &amp; M STRUCTURES SDN BHD</v>
          </cell>
          <cell r="C165" t="str">
            <v>PL01</v>
          </cell>
        </row>
        <row r="166">
          <cell r="A166" t="str">
            <v>PM01</v>
          </cell>
          <cell r="B166" t="str">
            <v>MATRIX TRADING &amp; CONSTRUCTION</v>
          </cell>
          <cell r="C166" t="str">
            <v>PM01</v>
          </cell>
        </row>
        <row r="167">
          <cell r="A167" t="str">
            <v>PM01</v>
          </cell>
          <cell r="B167" t="str">
            <v>MATRIX TRADING &amp; CONSTRUCTION</v>
          </cell>
          <cell r="C167" t="str">
            <v>PM01</v>
          </cell>
        </row>
        <row r="168">
          <cell r="A168" t="str">
            <v>PM02</v>
          </cell>
          <cell r="B168" t="str">
            <v>MOHAMAD BASRI B SAID</v>
          </cell>
          <cell r="C168" t="str">
            <v>PM02</v>
          </cell>
        </row>
        <row r="169">
          <cell r="A169" t="str">
            <v>PM03</v>
          </cell>
          <cell r="B169" t="str">
            <v>MATRIX TRADING &amp; CONSTRUCTION</v>
          </cell>
          <cell r="C169" t="str">
            <v>PM03</v>
          </cell>
        </row>
        <row r="170">
          <cell r="A170" t="str">
            <v>PM04</v>
          </cell>
          <cell r="B170" t="str">
            <v>MATRIX TRADING AND CONSTRUCTION</v>
          </cell>
          <cell r="C170" t="str">
            <v>PM04</v>
          </cell>
        </row>
        <row r="171">
          <cell r="A171" t="str">
            <v>PM05</v>
          </cell>
          <cell r="B171" t="str">
            <v>MASTER BUILDERS TECHNOLOGIES</v>
          </cell>
          <cell r="C171" t="str">
            <v>PM05</v>
          </cell>
        </row>
        <row r="172">
          <cell r="A172" t="str">
            <v>PM06</v>
          </cell>
          <cell r="B172" t="str">
            <v>MATERIALS TESTING LABORATORY</v>
          </cell>
          <cell r="C172" t="str">
            <v>PM06</v>
          </cell>
        </row>
        <row r="173">
          <cell r="A173" t="str">
            <v>PM07</v>
          </cell>
          <cell r="B173" t="str">
            <v>MOHD. ANUAR OSMAN</v>
          </cell>
          <cell r="C173" t="str">
            <v>PM07</v>
          </cell>
        </row>
        <row r="174">
          <cell r="A174" t="str">
            <v>PM07</v>
          </cell>
          <cell r="B174" t="str">
            <v>MOHD. ANUAR BIN OSMAN</v>
          </cell>
          <cell r="C174" t="str">
            <v>PM07</v>
          </cell>
        </row>
        <row r="175">
          <cell r="A175" t="str">
            <v>PM08</v>
          </cell>
          <cell r="B175" t="str">
            <v>MAJUMEC BINA SDN. BHD.</v>
          </cell>
          <cell r="C175" t="str">
            <v>PM08</v>
          </cell>
        </row>
        <row r="176">
          <cell r="A176" t="str">
            <v>PM09</v>
          </cell>
          <cell r="B176" t="str">
            <v>MUCHAMAD MUJI BIN NURKASIM</v>
          </cell>
          <cell r="C176" t="str">
            <v>PM09</v>
          </cell>
        </row>
        <row r="177">
          <cell r="A177" t="str">
            <v>PN01</v>
          </cell>
          <cell r="B177" t="str">
            <v>NAZ'S CONSTRUCTION</v>
          </cell>
          <cell r="C177" t="str">
            <v>PN01</v>
          </cell>
        </row>
        <row r="178">
          <cell r="A178" t="str">
            <v>pnb</v>
          </cell>
          <cell r="B178" t="str">
            <v>PERMODALAN NASIONAL BERHAD</v>
          </cell>
          <cell r="C178" t="str">
            <v>PN02</v>
          </cell>
        </row>
        <row r="179">
          <cell r="A179" t="str">
            <v>PNM</v>
          </cell>
          <cell r="B179" t="str">
            <v>PNM MARKETING &amp; CONSULTANCY SERVICES</v>
          </cell>
          <cell r="C179" t="str">
            <v>PNM</v>
          </cell>
        </row>
        <row r="180">
          <cell r="A180" t="str">
            <v>PP01</v>
          </cell>
          <cell r="B180" t="str">
            <v>PREBORE PILING &amp; ENG. SDN BHD</v>
          </cell>
          <cell r="C180" t="str">
            <v>PP01</v>
          </cell>
        </row>
        <row r="181">
          <cell r="A181" t="str">
            <v>PP02</v>
          </cell>
          <cell r="B181" t="str">
            <v>PEMBINAAN KCG SDN BHD</v>
          </cell>
          <cell r="C181" t="str">
            <v>PP02</v>
          </cell>
        </row>
        <row r="182">
          <cell r="A182" t="str">
            <v>PP02</v>
          </cell>
          <cell r="B182" t="str">
            <v>P.L.L. CONSTRUCTION SDN. BHD.</v>
          </cell>
          <cell r="C182" t="str">
            <v>PP02</v>
          </cell>
        </row>
        <row r="183">
          <cell r="A183" t="str">
            <v>PP02</v>
          </cell>
          <cell r="B183" t="str">
            <v>PEMBINAAN KCG SDN. BHD.</v>
          </cell>
          <cell r="C183" t="str">
            <v>PP02</v>
          </cell>
        </row>
        <row r="184">
          <cell r="A184" t="str">
            <v>PP03</v>
          </cell>
          <cell r="B184" t="str">
            <v>PLL CONSTRUCTION SDN. BHD.</v>
          </cell>
          <cell r="C184" t="str">
            <v>PP03</v>
          </cell>
        </row>
        <row r="185">
          <cell r="A185" t="str">
            <v>PP04</v>
          </cell>
          <cell r="B185" t="str">
            <v>PEMBINAAN NILAM (M) SDN. BHD.</v>
          </cell>
          <cell r="C185" t="str">
            <v>PP04</v>
          </cell>
        </row>
        <row r="186">
          <cell r="A186" t="str">
            <v>PPSB-01</v>
          </cell>
          <cell r="B186" t="str">
            <v>PERCON PILING SDN BHD- BBMB A/C 011110095332</v>
          </cell>
          <cell r="C186" t="str">
            <v>PPSB-01</v>
          </cell>
        </row>
        <row r="187">
          <cell r="A187" t="str">
            <v>PQ01</v>
          </cell>
          <cell r="B187" t="str">
            <v>ONG PILING CO.</v>
          </cell>
          <cell r="C187" t="str">
            <v>PQ01</v>
          </cell>
        </row>
        <row r="188">
          <cell r="A188" t="str">
            <v>PQ01</v>
          </cell>
          <cell r="B188" t="str">
            <v>ONG PILING CO.</v>
          </cell>
          <cell r="C188" t="str">
            <v>PQ01</v>
          </cell>
        </row>
        <row r="189">
          <cell r="A189" t="str">
            <v>PQ02</v>
          </cell>
          <cell r="B189" t="str">
            <v>ONG PILING CO</v>
          </cell>
          <cell r="C189" t="str">
            <v>PQ02</v>
          </cell>
        </row>
        <row r="190">
          <cell r="A190" t="str">
            <v>PR01</v>
          </cell>
          <cell r="B190" t="str">
            <v>RNC TOTAL CORROSION CONTROL SDN BHD</v>
          </cell>
          <cell r="C190" t="str">
            <v>PR01</v>
          </cell>
        </row>
        <row r="191">
          <cell r="A191" t="str">
            <v>PS01</v>
          </cell>
          <cell r="B191" t="str">
            <v>SINARAN UNIK SDN BHD</v>
          </cell>
          <cell r="C191" t="str">
            <v>PS01</v>
          </cell>
        </row>
        <row r="192">
          <cell r="A192" t="str">
            <v>PS01</v>
          </cell>
          <cell r="B192" t="str">
            <v>SINARAN UNIK SDN BHD</v>
          </cell>
          <cell r="C192" t="str">
            <v>PS01</v>
          </cell>
        </row>
        <row r="193">
          <cell r="A193" t="str">
            <v>PS01</v>
          </cell>
          <cell r="B193" t="str">
            <v>SINARAN UNIK SDN. BHD.</v>
          </cell>
          <cell r="C193" t="str">
            <v>PS01</v>
          </cell>
        </row>
        <row r="194">
          <cell r="A194" t="str">
            <v>PS01</v>
          </cell>
          <cell r="B194" t="str">
            <v>SINARAN UNIK SDN. BHD.</v>
          </cell>
          <cell r="C194" t="str">
            <v>PS01</v>
          </cell>
        </row>
        <row r="195">
          <cell r="A195" t="str">
            <v>PS02</v>
          </cell>
          <cell r="B195" t="str">
            <v>SINKI PILING ENGINEERING S/B</v>
          </cell>
          <cell r="C195" t="str">
            <v>PS02</v>
          </cell>
        </row>
        <row r="196">
          <cell r="A196" t="str">
            <v>PS03</v>
          </cell>
          <cell r="B196" t="str">
            <v>SHINEI GEOTECHNIQUE (M) S. BHD</v>
          </cell>
          <cell r="C196" t="str">
            <v>PS03</v>
          </cell>
        </row>
        <row r="197">
          <cell r="A197" t="str">
            <v>PS03</v>
          </cell>
          <cell r="B197" t="str">
            <v>SHINEI GEOTECHNIQUE (M) SDN BHD</v>
          </cell>
          <cell r="C197" t="str">
            <v>PS03</v>
          </cell>
        </row>
        <row r="198">
          <cell r="A198" t="str">
            <v>PS04</v>
          </cell>
          <cell r="B198" t="str">
            <v>SIA KIM TOH &amp; SONSN PILING</v>
          </cell>
          <cell r="C198" t="str">
            <v>PS04</v>
          </cell>
        </row>
        <row r="199">
          <cell r="A199" t="str">
            <v>PT01</v>
          </cell>
          <cell r="B199" t="str">
            <v>TUAS ENTERPRISE</v>
          </cell>
          <cell r="C199" t="str">
            <v>PT01</v>
          </cell>
        </row>
        <row r="200">
          <cell r="A200" t="str">
            <v>PT02</v>
          </cell>
          <cell r="B200" t="str">
            <v>TKH CONSTRUCTION SDN. BHD</v>
          </cell>
          <cell r="C200" t="str">
            <v>PT02</v>
          </cell>
        </row>
        <row r="201">
          <cell r="A201" t="str">
            <v>PT03</v>
          </cell>
          <cell r="B201" t="str">
            <v>TR PILING &amp; CONSTRUCTION SDN. BHD.</v>
          </cell>
          <cell r="C201" t="str">
            <v>PT03</v>
          </cell>
        </row>
        <row r="202">
          <cell r="A202" t="str">
            <v>PU01</v>
          </cell>
          <cell r="B202" t="str">
            <v>URUS UKUR CONSULTANT</v>
          </cell>
          <cell r="C202" t="str">
            <v>PU01</v>
          </cell>
        </row>
        <row r="203">
          <cell r="A203" t="str">
            <v>PU02</v>
          </cell>
          <cell r="B203" t="str">
            <v>U&amp;P ENGINEERING SDN. BHD.</v>
          </cell>
          <cell r="C203" t="str">
            <v>PU02</v>
          </cell>
        </row>
        <row r="204">
          <cell r="A204" t="str">
            <v>PU02</v>
          </cell>
          <cell r="B204" t="str">
            <v>U &amp; P ENGINEERING SDN. BHD.</v>
          </cell>
          <cell r="C204" t="str">
            <v>PU02</v>
          </cell>
        </row>
        <row r="205">
          <cell r="A205" t="str">
            <v>PU03</v>
          </cell>
          <cell r="B205" t="str">
            <v>UNITED SPECIALIST CONTRACTOR</v>
          </cell>
          <cell r="C205" t="str">
            <v>PU03</v>
          </cell>
        </row>
        <row r="206">
          <cell r="A206" t="str">
            <v>PV01</v>
          </cell>
          <cell r="B206" t="str">
            <v>VIBREX ENGINEERING SDN BHD</v>
          </cell>
          <cell r="C206" t="str">
            <v>PV01</v>
          </cell>
        </row>
        <row r="207">
          <cell r="A207" t="str">
            <v>PV02</v>
          </cell>
          <cell r="B207" t="str">
            <v>V.PILE SYSTEM SDN BHD</v>
          </cell>
          <cell r="C207" t="str">
            <v>PV02</v>
          </cell>
        </row>
        <row r="208">
          <cell r="A208" t="str">
            <v>PV02</v>
          </cell>
          <cell r="B208" t="str">
            <v>V - PILE SYSTEM SDN. BHD.</v>
          </cell>
          <cell r="C208" t="str">
            <v>PV02</v>
          </cell>
        </row>
        <row r="209">
          <cell r="A209" t="str">
            <v>PW01</v>
          </cell>
          <cell r="B209" t="str">
            <v>W.T. CONSTRUCTION</v>
          </cell>
          <cell r="C209" t="str">
            <v>PW01</v>
          </cell>
        </row>
        <row r="210">
          <cell r="A210" t="str">
            <v>QR01</v>
          </cell>
          <cell r="B210" t="str">
            <v xml:space="preserve">RUBEN GIMONE </v>
          </cell>
          <cell r="C210" t="str">
            <v>QR01</v>
          </cell>
        </row>
        <row r="211">
          <cell r="A211" t="str">
            <v>QS01</v>
          </cell>
          <cell r="B211" t="str">
            <v>SYLSTINA SYLVESTER</v>
          </cell>
          <cell r="C211" t="str">
            <v>QS01</v>
          </cell>
        </row>
        <row r="212">
          <cell r="A212" t="str">
            <v>QS02</v>
          </cell>
          <cell r="B212" t="str">
            <v>SUWANDE - PASPORT NO. XA 811677</v>
          </cell>
          <cell r="C212" t="str">
            <v>QS02</v>
          </cell>
        </row>
        <row r="213">
          <cell r="A213" t="str">
            <v>QT01</v>
          </cell>
          <cell r="B213" t="str">
            <v xml:space="preserve">THAM TUCK WAH </v>
          </cell>
          <cell r="C213" t="str">
            <v>QT01</v>
          </cell>
        </row>
        <row r="214">
          <cell r="A214" t="str">
            <v>RA01</v>
          </cell>
          <cell r="B214" t="str">
            <v>ARSHAD HAMIDY HJ ASAAD</v>
          </cell>
          <cell r="C214" t="str">
            <v>RA01</v>
          </cell>
        </row>
        <row r="215">
          <cell r="A215" t="str">
            <v>RB01</v>
          </cell>
          <cell r="B215" t="str">
            <v>BAYALAND CORPORATION SDN BHD</v>
          </cell>
          <cell r="C215" t="str">
            <v>RB01</v>
          </cell>
        </row>
        <row r="216">
          <cell r="A216" t="str">
            <v>RD01</v>
          </cell>
          <cell r="B216" t="str">
            <v>DR. SWARAN SINGH</v>
          </cell>
          <cell r="C216" t="str">
            <v>RD01</v>
          </cell>
        </row>
        <row r="217">
          <cell r="A217" t="str">
            <v>RE01</v>
          </cell>
          <cell r="B217" t="str">
            <v>EINS (M) SDN BHD</v>
          </cell>
          <cell r="C217" t="str">
            <v>RE01</v>
          </cell>
        </row>
        <row r="218">
          <cell r="A218" t="str">
            <v>RK01</v>
          </cell>
          <cell r="B218" t="str">
            <v>KELANA HILIR SDN. BHD.</v>
          </cell>
          <cell r="C218" t="str">
            <v>RK01</v>
          </cell>
        </row>
        <row r="219">
          <cell r="A219" t="str">
            <v>RK02</v>
          </cell>
          <cell r="B219" t="str">
            <v xml:space="preserve">KHOO PEK LAIN @ KHOO PEK LIAN </v>
          </cell>
          <cell r="C219" t="str">
            <v>RK02</v>
          </cell>
        </row>
        <row r="220">
          <cell r="A220" t="str">
            <v>RL01</v>
          </cell>
          <cell r="B220" t="str">
            <v xml:space="preserve">LOW MEE NOY </v>
          </cell>
          <cell r="C220" t="str">
            <v>RL01</v>
          </cell>
        </row>
        <row r="221">
          <cell r="A221" t="str">
            <v>RL02</v>
          </cell>
          <cell r="B221" t="str">
            <v>LEE CHAI JOON, A/C NO.S/001/007613/0</v>
          </cell>
          <cell r="C221" t="str">
            <v>RL02</v>
          </cell>
        </row>
        <row r="222">
          <cell r="A222" t="str">
            <v>RL03</v>
          </cell>
          <cell r="B222" t="str">
            <v>LIM CHANG CHING</v>
          </cell>
          <cell r="C222" t="str">
            <v>RL03</v>
          </cell>
        </row>
        <row r="223">
          <cell r="A223" t="str">
            <v>RM02</v>
          </cell>
          <cell r="B223" t="str">
            <v>M-D RENT A CAR SDN. BHD.</v>
          </cell>
          <cell r="C223" t="str">
            <v>RM02</v>
          </cell>
        </row>
        <row r="224">
          <cell r="A224" t="str">
            <v>RN01</v>
          </cell>
          <cell r="B224" t="str">
            <v>NG LAI HOCK</v>
          </cell>
        </row>
        <row r="225">
          <cell r="A225" t="str">
            <v>RR01</v>
          </cell>
          <cell r="B225" t="str">
            <v>ROSLAN BIN JAMALUDIN</v>
          </cell>
          <cell r="C225" t="str">
            <v>RR01</v>
          </cell>
        </row>
        <row r="226">
          <cell r="A226" t="str">
            <v>RU01</v>
          </cell>
          <cell r="B226" t="str">
            <v>UDA HOLDINGS SDN. BHD.</v>
          </cell>
          <cell r="C226" t="str">
            <v>RU01</v>
          </cell>
        </row>
        <row r="227">
          <cell r="A227" t="str">
            <v>RU02</v>
          </cell>
          <cell r="B227" t="str">
            <v>URUS BANGUNAN SDN. BHD.</v>
          </cell>
          <cell r="C227" t="str">
            <v>UB</v>
          </cell>
        </row>
        <row r="228">
          <cell r="A228" t="str">
            <v>RW01</v>
          </cell>
          <cell r="B228" t="str">
            <v xml:space="preserve">WETEX FURNITURE MFRS SDN. BHD. </v>
          </cell>
          <cell r="C228" t="str">
            <v>RW01</v>
          </cell>
        </row>
        <row r="229">
          <cell r="A229" t="str">
            <v>RW02</v>
          </cell>
          <cell r="B229" t="str">
            <v>WAN AZIZAH WAN YUSOF</v>
          </cell>
          <cell r="C229" t="str">
            <v>RW02</v>
          </cell>
        </row>
        <row r="230">
          <cell r="A230" t="str">
            <v>SAM</v>
          </cell>
          <cell r="B230" t="str">
            <v>SHAMSUL AMRI SHAMSUDIN</v>
          </cell>
          <cell r="C230" t="str">
            <v>SAM</v>
          </cell>
        </row>
        <row r="231">
          <cell r="A231" t="str">
            <v>SK</v>
          </cell>
          <cell r="B231" t="str">
            <v>SKRINE &amp; CO.</v>
          </cell>
          <cell r="C231" t="str">
            <v>SK</v>
          </cell>
        </row>
        <row r="232">
          <cell r="A232" t="str">
            <v>SOCSO</v>
          </cell>
          <cell r="B232" t="str">
            <v>PERTUBUHAN KESELAMATAN SOSIAL</v>
          </cell>
          <cell r="C232" t="str">
            <v>SOCSO</v>
          </cell>
        </row>
        <row r="233">
          <cell r="A233" t="str">
            <v>STM01</v>
          </cell>
          <cell r="B233" t="str">
            <v xml:space="preserve">MOHD. NOOR YIED </v>
          </cell>
          <cell r="C233" t="str">
            <v>TEL01</v>
          </cell>
        </row>
        <row r="234">
          <cell r="A234" t="str">
            <v>SY</v>
          </cell>
          <cell r="B234" t="str">
            <v>SYED MOHAMED B. SYED HUSSIN</v>
          </cell>
          <cell r="C234" t="str">
            <v>SY</v>
          </cell>
        </row>
        <row r="235">
          <cell r="A235" t="str">
            <v>T</v>
          </cell>
          <cell r="B235" t="str">
            <v>TULISMA SDN. BHD.</v>
          </cell>
          <cell r="C235" t="str">
            <v>T</v>
          </cell>
        </row>
        <row r="236">
          <cell r="A236" t="str">
            <v>TA01</v>
          </cell>
          <cell r="B236" t="str">
            <v>ALPHA SUN SDN BHD</v>
          </cell>
          <cell r="C236" t="str">
            <v>TA01</v>
          </cell>
        </row>
        <row r="237">
          <cell r="A237" t="str">
            <v>TA02</v>
          </cell>
          <cell r="B237" t="str">
            <v>AMERICAN DRILING SUPPLIERS P/T</v>
          </cell>
          <cell r="C237" t="str">
            <v>TA02</v>
          </cell>
        </row>
        <row r="238">
          <cell r="A238" t="str">
            <v>TA03</v>
          </cell>
          <cell r="B238" t="str">
            <v>AR SAINTIFIK SDN BHD</v>
          </cell>
          <cell r="C238" t="str">
            <v>TA03</v>
          </cell>
        </row>
        <row r="239">
          <cell r="A239" t="str">
            <v>TA04</v>
          </cell>
          <cell r="B239" t="str">
            <v>ARTHUR ANDERSEN HRM (TAX SERVICES) S/BHD</v>
          </cell>
          <cell r="C239" t="str">
            <v>TA04</v>
          </cell>
        </row>
        <row r="240">
          <cell r="A240" t="str">
            <v>TA05</v>
          </cell>
          <cell r="B240" t="str">
            <v>AMANAH MERCHANT BANK BERHAD</v>
          </cell>
          <cell r="C240" t="str">
            <v>TA05</v>
          </cell>
        </row>
        <row r="241">
          <cell r="A241" t="str">
            <v>TA06</v>
          </cell>
          <cell r="B241" t="str">
            <v>AZIZAH MOHD NOOR</v>
          </cell>
          <cell r="C241" t="str">
            <v>TA06</v>
          </cell>
        </row>
        <row r="242">
          <cell r="A242" t="str">
            <v>TA07</v>
          </cell>
          <cell r="B242" t="str">
            <v>AMAL AGENCY</v>
          </cell>
          <cell r="C242" t="str">
            <v>TA07</v>
          </cell>
        </row>
        <row r="243">
          <cell r="A243" t="str">
            <v>TA08</v>
          </cell>
          <cell r="B243" t="str">
            <v>AGGREGATE MARKETING SDN BHD</v>
          </cell>
          <cell r="C243" t="str">
            <v>TA08</v>
          </cell>
        </row>
        <row r="244">
          <cell r="A244" t="str">
            <v>TA09</v>
          </cell>
          <cell r="B244" t="str">
            <v>SYARIKAT AKISEV PERTAMA</v>
          </cell>
          <cell r="C244" t="str">
            <v>TA09</v>
          </cell>
        </row>
        <row r="245">
          <cell r="A245" t="str">
            <v>TA10</v>
          </cell>
          <cell r="B245" t="str">
            <v>AUTOXPORTS SDN. BHD.</v>
          </cell>
          <cell r="C245" t="str">
            <v>TA10</v>
          </cell>
        </row>
        <row r="246">
          <cell r="A246" t="str">
            <v>TA11</v>
          </cell>
          <cell r="B246" t="str">
            <v>ARTWRIGHT MARKETING SDN. BHD.</v>
          </cell>
          <cell r="C246" t="str">
            <v>TA11</v>
          </cell>
        </row>
        <row r="247">
          <cell r="A247" t="str">
            <v>TA12</v>
          </cell>
          <cell r="B247" t="str">
            <v>AIKHENG MARKETING SDN. BHD.</v>
          </cell>
          <cell r="C247" t="str">
            <v>TA12</v>
          </cell>
        </row>
        <row r="248">
          <cell r="A248" t="str">
            <v>TA13</v>
          </cell>
          <cell r="B248" t="str">
            <v>AYS MARKETING SDN. BHD.</v>
          </cell>
          <cell r="C248" t="str">
            <v>TA13</v>
          </cell>
        </row>
        <row r="249">
          <cell r="A249" t="str">
            <v>TA14</v>
          </cell>
          <cell r="B249" t="str">
            <v>ASIAGROUP SDN. BHD.</v>
          </cell>
          <cell r="C249" t="str">
            <v>TA14</v>
          </cell>
        </row>
        <row r="250">
          <cell r="A250" t="str">
            <v>TA15</v>
          </cell>
          <cell r="B250" t="str">
            <v>ARAH JOINT SDN. BHD.</v>
          </cell>
          <cell r="C250" t="str">
            <v>TA15</v>
          </cell>
        </row>
        <row r="251">
          <cell r="A251" t="str">
            <v>TA16</v>
          </cell>
          <cell r="B251" t="str">
            <v>AIRMAN INDUSTRIAL MARKETING</v>
          </cell>
          <cell r="C251" t="str">
            <v>TA16</v>
          </cell>
        </row>
        <row r="252">
          <cell r="A252" t="str">
            <v>TA17</v>
          </cell>
          <cell r="B252" t="str">
            <v>ANN YAK SIONG HARDWARE SDN BHD.</v>
          </cell>
          <cell r="C252" t="str">
            <v>TA17</v>
          </cell>
        </row>
        <row r="253">
          <cell r="A253" t="str">
            <v>TA18</v>
          </cell>
          <cell r="B253" t="str">
            <v xml:space="preserve">ADLEEN ENTERPRISE </v>
          </cell>
          <cell r="C253" t="str">
            <v>TA18</v>
          </cell>
        </row>
        <row r="254">
          <cell r="A254" t="str">
            <v>TA19</v>
          </cell>
          <cell r="B254" t="str">
            <v>AGE INDUSTRIES &amp; TRADING SDN.BHD</v>
          </cell>
          <cell r="C254" t="str">
            <v>TA19</v>
          </cell>
        </row>
        <row r="255">
          <cell r="A255" t="str">
            <v>TA20</v>
          </cell>
          <cell r="B255" t="str">
            <v>ALIRAN PUSAKA SDN.BHD.</v>
          </cell>
          <cell r="C255" t="str">
            <v>TA20</v>
          </cell>
        </row>
        <row r="256">
          <cell r="A256" t="str">
            <v>TA21</v>
          </cell>
          <cell r="B256" t="str">
            <v>AQUACUT SDN BHD</v>
          </cell>
          <cell r="C256" t="str">
            <v>TA21</v>
          </cell>
        </row>
        <row r="257">
          <cell r="A257" t="str">
            <v>TB01</v>
          </cell>
          <cell r="B257" t="str">
            <v>BORED PILING (M) SDN BHD</v>
          </cell>
          <cell r="C257" t="str">
            <v>TB01</v>
          </cell>
        </row>
        <row r="258">
          <cell r="A258" t="str">
            <v>TB02</v>
          </cell>
          <cell r="B258" t="str">
            <v>BARNSBURRY (M) SDN BHD</v>
          </cell>
          <cell r="C258" t="str">
            <v>TB02</v>
          </cell>
        </row>
        <row r="259">
          <cell r="A259" t="str">
            <v>TB03</v>
          </cell>
          <cell r="B259" t="str">
            <v>BENG SOON ENTERPRISE</v>
          </cell>
          <cell r="C259" t="str">
            <v>TB03</v>
          </cell>
        </row>
        <row r="260">
          <cell r="A260" t="str">
            <v>TB04</v>
          </cell>
          <cell r="B260" t="str">
            <v>BLAZE CONSTRUCTION SDN BHD</v>
          </cell>
          <cell r="C260" t="str">
            <v>TB04</v>
          </cell>
        </row>
        <row r="261">
          <cell r="A261" t="str">
            <v>TB05</v>
          </cell>
          <cell r="B261" t="str">
            <v>BENAR ANTARA SDN. BHD.</v>
          </cell>
          <cell r="C261" t="str">
            <v>TB05</v>
          </cell>
        </row>
        <row r="262">
          <cell r="A262" t="str">
            <v>TB06</v>
          </cell>
          <cell r="B262" t="str">
            <v>BORAL CONCRETE (MALAYSIA) S/B</v>
          </cell>
          <cell r="C262" t="str">
            <v>TB06</v>
          </cell>
        </row>
        <row r="263">
          <cell r="A263" t="str">
            <v>TB07</v>
          </cell>
          <cell r="B263" t="str">
            <v>BIZFIELD RESOURCES SDN BHD</v>
          </cell>
          <cell r="C263" t="str">
            <v>TB07</v>
          </cell>
        </row>
        <row r="264">
          <cell r="A264" t="str">
            <v>TB08</v>
          </cell>
          <cell r="B264" t="str">
            <v>BINALIA MARKETING SDN BHD</v>
          </cell>
          <cell r="C264" t="str">
            <v>TB08</v>
          </cell>
        </row>
        <row r="265">
          <cell r="A265" t="str">
            <v>TB09</v>
          </cell>
          <cell r="B265" t="str">
            <v>BESCERAH SDN BHD</v>
          </cell>
          <cell r="C265" t="str">
            <v>TB09</v>
          </cell>
        </row>
        <row r="266">
          <cell r="A266" t="str">
            <v>TB10</v>
          </cell>
          <cell r="B266" t="str">
            <v>BOON HUAT SENG CONSTRUCTION &amp; TRADING CO,.</v>
          </cell>
          <cell r="C266" t="str">
            <v>TB10</v>
          </cell>
        </row>
        <row r="267">
          <cell r="A267" t="str">
            <v>TB11</v>
          </cell>
          <cell r="B267" t="str">
            <v>BUILDCON CONCRETE SDN. BHD.</v>
          </cell>
          <cell r="C267" t="str">
            <v>TB11</v>
          </cell>
        </row>
        <row r="268">
          <cell r="A268" t="str">
            <v>TB13</v>
          </cell>
          <cell r="B268" t="str">
            <v>BUILDTECH INDUSTRIES</v>
          </cell>
          <cell r="C268" t="str">
            <v>TB13</v>
          </cell>
        </row>
        <row r="269">
          <cell r="A269" t="str">
            <v>TB14</v>
          </cell>
          <cell r="B269" t="str">
            <v>SALEH MAT DESA</v>
          </cell>
          <cell r="C269" t="str">
            <v>TB14</v>
          </cell>
        </row>
        <row r="270">
          <cell r="A270" t="str">
            <v>TB15</v>
          </cell>
          <cell r="B270" t="str">
            <v>BAUER EQUIPMENT (MALAYSIA) SDN. BHD.</v>
          </cell>
          <cell r="C270" t="str">
            <v>TB15</v>
          </cell>
        </row>
        <row r="271">
          <cell r="A271" t="str">
            <v>TB16</v>
          </cell>
          <cell r="B271" t="str">
            <v>BUMIMEDIC (M) SDN BHD</v>
          </cell>
        </row>
        <row r="272">
          <cell r="A272" t="str">
            <v>TB17</v>
          </cell>
          <cell r="B272" t="str">
            <v>BESTLITE ELECTRICAL SDN.BHD.</v>
          </cell>
        </row>
        <row r="273">
          <cell r="A273" t="str">
            <v>TB18</v>
          </cell>
          <cell r="B273" t="str">
            <v>BRIGHT EXCAVATION &amp; CONSTRUCTION</v>
          </cell>
        </row>
        <row r="274">
          <cell r="A274" t="str">
            <v>TC01</v>
          </cell>
          <cell r="B274" t="str">
            <v>CHEW HENG ENGINEERING WORKS</v>
          </cell>
          <cell r="C274" t="str">
            <v>TC01</v>
          </cell>
        </row>
        <row r="275">
          <cell r="A275" t="str">
            <v>TC02</v>
          </cell>
          <cell r="B275" t="str">
            <v>COMSYSLINE SDN BHD</v>
          </cell>
          <cell r="C275" t="str">
            <v>TC02</v>
          </cell>
        </row>
        <row r="276">
          <cell r="A276" t="str">
            <v>TC03</v>
          </cell>
          <cell r="B276" t="str">
            <v>CMS MACHINERY TRADING</v>
          </cell>
          <cell r="C276" t="str">
            <v>TC03</v>
          </cell>
        </row>
        <row r="277">
          <cell r="A277" t="str">
            <v>TC04</v>
          </cell>
          <cell r="B277" t="str">
            <v>COPIERTECH SDN BHD</v>
          </cell>
          <cell r="C277" t="str">
            <v>TC04</v>
          </cell>
        </row>
        <row r="278">
          <cell r="A278" t="str">
            <v>TC05</v>
          </cell>
          <cell r="B278" t="str">
            <v>CONSTEEL MARKETING SDN BHD</v>
          </cell>
          <cell r="C278" t="str">
            <v>TC05</v>
          </cell>
        </row>
        <row r="279">
          <cell r="A279" t="str">
            <v>TC06</v>
          </cell>
          <cell r="B279" t="str">
            <v>CITY LINK EXPRESS</v>
          </cell>
          <cell r="C279" t="str">
            <v>TC06</v>
          </cell>
        </row>
        <row r="280">
          <cell r="A280" t="str">
            <v>TC08</v>
          </cell>
          <cell r="B280" t="str">
            <v>CATHAY MOTOR (M) SDN. BHD.</v>
          </cell>
          <cell r="C280" t="str">
            <v>TC08</v>
          </cell>
        </row>
        <row r="281">
          <cell r="A281" t="str">
            <v>TC09</v>
          </cell>
          <cell r="B281" t="str">
            <v>CAIDMARK SDN. BHD.</v>
          </cell>
          <cell r="C281" t="str">
            <v>TC09</v>
          </cell>
        </row>
        <row r="282">
          <cell r="A282" t="str">
            <v>TC10</v>
          </cell>
          <cell r="B282" t="str">
            <v>CONCRETE ENGINEERING PRODUCTS</v>
          </cell>
          <cell r="C282" t="str">
            <v>TC10</v>
          </cell>
        </row>
        <row r="283">
          <cell r="A283" t="str">
            <v>TC11</v>
          </cell>
          <cell r="B283" t="str">
            <v>CALTEX OIL MALAYSIA LIMITED</v>
          </cell>
          <cell r="C283" t="str">
            <v>TC11</v>
          </cell>
        </row>
        <row r="284">
          <cell r="A284" t="str">
            <v>TC12</v>
          </cell>
          <cell r="B284" t="str">
            <v>CFW ENTERPRISE</v>
          </cell>
          <cell r="C284" t="str">
            <v>TC12</v>
          </cell>
        </row>
        <row r="285">
          <cell r="A285" t="str">
            <v>TC13</v>
          </cell>
          <cell r="B285" t="str">
            <v>COLWELD ENGINEE</v>
          </cell>
          <cell r="C285" t="str">
            <v>TC13</v>
          </cell>
        </row>
        <row r="286">
          <cell r="A286" t="str">
            <v>TC14</v>
          </cell>
          <cell r="B286" t="str">
            <v>CITRA REKA SDN. BHD.</v>
          </cell>
          <cell r="C286" t="str">
            <v>TC14</v>
          </cell>
        </row>
        <row r="287">
          <cell r="A287" t="str">
            <v>TC15</v>
          </cell>
          <cell r="B287" t="str">
            <v>C.E.INSTRUMENTS SDN BHD</v>
          </cell>
          <cell r="C287" t="str">
            <v>TC15</v>
          </cell>
        </row>
        <row r="288">
          <cell r="A288" t="str">
            <v>TC16</v>
          </cell>
          <cell r="B288" t="str">
            <v>CMCM PERNIAGAAN SDN. BHD.</v>
          </cell>
          <cell r="C288" t="str">
            <v>TC16</v>
          </cell>
        </row>
        <row r="289">
          <cell r="A289" t="str">
            <v>TC17</v>
          </cell>
          <cell r="B289" t="str">
            <v>CHINNIAH A/L SHANMUGAM</v>
          </cell>
          <cell r="C289" t="str">
            <v>TC17</v>
          </cell>
        </row>
        <row r="290">
          <cell r="A290" t="str">
            <v>TC18</v>
          </cell>
          <cell r="B290" t="str">
            <v>CAHAYA ELECTRICAL TRADING</v>
          </cell>
          <cell r="C290" t="str">
            <v>TC18</v>
          </cell>
        </row>
        <row r="291">
          <cell r="A291" t="str">
            <v>TC19</v>
          </cell>
          <cell r="B291" t="str">
            <v>CITY -TWO CRANE ENTERPRISE</v>
          </cell>
          <cell r="C291" t="str">
            <v>TC19</v>
          </cell>
        </row>
        <row r="292">
          <cell r="A292" t="str">
            <v>TC20</v>
          </cell>
          <cell r="B292" t="str">
            <v>CEPAT SENANG TRADING</v>
          </cell>
          <cell r="C292" t="str">
            <v>TC20</v>
          </cell>
        </row>
        <row r="293">
          <cell r="A293" t="str">
            <v>TC21</v>
          </cell>
          <cell r="B293" t="str">
            <v>C &amp; M ENGINEERING &amp; CONSTRUCTION SDN. BHD.</v>
          </cell>
          <cell r="C293" t="str">
            <v>TC21</v>
          </cell>
        </row>
        <row r="294">
          <cell r="A294" t="str">
            <v>TC22</v>
          </cell>
          <cell r="B294" t="str">
            <v>CYGAL CONCRETEPUMP SDN BHD</v>
          </cell>
          <cell r="C294" t="str">
            <v>TC22</v>
          </cell>
        </row>
        <row r="295">
          <cell r="A295" t="str">
            <v>TC23</v>
          </cell>
          <cell r="B295" t="str">
            <v>CONCRETE CUT SDN BHD</v>
          </cell>
          <cell r="C295" t="str">
            <v>TC23</v>
          </cell>
        </row>
        <row r="296">
          <cell r="A296" t="str">
            <v>TC24</v>
          </cell>
          <cell r="B296" t="str">
            <v>CHUAN CHOON HENG CO.</v>
          </cell>
        </row>
        <row r="297">
          <cell r="A297" t="str">
            <v>TD01</v>
          </cell>
          <cell r="B297" t="str">
            <v>DAIDEN EQUIPMENT SDN BHD</v>
          </cell>
          <cell r="C297" t="str">
            <v>TD01</v>
          </cell>
        </row>
        <row r="298">
          <cell r="A298" t="str">
            <v>TD02</v>
          </cell>
          <cell r="B298" t="str">
            <v>DAUD AGAM TECH (M) SDN. BHD.</v>
          </cell>
          <cell r="C298" t="str">
            <v>TD02</v>
          </cell>
        </row>
        <row r="299">
          <cell r="A299" t="str">
            <v>TD03</v>
          </cell>
          <cell r="B299" t="str">
            <v>DYNAMIC PILE TESTING SDN. BHD.</v>
          </cell>
          <cell r="C299" t="str">
            <v>TD03</v>
          </cell>
        </row>
        <row r="300">
          <cell r="A300" t="str">
            <v>TD04</v>
          </cell>
          <cell r="B300" t="str">
            <v>DEZ M.STOWE ESQ</v>
          </cell>
          <cell r="C300" t="str">
            <v>TD04</v>
          </cell>
        </row>
        <row r="301">
          <cell r="A301" t="str">
            <v>TD05</v>
          </cell>
          <cell r="B301" t="str">
            <v>DATA SURVEY SERVICE SDN BHD</v>
          </cell>
          <cell r="C301" t="str">
            <v>TD05</v>
          </cell>
        </row>
        <row r="302">
          <cell r="A302" t="str">
            <v>TD06</v>
          </cell>
          <cell r="B302" t="str">
            <v>DPI KONSULT --------</v>
          </cell>
          <cell r="C302" t="str">
            <v>TD06</v>
          </cell>
        </row>
        <row r="303">
          <cell r="A303" t="str">
            <v>TE01</v>
          </cell>
          <cell r="B303" t="str">
            <v>ESSO MALAYSIA BERHAD</v>
          </cell>
          <cell r="C303" t="str">
            <v>TE01</v>
          </cell>
        </row>
        <row r="304">
          <cell r="A304" t="str">
            <v>TE02</v>
          </cell>
          <cell r="B304" t="str">
            <v>EASTERN MOTOR CRANES &amp; TRANSP.</v>
          </cell>
          <cell r="C304" t="str">
            <v>TE02</v>
          </cell>
        </row>
        <row r="305">
          <cell r="A305" t="str">
            <v>TE03</v>
          </cell>
          <cell r="B305" t="str">
            <v>EMTECH INDUSTRIAL SUPPLY</v>
          </cell>
          <cell r="C305" t="str">
            <v>TE03</v>
          </cell>
        </row>
        <row r="306">
          <cell r="A306" t="str">
            <v>TE04</v>
          </cell>
          <cell r="B306" t="str">
            <v>EASTERN  PLANT</v>
          </cell>
          <cell r="C306" t="str">
            <v>TE04</v>
          </cell>
        </row>
        <row r="307">
          <cell r="A307" t="str">
            <v>TE05</v>
          </cell>
          <cell r="B307" t="str">
            <v>EURO EFFICIENT SDN. BHD.</v>
          </cell>
          <cell r="C307" t="str">
            <v>TE05</v>
          </cell>
        </row>
        <row r="308">
          <cell r="A308" t="str">
            <v>TE06</v>
          </cell>
          <cell r="B308" t="str">
            <v>EPOXY TECH ENGINEERING &amp; CONSTRUCTION SDN. BHD.</v>
          </cell>
          <cell r="C308" t="str">
            <v>TE06</v>
          </cell>
        </row>
        <row r="309">
          <cell r="A309" t="str">
            <v>TE07</v>
          </cell>
          <cell r="B309" t="str">
            <v>EASTERN PROFILES SDN BHD</v>
          </cell>
          <cell r="C309" t="str">
            <v>TE07</v>
          </cell>
        </row>
        <row r="310">
          <cell r="A310" t="str">
            <v>TE08</v>
          </cell>
          <cell r="B310" t="str">
            <v>EMPIRE MACHINERY (M) SDN. BHD.</v>
          </cell>
          <cell r="C310" t="str">
            <v>TE08</v>
          </cell>
        </row>
        <row r="311">
          <cell r="A311" t="str">
            <v>TEL02</v>
          </cell>
          <cell r="B311" t="str">
            <v>AHMAD FAIZAL IDRIS</v>
          </cell>
          <cell r="C311" t="str">
            <v>TEL02</v>
          </cell>
        </row>
        <row r="312">
          <cell r="A312" t="str">
            <v>TEL03</v>
          </cell>
          <cell r="B312" t="str">
            <v>ROSLAN JAMALUDIN</v>
          </cell>
          <cell r="C312" t="str">
            <v>TEL03</v>
          </cell>
        </row>
        <row r="313">
          <cell r="A313" t="str">
            <v>TEL04</v>
          </cell>
          <cell r="B313" t="str">
            <v>AHMAD FUAD MOHAMAD JELANI.</v>
          </cell>
          <cell r="C313" t="str">
            <v>TEL04</v>
          </cell>
        </row>
        <row r="314">
          <cell r="A314" t="str">
            <v>TEL05</v>
          </cell>
          <cell r="B314" t="str">
            <v>JEFRI BIN JONIT</v>
          </cell>
          <cell r="C314" t="str">
            <v>TEL05</v>
          </cell>
        </row>
        <row r="315">
          <cell r="A315" t="str">
            <v>TEL06</v>
          </cell>
          <cell r="B315" t="str">
            <v>MOHD HAZRIL MUNIR BIN MANSOR</v>
          </cell>
          <cell r="C315" t="str">
            <v>TEL06</v>
          </cell>
        </row>
        <row r="316">
          <cell r="A316" t="str">
            <v>TEL07</v>
          </cell>
          <cell r="B316" t="str">
            <v>RUMSI BIN RAMSJAH</v>
          </cell>
          <cell r="C316" t="str">
            <v>RR02</v>
          </cell>
        </row>
        <row r="317">
          <cell r="A317" t="str">
            <v>TEL08</v>
          </cell>
          <cell r="B317" t="str">
            <v>SHAMSUDDIN BIN SHAARI</v>
          </cell>
        </row>
        <row r="318">
          <cell r="A318" t="str">
            <v>TEL09</v>
          </cell>
          <cell r="B318" t="str">
            <v>IDRIS BIN NAWAWI</v>
          </cell>
        </row>
        <row r="319">
          <cell r="A319" t="str">
            <v>TEL10</v>
          </cell>
          <cell r="B319" t="str">
            <v>MAT PIAH MENTOL</v>
          </cell>
        </row>
        <row r="320">
          <cell r="A320" t="str">
            <v>TEL11</v>
          </cell>
          <cell r="B320" t="str">
            <v>MOHAMAD HADZREE BIN ABDUL RAHMAN</v>
          </cell>
        </row>
        <row r="321">
          <cell r="A321" t="str">
            <v>TF01</v>
          </cell>
          <cell r="B321" t="str">
            <v>F00 HUAT SENG SDN BHD</v>
          </cell>
          <cell r="C321" t="str">
            <v>TF01</v>
          </cell>
        </row>
        <row r="322">
          <cell r="A322" t="str">
            <v>TF02</v>
          </cell>
          <cell r="B322" t="str">
            <v>FIROOZ AGENCIES</v>
          </cell>
          <cell r="C322" t="str">
            <v>TF02</v>
          </cell>
        </row>
        <row r="323">
          <cell r="A323" t="str">
            <v>TF03</v>
          </cell>
          <cell r="B323" t="str">
            <v>FADZILAH BT TAIB</v>
          </cell>
          <cell r="C323" t="str">
            <v>TF03</v>
          </cell>
        </row>
        <row r="324">
          <cell r="A324" t="str">
            <v>TF04</v>
          </cell>
          <cell r="B324" t="str">
            <v>FOSROC EXPANDITE SDN BHD</v>
          </cell>
          <cell r="C324" t="str">
            <v>TF04</v>
          </cell>
        </row>
        <row r="325">
          <cell r="A325" t="str">
            <v>TF05</v>
          </cell>
          <cell r="B325" t="str">
            <v>FOOK YEE HARDWARE SDN. BHD.</v>
          </cell>
          <cell r="C325" t="str">
            <v>TF05</v>
          </cell>
        </row>
        <row r="326">
          <cell r="A326" t="str">
            <v>TF06</v>
          </cell>
          <cell r="B326" t="str">
            <v>FORTDESA TRADING SDN. BHD.</v>
          </cell>
          <cell r="C326" t="str">
            <v>TF06</v>
          </cell>
        </row>
        <row r="327">
          <cell r="A327" t="str">
            <v>TF07</v>
          </cell>
          <cell r="B327" t="str">
            <v>FOAM PRODUCTS SDN. BHD.</v>
          </cell>
          <cell r="C327" t="str">
            <v>TF07</v>
          </cell>
        </row>
        <row r="328">
          <cell r="A328" t="str">
            <v>TF08</v>
          </cell>
          <cell r="B328" t="str">
            <v>FITRAH ENGINEERING</v>
          </cell>
          <cell r="C328" t="str">
            <v>TF08</v>
          </cell>
        </row>
        <row r="329">
          <cell r="A329" t="str">
            <v>TF09</v>
          </cell>
          <cell r="B329" t="str">
            <v>FLEXIFOAM SDN BHD</v>
          </cell>
          <cell r="C329" t="str">
            <v>TF09</v>
          </cell>
        </row>
        <row r="330">
          <cell r="A330" t="str">
            <v>TG01</v>
          </cell>
          <cell r="B330" t="str">
            <v>GAINVEST CORPORATION (M) S.B.</v>
          </cell>
          <cell r="C330" t="str">
            <v>TG01</v>
          </cell>
        </row>
        <row r="331">
          <cell r="A331" t="str">
            <v>TG02</v>
          </cell>
          <cell r="B331" t="str">
            <v>GEONAMICS (M) SDN. BHD.</v>
          </cell>
          <cell r="C331" t="str">
            <v>TG02</v>
          </cell>
        </row>
        <row r="332">
          <cell r="A332" t="str">
            <v>TG03</v>
          </cell>
          <cell r="B332" t="str">
            <v>GEOLAB (M) SDN. BHD.</v>
          </cell>
          <cell r="C332" t="str">
            <v>TG03</v>
          </cell>
        </row>
        <row r="333">
          <cell r="A333" t="str">
            <v>TG04</v>
          </cell>
          <cell r="B333" t="str">
            <v>GOLDEN PLUS GRANITE SDN. BHD.</v>
          </cell>
          <cell r="C333" t="str">
            <v>TG04</v>
          </cell>
        </row>
        <row r="334">
          <cell r="A334" t="str">
            <v>TG05</v>
          </cell>
          <cell r="B334" t="str">
            <v>GREAT WALL PLASTIC INDUSTRIES</v>
          </cell>
          <cell r="C334" t="str">
            <v>TG05</v>
          </cell>
        </row>
        <row r="335">
          <cell r="A335" t="str">
            <v>TG06</v>
          </cell>
          <cell r="B335" t="str">
            <v>GOLDEN HOCK TRACTOR &amp; TRADING</v>
          </cell>
          <cell r="C335" t="str">
            <v>TG06</v>
          </cell>
        </row>
        <row r="336">
          <cell r="A336" t="str">
            <v>TG07</v>
          </cell>
          <cell r="B336" t="str">
            <v>GBL EQUIPMENT SYSTEMS (M) SDN. BHD.</v>
          </cell>
          <cell r="C336" t="str">
            <v>TG07</v>
          </cell>
        </row>
        <row r="337">
          <cell r="A337" t="str">
            <v>TG08</v>
          </cell>
          <cell r="B337" t="str">
            <v>GEMA MARKETING SDN BHD</v>
          </cell>
          <cell r="C337" t="str">
            <v>TG08</v>
          </cell>
        </row>
        <row r="338">
          <cell r="A338" t="str">
            <v>TG09</v>
          </cell>
          <cell r="B338" t="str">
            <v>GAGGIOTTI FAR EAST PTE LTD</v>
          </cell>
        </row>
        <row r="339">
          <cell r="A339" t="str">
            <v>TG10</v>
          </cell>
          <cell r="B339" t="str">
            <v>GULFMAX VENTURES SDN. BHD.</v>
          </cell>
          <cell r="C339" t="str">
            <v>TG10</v>
          </cell>
        </row>
        <row r="340">
          <cell r="A340" t="str">
            <v>TG11</v>
          </cell>
          <cell r="B340" t="str">
            <v>GANDHI BROTHERS CRANE SERVICES &amp; ENTERPRISE</v>
          </cell>
          <cell r="C340" t="str">
            <v>TG11</v>
          </cell>
        </row>
        <row r="341">
          <cell r="A341" t="str">
            <v>TG12</v>
          </cell>
          <cell r="B341" t="str">
            <v>GIM SENG HARDWARE</v>
          </cell>
          <cell r="C341" t="str">
            <v>TG12</v>
          </cell>
        </row>
        <row r="342">
          <cell r="A342" t="str">
            <v>TG14</v>
          </cell>
          <cell r="B342" t="str">
            <v>GOLDEN PLUS RDC SDN BHD</v>
          </cell>
        </row>
        <row r="343">
          <cell r="A343" t="str">
            <v>TH01</v>
          </cell>
          <cell r="B343" t="str">
            <v>HARAPAN RAMAI SDN BHD</v>
          </cell>
          <cell r="C343" t="str">
            <v>TH01</v>
          </cell>
        </row>
        <row r="344">
          <cell r="A344" t="str">
            <v>TH02</v>
          </cell>
          <cell r="B344" t="str">
            <v>HOE LONG MACHINERY SDN BHD</v>
          </cell>
          <cell r="C344" t="str">
            <v>TH02</v>
          </cell>
        </row>
        <row r="345">
          <cell r="A345" t="str">
            <v>TH03</v>
          </cell>
          <cell r="B345" t="str">
            <v>H.C. MATERIAL SUPPLIES SDN BHD</v>
          </cell>
          <cell r="C345" t="str">
            <v>TH03</v>
          </cell>
        </row>
        <row r="346">
          <cell r="A346" t="str">
            <v>TH04</v>
          </cell>
          <cell r="B346" t="str">
            <v>HILTI (MALAYSIA) SDN BHD</v>
          </cell>
          <cell r="C346" t="str">
            <v>TH04</v>
          </cell>
        </row>
        <row r="347">
          <cell r="A347" t="str">
            <v>TH05</v>
          </cell>
          <cell r="B347" t="str">
            <v>HAMZAH BIN TALIB</v>
          </cell>
          <cell r="C347" t="str">
            <v>TH05</v>
          </cell>
        </row>
        <row r="348">
          <cell r="A348" t="str">
            <v>TH06</v>
          </cell>
          <cell r="B348" t="str">
            <v>HSS INTERSYS SDN. BHD.</v>
          </cell>
          <cell r="C348" t="str">
            <v>TH06</v>
          </cell>
        </row>
        <row r="349">
          <cell r="A349" t="str">
            <v>TH07</v>
          </cell>
          <cell r="B349" t="str">
            <v>HOONG BEE HARDWARE &amp; ENG. S/B</v>
          </cell>
          <cell r="C349" t="str">
            <v>TH07</v>
          </cell>
        </row>
        <row r="350">
          <cell r="A350" t="str">
            <v>TH08</v>
          </cell>
          <cell r="B350" t="str">
            <v>HUME READYMIX SDN. BHD.</v>
          </cell>
          <cell r="C350" t="str">
            <v>TH08</v>
          </cell>
        </row>
        <row r="351">
          <cell r="A351" t="str">
            <v>TH09</v>
          </cell>
          <cell r="B351" t="str">
            <v>HENG ELECTRICAL</v>
          </cell>
          <cell r="C351" t="str">
            <v>TH09</v>
          </cell>
        </row>
        <row r="352">
          <cell r="A352" t="str">
            <v>TH10</v>
          </cell>
          <cell r="B352" t="str">
            <v>HIAP WING BUILDING MATERIALS SDN. BHD.</v>
          </cell>
          <cell r="C352" t="str">
            <v>TH10</v>
          </cell>
        </row>
        <row r="353">
          <cell r="A353" t="str">
            <v>TH11</v>
          </cell>
          <cell r="B353" t="str">
            <v>H.K. TRANSPORT AGENCY</v>
          </cell>
          <cell r="C353" t="str">
            <v>TH11</v>
          </cell>
        </row>
        <row r="354">
          <cell r="A354" t="str">
            <v>TH12</v>
          </cell>
          <cell r="B354" t="str">
            <v>HAR LEN FOOK EXCAVATOR</v>
          </cell>
          <cell r="C354" t="str">
            <v>TH12</v>
          </cell>
        </row>
        <row r="355">
          <cell r="A355" t="str">
            <v>TH13</v>
          </cell>
          <cell r="B355" t="str">
            <v>HOE LONG MACHINERY SDN BHD</v>
          </cell>
          <cell r="C355" t="str">
            <v>TH13</v>
          </cell>
        </row>
        <row r="356">
          <cell r="A356" t="str">
            <v>TH14</v>
          </cell>
          <cell r="B356" t="str">
            <v>HUP CHOONG CRANE SERVICES</v>
          </cell>
          <cell r="C356" t="str">
            <v>TH14</v>
          </cell>
        </row>
        <row r="357">
          <cell r="A357" t="str">
            <v>TH15</v>
          </cell>
          <cell r="B357" t="str">
            <v>HURAY ENTERPRISES SDN. BHD.</v>
          </cell>
          <cell r="C357" t="str">
            <v>TH15</v>
          </cell>
        </row>
        <row r="358">
          <cell r="A358" t="str">
            <v>TH16</v>
          </cell>
          <cell r="B358" t="str">
            <v>HOASHIKI TRADING SDN. BHD.</v>
          </cell>
          <cell r="C358" t="str">
            <v>TH16</v>
          </cell>
        </row>
        <row r="359">
          <cell r="A359" t="str">
            <v>TH17</v>
          </cell>
          <cell r="B359" t="str">
            <v>HENG LEE AUTO SERVICE --------</v>
          </cell>
          <cell r="C359" t="str">
            <v>TH17</v>
          </cell>
        </row>
        <row r="360">
          <cell r="A360" t="str">
            <v>TH18</v>
          </cell>
          <cell r="B360" t="str">
            <v>HONG TAK ENGINEERING</v>
          </cell>
          <cell r="C360" t="str">
            <v>TH18</v>
          </cell>
        </row>
        <row r="361">
          <cell r="A361" t="str">
            <v>TH19</v>
          </cell>
          <cell r="B361" t="str">
            <v>H.T.SCAFFOLDING MANUFACTURING SDN BHD</v>
          </cell>
          <cell r="C361" t="str">
            <v>TH19</v>
          </cell>
        </row>
        <row r="362">
          <cell r="A362" t="str">
            <v>TH20</v>
          </cell>
          <cell r="B362" t="str">
            <v>HUP LEONG TRADING CO.</v>
          </cell>
        </row>
        <row r="363">
          <cell r="A363" t="str">
            <v>TI01</v>
          </cell>
          <cell r="B363" t="str">
            <v>ISMAIL ABDULLAH</v>
          </cell>
          <cell r="C363" t="str">
            <v>TI01</v>
          </cell>
        </row>
        <row r="364">
          <cell r="A364" t="str">
            <v>TI02</v>
          </cell>
          <cell r="B364" t="str">
            <v>ICP MARKETING SDN. BHD.</v>
          </cell>
          <cell r="C364" t="str">
            <v>TI02</v>
          </cell>
        </row>
        <row r="365">
          <cell r="A365" t="str">
            <v>TI03</v>
          </cell>
          <cell r="B365" t="str">
            <v>IPMUDA (MALAYSIA) SDN. BHD.</v>
          </cell>
          <cell r="C365" t="str">
            <v>TI03</v>
          </cell>
        </row>
        <row r="366">
          <cell r="A366" t="str">
            <v>TJ01</v>
          </cell>
          <cell r="B366" t="str">
            <v>JASA ELECTRIC CO</v>
          </cell>
          <cell r="C366" t="str">
            <v>TJ01</v>
          </cell>
        </row>
        <row r="367">
          <cell r="A367" t="str">
            <v>TJ03</v>
          </cell>
          <cell r="B367" t="str">
            <v>JJ OFFICE SUPPLIES</v>
          </cell>
          <cell r="C367" t="str">
            <v>TJ03</v>
          </cell>
        </row>
        <row r="368">
          <cell r="A368" t="str">
            <v>TJ04</v>
          </cell>
          <cell r="B368" t="str">
            <v>JAYA LINK TRADING</v>
          </cell>
          <cell r="C368" t="str">
            <v>TJ04</v>
          </cell>
        </row>
        <row r="369">
          <cell r="A369" t="str">
            <v>TJ05</v>
          </cell>
          <cell r="B369" t="str">
            <v>JASA KITA TRADING SDN. BHD.</v>
          </cell>
          <cell r="C369" t="str">
            <v>TJ05</v>
          </cell>
        </row>
        <row r="370">
          <cell r="A370" t="str">
            <v>TJ06</v>
          </cell>
          <cell r="B370" t="str">
            <v>JURUTERA PERUNDING SETIARAYA</v>
          </cell>
          <cell r="C370" t="str">
            <v>TJ06</v>
          </cell>
        </row>
        <row r="371">
          <cell r="A371" t="str">
            <v>TJ07</v>
          </cell>
          <cell r="B371" t="str">
            <v>JURUKUR KEMUNCAK</v>
          </cell>
          <cell r="C371" t="str">
            <v>TJ07</v>
          </cell>
        </row>
        <row r="372">
          <cell r="A372" t="str">
            <v>TJ08</v>
          </cell>
          <cell r="B372" t="str">
            <v>J.W. SURVEY MANAGEMENT</v>
          </cell>
          <cell r="C372" t="str">
            <v>TJ08</v>
          </cell>
        </row>
        <row r="373">
          <cell r="A373" t="str">
            <v>TJ09</v>
          </cell>
          <cell r="B373" t="str">
            <v>JALINAN WAWASAN (M) SDN. BHD.</v>
          </cell>
          <cell r="C373" t="str">
            <v>TJ09</v>
          </cell>
        </row>
        <row r="374">
          <cell r="A374" t="str">
            <v>TJ10</v>
          </cell>
          <cell r="B374" t="str">
            <v>JB &amp; MBS JOINT VENTURE SDN BHD</v>
          </cell>
          <cell r="C374" t="str">
            <v>TJ10</v>
          </cell>
        </row>
        <row r="375">
          <cell r="A375" t="str">
            <v>TK01</v>
          </cell>
          <cell r="B375" t="str">
            <v>KOBELKO EQUIPMENT</v>
          </cell>
          <cell r="C375" t="str">
            <v>TK01</v>
          </cell>
        </row>
        <row r="376">
          <cell r="A376" t="str">
            <v>TK02</v>
          </cell>
          <cell r="B376" t="str">
            <v>KONNAS AGENCIES TRAVEL SERVICE</v>
          </cell>
          <cell r="C376" t="str">
            <v>TK02</v>
          </cell>
        </row>
        <row r="377">
          <cell r="A377" t="str">
            <v>TK03</v>
          </cell>
          <cell r="B377" t="str">
            <v>KEENO HEAVY MACHINERY SDN BHD</v>
          </cell>
          <cell r="C377" t="str">
            <v>TK03</v>
          </cell>
        </row>
        <row r="378">
          <cell r="A378" t="str">
            <v>TK04</v>
          </cell>
          <cell r="B378" t="str">
            <v>KHIN GUAN LEASING &amp; CREDIT S/B</v>
          </cell>
          <cell r="C378" t="str">
            <v>TK04</v>
          </cell>
        </row>
        <row r="379">
          <cell r="A379" t="str">
            <v>TK05</v>
          </cell>
          <cell r="B379" t="str">
            <v>KEAT SENG MARDWARE TRADING</v>
          </cell>
          <cell r="C379" t="str">
            <v>TK05</v>
          </cell>
        </row>
        <row r="380">
          <cell r="A380" t="str">
            <v>TK06</v>
          </cell>
          <cell r="B380" t="str">
            <v>KINCO TRADING</v>
          </cell>
          <cell r="C380" t="str">
            <v>TK06</v>
          </cell>
        </row>
        <row r="381">
          <cell r="A381" t="str">
            <v>TK07</v>
          </cell>
          <cell r="B381" t="str">
            <v>KIM HONG MOTOR ENTERPRISE</v>
          </cell>
          <cell r="C381" t="str">
            <v>TK07</v>
          </cell>
        </row>
        <row r="382">
          <cell r="A382" t="str">
            <v>TK08</v>
          </cell>
          <cell r="B382" t="str">
            <v>KB TECHNOLOGIES LTD.</v>
          </cell>
          <cell r="C382" t="str">
            <v>TK08</v>
          </cell>
        </row>
        <row r="383">
          <cell r="A383" t="str">
            <v>TK09</v>
          </cell>
          <cell r="B383" t="str">
            <v>KOTA RAYA STATIONER</v>
          </cell>
          <cell r="C383" t="str">
            <v>TK09</v>
          </cell>
        </row>
        <row r="384">
          <cell r="A384" t="str">
            <v>TK10</v>
          </cell>
          <cell r="B384" t="str">
            <v>KIT LOONG TYRE SERVICE S/BHD</v>
          </cell>
          <cell r="C384" t="str">
            <v>TK10</v>
          </cell>
        </row>
        <row r="385">
          <cell r="A385" t="str">
            <v>TK11</v>
          </cell>
          <cell r="B385" t="str">
            <v>KEEN YEAP TRADING</v>
          </cell>
          <cell r="C385" t="str">
            <v>TK11</v>
          </cell>
        </row>
        <row r="386">
          <cell r="A386" t="str">
            <v>TK12</v>
          </cell>
          <cell r="B386" t="str">
            <v>KK FUEL PUMP SERVICE CENTRE</v>
          </cell>
          <cell r="C386" t="str">
            <v>TK12</v>
          </cell>
        </row>
        <row r="387">
          <cell r="A387" t="str">
            <v>TK13</v>
          </cell>
          <cell r="B387" t="str">
            <v>KHIAM HOE (HARDWARE) INDUSTRIES SDN. BHD.</v>
          </cell>
          <cell r="C387" t="str">
            <v>TK13</v>
          </cell>
        </row>
        <row r="388">
          <cell r="A388" t="str">
            <v>TK14</v>
          </cell>
          <cell r="B388" t="str">
            <v>KLANG HARDWARE SDN. BHD.</v>
          </cell>
          <cell r="C388" t="str">
            <v>TK14</v>
          </cell>
        </row>
        <row r="389">
          <cell r="A389" t="str">
            <v>TK15</v>
          </cell>
          <cell r="B389" t="str">
            <v>KIM GUAN TRANSPORT SDN BHD</v>
          </cell>
          <cell r="C389" t="str">
            <v>TK15</v>
          </cell>
        </row>
        <row r="390">
          <cell r="A390" t="str">
            <v>TK16</v>
          </cell>
          <cell r="B390" t="str">
            <v>KR CONSTRUCTION SDN BHD</v>
          </cell>
          <cell r="C390" t="str">
            <v>TK16</v>
          </cell>
        </row>
        <row r="391">
          <cell r="A391" t="str">
            <v>TK17</v>
          </cell>
          <cell r="B391" t="str">
            <v>KLIE RENTALS SDN BHD</v>
          </cell>
          <cell r="C391" t="str">
            <v>TK17</v>
          </cell>
        </row>
        <row r="392">
          <cell r="A392" t="str">
            <v>TK18</v>
          </cell>
          <cell r="B392" t="str">
            <v>KARLIN BIN SABAR</v>
          </cell>
          <cell r="C392" t="str">
            <v>TK18</v>
          </cell>
        </row>
        <row r="393">
          <cell r="A393" t="str">
            <v>TK19</v>
          </cell>
          <cell r="B393" t="str">
            <v>KAWANDA CORPORATION SDN BHD</v>
          </cell>
          <cell r="C393" t="str">
            <v>TK19</v>
          </cell>
        </row>
        <row r="394">
          <cell r="A394" t="str">
            <v>TK20</v>
          </cell>
          <cell r="B394" t="str">
            <v>KEAT SENG HARDWARE TRADING</v>
          </cell>
          <cell r="C394" t="str">
            <v>TK20</v>
          </cell>
        </row>
        <row r="395">
          <cell r="A395" t="str">
            <v>TK22</v>
          </cell>
          <cell r="B395" t="str">
            <v>KENNAMETAL HERTEL (MALAYSIA) SDN. BHD</v>
          </cell>
          <cell r="C395" t="str">
            <v>TK22</v>
          </cell>
        </row>
        <row r="396">
          <cell r="A396" t="str">
            <v>TL01</v>
          </cell>
          <cell r="B396" t="str">
            <v>MAJOR GENERAL(R) LAI CHUNG WAH</v>
          </cell>
          <cell r="C396" t="str">
            <v>TL01</v>
          </cell>
        </row>
        <row r="397">
          <cell r="A397" t="str">
            <v>TL02</v>
          </cell>
          <cell r="B397" t="str">
            <v>LION COM SDN BHD</v>
          </cell>
          <cell r="C397" t="str">
            <v>TL02</v>
          </cell>
        </row>
        <row r="398">
          <cell r="A398" t="str">
            <v>TL03</v>
          </cell>
          <cell r="B398" t="str">
            <v>LEN HONG MARKETING</v>
          </cell>
          <cell r="C398" t="str">
            <v>TL03</v>
          </cell>
        </row>
        <row r="399">
          <cell r="A399" t="str">
            <v>TL04</v>
          </cell>
          <cell r="B399" t="str">
            <v>LOH YOKE SANG TRADING</v>
          </cell>
          <cell r="C399" t="str">
            <v>TL04</v>
          </cell>
        </row>
        <row r="400">
          <cell r="A400" t="str">
            <v>TL05</v>
          </cell>
          <cell r="B400" t="str">
            <v>LIEN YOW CONSTRUCTION  EQ.</v>
          </cell>
          <cell r="C400" t="str">
            <v>TL05</v>
          </cell>
        </row>
        <row r="401">
          <cell r="A401" t="str">
            <v>TL06</v>
          </cell>
          <cell r="B401" t="str">
            <v>LIEW MIO CHIN</v>
          </cell>
          <cell r="C401" t="str">
            <v>TL06</v>
          </cell>
        </row>
        <row r="402">
          <cell r="A402" t="str">
            <v>TL07</v>
          </cell>
          <cell r="B402" t="str">
            <v>L &amp; A CRANE SDN. BHD.</v>
          </cell>
          <cell r="C402" t="str">
            <v>TL07</v>
          </cell>
        </row>
        <row r="403">
          <cell r="A403" t="str">
            <v>TL08</v>
          </cell>
          <cell r="B403" t="str">
            <v>L&amp;M AGENCIES SDN. BHD.</v>
          </cell>
          <cell r="C403" t="str">
            <v>TL08</v>
          </cell>
        </row>
        <row r="404">
          <cell r="A404" t="str">
            <v>TL09</v>
          </cell>
          <cell r="B404" t="str">
            <v>LENLEY CRANE &amp; TRANSPORT SDN. BHD</v>
          </cell>
          <cell r="C404" t="str">
            <v>TL09</v>
          </cell>
        </row>
        <row r="405">
          <cell r="A405" t="str">
            <v>TM01</v>
          </cell>
          <cell r="B405" t="str">
            <v>MATRIX TRADING &amp; CONSTRUCTION</v>
          </cell>
          <cell r="C405" t="str">
            <v>TM01</v>
          </cell>
        </row>
        <row r="406">
          <cell r="A406" t="str">
            <v>TM02</v>
          </cell>
          <cell r="B406" t="str">
            <v>MEE WAH TRADING</v>
          </cell>
          <cell r="C406" t="str">
            <v>TM02</v>
          </cell>
        </row>
        <row r="407">
          <cell r="A407" t="str">
            <v>TM03</v>
          </cell>
          <cell r="B407" t="str">
            <v>MOHAMAD BIN JAMALUDDIN</v>
          </cell>
          <cell r="C407" t="str">
            <v>TM03</v>
          </cell>
        </row>
        <row r="408">
          <cell r="A408" t="str">
            <v>TM04</v>
          </cell>
          <cell r="B408" t="str">
            <v>MD HILMI DATUK HJ MD NOOR</v>
          </cell>
          <cell r="C408" t="str">
            <v>TM04</v>
          </cell>
        </row>
        <row r="409">
          <cell r="A409" t="str">
            <v>TM05</v>
          </cell>
          <cell r="B409" t="str">
            <v>MANSOR BIN OSMAN</v>
          </cell>
          <cell r="C409" t="str">
            <v>TM05</v>
          </cell>
        </row>
        <row r="410">
          <cell r="A410" t="str">
            <v>TM06</v>
          </cell>
          <cell r="B410" t="str">
            <v>MOBIKOM SDN BHD</v>
          </cell>
          <cell r="C410" t="str">
            <v>TM06</v>
          </cell>
        </row>
        <row r="411">
          <cell r="A411" t="str">
            <v>TM07</v>
          </cell>
          <cell r="B411" t="str">
            <v>MICROART COMPUTERS SYSTEM</v>
          </cell>
          <cell r="C411" t="str">
            <v>TM07</v>
          </cell>
        </row>
        <row r="412">
          <cell r="A412" t="str">
            <v>TM08</v>
          </cell>
          <cell r="B412" t="str">
            <v>MOHD JOHAN BIN HARUN</v>
          </cell>
          <cell r="C412" t="str">
            <v>TM08</v>
          </cell>
        </row>
        <row r="413">
          <cell r="A413" t="str">
            <v>TM09</v>
          </cell>
          <cell r="B413" t="str">
            <v>MULTI WAY SERVICES</v>
          </cell>
          <cell r="C413" t="str">
            <v>TM09</v>
          </cell>
        </row>
        <row r="414">
          <cell r="A414" t="str">
            <v>TM10</v>
          </cell>
          <cell r="B414" t="str">
            <v>MOHD. ANUAR OSMAN.</v>
          </cell>
          <cell r="C414" t="str">
            <v>TM10</v>
          </cell>
        </row>
        <row r="415">
          <cell r="A415" t="str">
            <v>TM11</v>
          </cell>
          <cell r="B415" t="str">
            <v>MATERIALS TESTING LABORATORY SDN. BHD.</v>
          </cell>
          <cell r="C415" t="str">
            <v>TM11</v>
          </cell>
        </row>
        <row r="416">
          <cell r="A416" t="str">
            <v>TM12</v>
          </cell>
          <cell r="B416" t="str">
            <v>MOMENT ENGINEERING SDN BHD</v>
          </cell>
          <cell r="C416" t="str">
            <v>TM12</v>
          </cell>
        </row>
        <row r="417">
          <cell r="A417" t="str">
            <v>TM13</v>
          </cell>
          <cell r="B417" t="str">
            <v>METRO SECURITY SERVICES SDN.BHD.</v>
          </cell>
          <cell r="C417" t="str">
            <v>TM13</v>
          </cell>
        </row>
        <row r="418">
          <cell r="A418" t="str">
            <v>TM14</v>
          </cell>
          <cell r="B418" t="str">
            <v>MAKAL INDAH ENTERPRISE</v>
          </cell>
          <cell r="C418" t="str">
            <v>TM14</v>
          </cell>
        </row>
        <row r="419">
          <cell r="A419" t="str">
            <v>TM16</v>
          </cell>
          <cell r="B419" t="str">
            <v>MALAYSIAN RESOURCES CORPORATION BERHAD</v>
          </cell>
          <cell r="C419" t="str">
            <v>TM16</v>
          </cell>
        </row>
        <row r="420">
          <cell r="A420" t="str">
            <v>TM17</v>
          </cell>
          <cell r="B420" t="str">
            <v>MISBAH CORPORATION SDN BHD</v>
          </cell>
          <cell r="C420" t="str">
            <v>MIS</v>
          </cell>
        </row>
        <row r="421">
          <cell r="A421" t="str">
            <v>TN01</v>
          </cell>
          <cell r="B421" t="str">
            <v>NITTAR CONSTRUCTION</v>
          </cell>
          <cell r="C421" t="str">
            <v>TN01</v>
          </cell>
        </row>
        <row r="422">
          <cell r="A422" t="str">
            <v>TN02</v>
          </cell>
          <cell r="B422" t="str">
            <v>NEW ASIA AUTO SERVICE</v>
          </cell>
          <cell r="C422" t="str">
            <v>TN02</v>
          </cell>
        </row>
        <row r="423">
          <cell r="A423" t="str">
            <v>TN03</v>
          </cell>
          <cell r="B423" t="str">
            <v>NCK METAL SDN BHD</v>
          </cell>
          <cell r="C423" t="str">
            <v>TN03</v>
          </cell>
        </row>
        <row r="424">
          <cell r="A424" t="str">
            <v>TN04</v>
          </cell>
          <cell r="B424" t="str">
            <v>NORYONG BIN YAHYA</v>
          </cell>
          <cell r="C424" t="str">
            <v>TN04</v>
          </cell>
        </row>
        <row r="425">
          <cell r="A425" t="str">
            <v>TN05</v>
          </cell>
          <cell r="B425" t="str">
            <v>NOUXMAN BURHANUDDIN</v>
          </cell>
          <cell r="C425" t="str">
            <v>TN05</v>
          </cell>
        </row>
        <row r="426">
          <cell r="A426" t="str">
            <v>TN06</v>
          </cell>
          <cell r="B426" t="str">
            <v>NANYANG CRANE SERVICES</v>
          </cell>
        </row>
        <row r="427">
          <cell r="A427" t="str">
            <v>TP01</v>
          </cell>
          <cell r="B427" t="str">
            <v>PEMBINAAN RANI-RANI</v>
          </cell>
          <cell r="C427" t="str">
            <v>TP01</v>
          </cell>
        </row>
        <row r="428">
          <cell r="A428" t="str">
            <v>TP02</v>
          </cell>
          <cell r="B428" t="str">
            <v>PENGKALEN CONCRETE SDN BHD</v>
          </cell>
          <cell r="C428" t="str">
            <v>TP02</v>
          </cell>
        </row>
        <row r="429">
          <cell r="A429" t="str">
            <v>TP03</v>
          </cell>
          <cell r="B429" t="str">
            <v>PAK YING ENTERPRISE</v>
          </cell>
          <cell r="C429" t="str">
            <v>TP03</v>
          </cell>
        </row>
        <row r="430">
          <cell r="A430" t="str">
            <v>TP04</v>
          </cell>
          <cell r="B430" t="str">
            <v>PERNIAGAAN ALAT GANTI HWA HENG</v>
          </cell>
          <cell r="C430" t="str">
            <v>TP04</v>
          </cell>
        </row>
        <row r="431">
          <cell r="A431" t="str">
            <v>TP05</v>
          </cell>
          <cell r="B431" t="str">
            <v>PERCON CORPORATION SDN BHD</v>
          </cell>
          <cell r="C431" t="str">
            <v>TP05</v>
          </cell>
        </row>
        <row r="432">
          <cell r="A432" t="str">
            <v>TP06</v>
          </cell>
          <cell r="B432" t="str">
            <v>PERNAS TRADING SDN BHD</v>
          </cell>
          <cell r="C432" t="str">
            <v>TP06</v>
          </cell>
        </row>
        <row r="433">
          <cell r="A433" t="str">
            <v>TP07</v>
          </cell>
          <cell r="B433" t="str">
            <v>PERNIAGAAN SIMEN TENEGA DESA</v>
          </cell>
          <cell r="C433" t="str">
            <v>TP07</v>
          </cell>
        </row>
        <row r="434">
          <cell r="A434" t="str">
            <v>TP08</v>
          </cell>
          <cell r="B434" t="str">
            <v>PEMBINAAN PREFAH</v>
          </cell>
          <cell r="C434" t="str">
            <v>TP08</v>
          </cell>
        </row>
        <row r="435">
          <cell r="A435" t="str">
            <v>TP09</v>
          </cell>
          <cell r="B435" t="str">
            <v>PERKHIDMATAN ARZAN MOTOR</v>
          </cell>
          <cell r="C435" t="str">
            <v>TP09</v>
          </cell>
        </row>
        <row r="436">
          <cell r="A436" t="str">
            <v>TP10</v>
          </cell>
          <cell r="B436" t="str">
            <v>PROGRESSIVE PUBLISHING HOUSE</v>
          </cell>
          <cell r="C436" t="str">
            <v>TP10</v>
          </cell>
        </row>
        <row r="437">
          <cell r="A437" t="str">
            <v>TP11</v>
          </cell>
          <cell r="B437" t="str">
            <v>PERCON WIKA CONCRETE INDUSTRIE</v>
          </cell>
          <cell r="C437" t="str">
            <v>TP11</v>
          </cell>
        </row>
        <row r="438">
          <cell r="A438" t="str">
            <v>TP12</v>
          </cell>
          <cell r="B438" t="str">
            <v>POLIKLINIK KUMPULAN CITY</v>
          </cell>
          <cell r="C438" t="str">
            <v>TP12</v>
          </cell>
        </row>
        <row r="439">
          <cell r="A439" t="str">
            <v>TP13</v>
          </cell>
          <cell r="B439" t="str">
            <v>PERGABIN (M) SDN. BHD.</v>
          </cell>
          <cell r="C439" t="str">
            <v>TP13</v>
          </cell>
        </row>
        <row r="440">
          <cell r="A440" t="str">
            <v>TP14</v>
          </cell>
          <cell r="B440" t="str">
            <v>PAK YHING ENGINEERING SDN. BHD</v>
          </cell>
          <cell r="C440" t="str">
            <v>TP14</v>
          </cell>
        </row>
        <row r="441">
          <cell r="A441" t="str">
            <v>TP15</v>
          </cell>
          <cell r="B441" t="str">
            <v>PRIMASON SDN. BHD.</v>
          </cell>
          <cell r="C441" t="str">
            <v>TP15</v>
          </cell>
        </row>
        <row r="442">
          <cell r="A442" t="str">
            <v>TP16</v>
          </cell>
          <cell r="B442" t="str">
            <v>POLY GAS SDN. BHD.</v>
          </cell>
          <cell r="C442" t="str">
            <v>TP16</v>
          </cell>
        </row>
        <row r="443">
          <cell r="A443" t="str">
            <v>TP17</v>
          </cell>
          <cell r="B443" t="str">
            <v>PANGLIMA ACES SDN. BHD.</v>
          </cell>
          <cell r="C443" t="str">
            <v>TP17</v>
          </cell>
        </row>
        <row r="444">
          <cell r="A444" t="str">
            <v>TP18</v>
          </cell>
          <cell r="B444" t="str">
            <v>POLY ENGINEERING SUPPLIES</v>
          </cell>
          <cell r="C444" t="str">
            <v>TP18</v>
          </cell>
        </row>
        <row r="445">
          <cell r="A445" t="str">
            <v>TP19</v>
          </cell>
          <cell r="B445" t="str">
            <v>PRODEAL SDN. BHD.</v>
          </cell>
          <cell r="C445" t="str">
            <v>TP19</v>
          </cell>
        </row>
        <row r="446">
          <cell r="A446" t="str">
            <v>TP20</v>
          </cell>
          <cell r="B446" t="str">
            <v>PIONEER CONCRETE (MALAYSIA) SDN. BHD.</v>
          </cell>
          <cell r="C446" t="str">
            <v>TP20</v>
          </cell>
        </row>
        <row r="447">
          <cell r="A447" t="str">
            <v>TP21</v>
          </cell>
          <cell r="B447" t="str">
            <v>PERINDUSTRIAN TENAGA MIX SDN. BHD.</v>
          </cell>
          <cell r="C447" t="str">
            <v>TP21</v>
          </cell>
        </row>
        <row r="448">
          <cell r="A448" t="str">
            <v>TP22</v>
          </cell>
          <cell r="B448" t="str">
            <v>PARK SENG TRADING</v>
          </cell>
          <cell r="C448" t="str">
            <v>TP22</v>
          </cell>
        </row>
        <row r="449">
          <cell r="A449" t="str">
            <v>TP23</v>
          </cell>
          <cell r="B449" t="str">
            <v>PEEAUTO &amp; TRACTORS SDN. BHD.</v>
          </cell>
          <cell r="C449" t="str">
            <v>TP23</v>
          </cell>
        </row>
        <row r="450">
          <cell r="A450" t="str">
            <v>TP24</v>
          </cell>
          <cell r="B450" t="str">
            <v>PERNIAGAAN FARIDAH &amp; RAKAN - RAKAN SDN. BHD.--------</v>
          </cell>
          <cell r="C450" t="str">
            <v>TP24</v>
          </cell>
        </row>
        <row r="451">
          <cell r="A451" t="str">
            <v>TP25</v>
          </cell>
          <cell r="B451" t="str">
            <v>POWER THRIVE ENGINEERING SDN. BHD.</v>
          </cell>
          <cell r="C451" t="str">
            <v>TP25</v>
          </cell>
        </row>
        <row r="452">
          <cell r="A452" t="str">
            <v>TP26</v>
          </cell>
          <cell r="B452" t="str">
            <v>PERKASA PADU SDN BHD</v>
          </cell>
          <cell r="C452" t="str">
            <v>TP26</v>
          </cell>
        </row>
        <row r="453">
          <cell r="A453" t="str">
            <v>TP27</v>
          </cell>
          <cell r="B453" t="str">
            <v>POWER ELECTRICAL PLUMBING</v>
          </cell>
          <cell r="C453" t="str">
            <v>TP27</v>
          </cell>
        </row>
        <row r="454">
          <cell r="A454" t="str">
            <v>TP29</v>
          </cell>
          <cell r="B454" t="str">
            <v>PEMBINAAN MOHAMED NAZIR MERASLAM S/B</v>
          </cell>
          <cell r="C454" t="str">
            <v>TP29</v>
          </cell>
        </row>
        <row r="455">
          <cell r="A455" t="str">
            <v>TP30</v>
          </cell>
          <cell r="B455" t="str">
            <v>PERNIAGAAN KION HUAT</v>
          </cell>
          <cell r="C455" t="str">
            <v>TP30</v>
          </cell>
        </row>
        <row r="456">
          <cell r="A456" t="str">
            <v>TP31</v>
          </cell>
          <cell r="B456" t="str">
            <v>P &amp; N INDUSTRIALS TRADING SDN BHD</v>
          </cell>
          <cell r="C456" t="str">
            <v>TP31</v>
          </cell>
        </row>
        <row r="457">
          <cell r="A457" t="str">
            <v>TP32</v>
          </cell>
          <cell r="B457" t="str">
            <v>PERUNDING TAC</v>
          </cell>
          <cell r="C457" t="str">
            <v>TP32</v>
          </cell>
        </row>
        <row r="458">
          <cell r="A458" t="str">
            <v>TP33</v>
          </cell>
          <cell r="B458" t="str">
            <v>PEMBINAAN YKS (M) SDN. BHD.</v>
          </cell>
          <cell r="C458" t="str">
            <v>TP33</v>
          </cell>
        </row>
        <row r="459">
          <cell r="A459" t="str">
            <v>TQ01</v>
          </cell>
          <cell r="B459" t="str">
            <v>QUALITY CONTROL MATERIAL LABORATORY SDN. BHD.</v>
          </cell>
          <cell r="C459" t="str">
            <v>TQ01</v>
          </cell>
        </row>
        <row r="460">
          <cell r="A460" t="str">
            <v>TQ02</v>
          </cell>
          <cell r="B460" t="str">
            <v>OTOKENKI SHOJI SDN. BHD.</v>
          </cell>
          <cell r="C460" t="str">
            <v>TQ02</v>
          </cell>
        </row>
        <row r="461">
          <cell r="A461" t="str">
            <v>TR01</v>
          </cell>
          <cell r="B461" t="str">
            <v>RAPIDCON MACHINERY</v>
          </cell>
          <cell r="C461" t="str">
            <v>TR01</v>
          </cell>
        </row>
        <row r="462">
          <cell r="A462" t="str">
            <v>TR02</v>
          </cell>
          <cell r="B462" t="str">
            <v>RAMGATE SYSTEMS SDN. BHD.</v>
          </cell>
          <cell r="C462" t="str">
            <v>TR02</v>
          </cell>
        </row>
        <row r="463">
          <cell r="A463" t="str">
            <v>TR03</v>
          </cell>
          <cell r="B463" t="str">
            <v>ROSLI PLUMBING &amp; CONSTRUCTION</v>
          </cell>
          <cell r="C463" t="str">
            <v>TR03</v>
          </cell>
        </row>
        <row r="464">
          <cell r="A464" t="str">
            <v>TR04</v>
          </cell>
          <cell r="B464" t="str">
            <v>ROADTECH MAJU SDN. BHD.</v>
          </cell>
          <cell r="C464" t="str">
            <v>TR04</v>
          </cell>
        </row>
        <row r="465">
          <cell r="A465" t="str">
            <v>TR05</v>
          </cell>
          <cell r="B465" t="str">
            <v>RZ ENTERPRISE</v>
          </cell>
          <cell r="C465" t="str">
            <v>TR05</v>
          </cell>
        </row>
        <row r="466">
          <cell r="A466" t="str">
            <v>TR06</v>
          </cell>
          <cell r="B466" t="str">
            <v>RAMSET FASTENERS (M) SDN BHD</v>
          </cell>
          <cell r="C466" t="str">
            <v>TR06</v>
          </cell>
        </row>
        <row r="467">
          <cell r="A467" t="str">
            <v>TR07</v>
          </cell>
          <cell r="B467" t="str">
            <v>REKAL JAYA SECURITY SERVICES SDN BHD.</v>
          </cell>
          <cell r="C467" t="str">
            <v>TR07</v>
          </cell>
        </row>
        <row r="468">
          <cell r="A468" t="str">
            <v>TR08</v>
          </cell>
          <cell r="B468" t="str">
            <v>REECON ENTERPRISE</v>
          </cell>
        </row>
        <row r="469">
          <cell r="A469" t="str">
            <v>TR09</v>
          </cell>
          <cell r="B469" t="str">
            <v>RELIANCE ENVIRONMENTAL SERVICES SDN.BHD</v>
          </cell>
        </row>
        <row r="470">
          <cell r="A470" t="str">
            <v>TS01</v>
          </cell>
          <cell r="B470" t="str">
            <v>SENG BATTERIES &amp; MOTOR TRADING</v>
          </cell>
          <cell r="C470" t="str">
            <v>TS01</v>
          </cell>
        </row>
        <row r="471">
          <cell r="A471" t="str">
            <v>TS02</v>
          </cell>
          <cell r="B471" t="str">
            <v>SUPERLIFT MACHINERY SDN.BHD.</v>
          </cell>
          <cell r="C471" t="str">
            <v>TS02</v>
          </cell>
        </row>
        <row r="472">
          <cell r="A472" t="str">
            <v>TS03</v>
          </cell>
          <cell r="B472" t="str">
            <v>ST PROCUREMENT AGENT</v>
          </cell>
          <cell r="C472" t="str">
            <v>TS03</v>
          </cell>
        </row>
        <row r="473">
          <cell r="A473" t="str">
            <v>TS04</v>
          </cell>
          <cell r="B473" t="str">
            <v>SOIL DYNAMICS (M) SDN BHD</v>
          </cell>
          <cell r="C473" t="str">
            <v>TS04</v>
          </cell>
        </row>
        <row r="474">
          <cell r="A474" t="str">
            <v>TS05</v>
          </cell>
          <cell r="B474" t="str">
            <v>SINARAN UNIK SDN BHD</v>
          </cell>
          <cell r="C474" t="str">
            <v>TS05</v>
          </cell>
        </row>
        <row r="475">
          <cell r="A475" t="str">
            <v>TS06</v>
          </cell>
          <cell r="B475" t="str">
            <v>SUPERIOR MACHINERY (M) SDN BHD</v>
          </cell>
          <cell r="C475" t="str">
            <v>TS06</v>
          </cell>
        </row>
        <row r="476">
          <cell r="A476" t="str">
            <v>TS07</v>
          </cell>
          <cell r="B476" t="str">
            <v>SHD SDN BHD</v>
          </cell>
          <cell r="C476" t="str">
            <v>TS07</v>
          </cell>
        </row>
        <row r="477">
          <cell r="A477" t="str">
            <v>TS08</v>
          </cell>
          <cell r="B477" t="str">
            <v>SERGAM BERHAD</v>
          </cell>
          <cell r="C477" t="str">
            <v>TS08</v>
          </cell>
        </row>
        <row r="478">
          <cell r="A478" t="str">
            <v>TS09</v>
          </cell>
          <cell r="B478" t="str">
            <v>SUNGAI LONG INDUSTRIES SDN. BHD.</v>
          </cell>
          <cell r="C478" t="str">
            <v>TS09</v>
          </cell>
        </row>
        <row r="479">
          <cell r="A479" t="str">
            <v>TS10</v>
          </cell>
          <cell r="B479" t="str">
            <v>SOKKIA (M) SDN. BHD.</v>
          </cell>
          <cell r="C479" t="str">
            <v>TS10</v>
          </cell>
        </row>
        <row r="480">
          <cell r="A480" t="str">
            <v>TS11</v>
          </cell>
          <cell r="B480" t="str">
            <v>SANDVIK MALAYSIA SDN. BHD.</v>
          </cell>
          <cell r="C480" t="str">
            <v>TS11</v>
          </cell>
        </row>
        <row r="481">
          <cell r="A481" t="str">
            <v>TS12</v>
          </cell>
          <cell r="B481" t="str">
            <v>SUNTRAC PARTS</v>
          </cell>
          <cell r="C481" t="str">
            <v>TS12</v>
          </cell>
        </row>
        <row r="482">
          <cell r="A482" t="str">
            <v>TS13</v>
          </cell>
          <cell r="B482" t="str">
            <v>SUPERMIX CONCRETE (M) SDN. BHD.</v>
          </cell>
          <cell r="C482" t="str">
            <v>TS13</v>
          </cell>
        </row>
        <row r="483">
          <cell r="A483" t="str">
            <v>TS14</v>
          </cell>
          <cell r="B483" t="str">
            <v>STPA TRADING SDN. BHD.</v>
          </cell>
          <cell r="C483" t="str">
            <v>TS14</v>
          </cell>
        </row>
        <row r="484">
          <cell r="A484" t="str">
            <v>TS15</v>
          </cell>
          <cell r="B484" t="str">
            <v>SHUN YI SDN. BHD.</v>
          </cell>
          <cell r="C484" t="str">
            <v>TS15</v>
          </cell>
        </row>
        <row r="485">
          <cell r="A485" t="str">
            <v>TS16</v>
          </cell>
          <cell r="B485" t="str">
            <v>SYARIKAT BERSATU  LETRIK</v>
          </cell>
          <cell r="C485" t="str">
            <v>TS16</v>
          </cell>
        </row>
        <row r="486">
          <cell r="A486" t="str">
            <v>TS17</v>
          </cell>
          <cell r="B486" t="str">
            <v>SOLE ENGINEERING SDN. BHD.</v>
          </cell>
          <cell r="C486" t="str">
            <v>TS17</v>
          </cell>
        </row>
        <row r="487">
          <cell r="A487" t="str">
            <v>TS18</v>
          </cell>
          <cell r="B487" t="str">
            <v>SACCON ENGINEERING &amp; TRADING</v>
          </cell>
          <cell r="C487" t="str">
            <v>TS18</v>
          </cell>
        </row>
        <row r="488">
          <cell r="A488" t="str">
            <v>TS19</v>
          </cell>
          <cell r="B488" t="str">
            <v>SEMANGAT INTAN SDN. BHD.</v>
          </cell>
          <cell r="C488" t="str">
            <v>TS19</v>
          </cell>
        </row>
        <row r="489">
          <cell r="A489" t="str">
            <v>TS20</v>
          </cell>
          <cell r="B489" t="str">
            <v>SYARIKAT CHUN TOO</v>
          </cell>
          <cell r="C489" t="str">
            <v>TS20</v>
          </cell>
        </row>
        <row r="490">
          <cell r="A490" t="str">
            <v>TS21</v>
          </cell>
          <cell r="B490" t="str">
            <v>SINARAN UNIK SDN BHD</v>
          </cell>
          <cell r="C490" t="str">
            <v>TS21</v>
          </cell>
        </row>
        <row r="491">
          <cell r="A491" t="str">
            <v>TS22</v>
          </cell>
          <cell r="B491" t="str">
            <v>SAGA WANA CONST. &amp; PLUMBING</v>
          </cell>
          <cell r="C491" t="str">
            <v>TS22</v>
          </cell>
        </row>
        <row r="492">
          <cell r="A492" t="str">
            <v>TS23</v>
          </cell>
          <cell r="B492" t="str">
            <v>SIN LIAN TAT HARDWARE SDN BHD</v>
          </cell>
          <cell r="C492" t="str">
            <v>TS23</v>
          </cell>
        </row>
        <row r="493">
          <cell r="A493" t="str">
            <v>TS24</v>
          </cell>
          <cell r="B493" t="str">
            <v>SUN HUP EARTHWORK CONSRUCTION</v>
          </cell>
          <cell r="C493" t="str">
            <v>TS24</v>
          </cell>
        </row>
        <row r="494">
          <cell r="A494" t="str">
            <v>TS25</v>
          </cell>
          <cell r="B494" t="str">
            <v>SOONG LEE TRADING</v>
          </cell>
          <cell r="C494" t="str">
            <v>TS25</v>
          </cell>
        </row>
        <row r="495">
          <cell r="A495" t="str">
            <v>TS26</v>
          </cell>
          <cell r="B495" t="str">
            <v>SOON DAT ENTERPRISE</v>
          </cell>
          <cell r="C495" t="str">
            <v>TS26</v>
          </cell>
        </row>
        <row r="496">
          <cell r="A496" t="str">
            <v>TS27</v>
          </cell>
          <cell r="B496" t="str">
            <v>SHATPISHAN ENTERPRISE</v>
          </cell>
          <cell r="C496" t="str">
            <v>TS27</v>
          </cell>
        </row>
        <row r="497">
          <cell r="A497" t="str">
            <v>TS28</v>
          </cell>
          <cell r="B497" t="str">
            <v>SAFE DIMENSION (M) SDN BHD</v>
          </cell>
          <cell r="C497" t="str">
            <v>TS28</v>
          </cell>
        </row>
        <row r="498">
          <cell r="A498" t="str">
            <v>TS29</v>
          </cell>
          <cell r="B498" t="str">
            <v>SENG LEONG HARDWARE SDN BHD</v>
          </cell>
          <cell r="C498" t="str">
            <v>TS29</v>
          </cell>
        </row>
        <row r="499">
          <cell r="A499" t="str">
            <v>TS30</v>
          </cell>
          <cell r="B499" t="str">
            <v>SYARIKAT KEJURUTERAAN LITAK</v>
          </cell>
          <cell r="C499" t="str">
            <v>TS30</v>
          </cell>
        </row>
        <row r="500">
          <cell r="A500" t="str">
            <v>TS31</v>
          </cell>
          <cell r="B500" t="str">
            <v>SECURE LIFTING &amp; HARDWARE SDN BHD</v>
          </cell>
          <cell r="C500" t="str">
            <v>TS31</v>
          </cell>
        </row>
        <row r="501">
          <cell r="A501" t="str">
            <v>TS33</v>
          </cell>
          <cell r="B501" t="str">
            <v>SETSCO SERVICES (M) SDN BHD</v>
          </cell>
          <cell r="C501" t="str">
            <v>TS33</v>
          </cell>
        </row>
        <row r="502">
          <cell r="A502" t="str">
            <v>TS34</v>
          </cell>
          <cell r="B502" t="str">
            <v>SYARIKAT PERNIAGAAN KEAN MING</v>
          </cell>
          <cell r="C502" t="str">
            <v>TS34</v>
          </cell>
        </row>
        <row r="503">
          <cell r="A503" t="str">
            <v>TS35</v>
          </cell>
          <cell r="B503" t="str">
            <v>SUMARTO KASNAIB</v>
          </cell>
          <cell r="C503" t="str">
            <v>TS35</v>
          </cell>
        </row>
        <row r="504">
          <cell r="A504" t="str">
            <v>TS35</v>
          </cell>
          <cell r="B504" t="str">
            <v>SUMARTO KASNAIB</v>
          </cell>
          <cell r="C504" t="str">
            <v>TS35</v>
          </cell>
        </row>
        <row r="505">
          <cell r="A505" t="str">
            <v>TS36</v>
          </cell>
          <cell r="B505" t="str">
            <v>SIKA KIMIA SDN BHD</v>
          </cell>
          <cell r="C505" t="str">
            <v>TS36</v>
          </cell>
        </row>
        <row r="506">
          <cell r="A506" t="str">
            <v>TT01</v>
          </cell>
          <cell r="B506" t="str">
            <v>TAT HONG PLANT HIRE SDN BHD</v>
          </cell>
          <cell r="C506" t="str">
            <v>TT01</v>
          </cell>
        </row>
        <row r="507">
          <cell r="A507" t="str">
            <v>TT02</v>
          </cell>
          <cell r="B507" t="str">
            <v>TOYOH ENGINEERING HARDWARE SDN. BHD.</v>
          </cell>
          <cell r="C507" t="str">
            <v>TT02</v>
          </cell>
        </row>
        <row r="508">
          <cell r="A508" t="str">
            <v>TT03</v>
          </cell>
          <cell r="B508" t="str">
            <v>TOYOH OXYGEN SDN. BHD.</v>
          </cell>
          <cell r="C508" t="str">
            <v>TT03</v>
          </cell>
        </row>
        <row r="509">
          <cell r="A509" t="str">
            <v>TT05</v>
          </cell>
          <cell r="B509" t="str">
            <v>T &amp; L PROGRESS ENGINERING SDN. BHD.</v>
          </cell>
          <cell r="C509" t="str">
            <v>TT05</v>
          </cell>
        </row>
        <row r="510">
          <cell r="A510" t="str">
            <v>TT06</v>
          </cell>
          <cell r="B510" t="str">
            <v>TOTAL PROJECT MANAGEMENT SDN. BHD.</v>
          </cell>
          <cell r="C510" t="str">
            <v>TT06</v>
          </cell>
        </row>
        <row r="511">
          <cell r="A511" t="str">
            <v>TT07</v>
          </cell>
          <cell r="B511" t="str">
            <v>TRUST INTERNATIONAL INSURANCE (M) SDN. BHD.</v>
          </cell>
          <cell r="C511" t="str">
            <v>TT07</v>
          </cell>
        </row>
        <row r="512">
          <cell r="A512" t="str">
            <v>TT08</v>
          </cell>
          <cell r="B512" t="str">
            <v>TAJUDDIN BI  YUSOF</v>
          </cell>
          <cell r="C512" t="str">
            <v>TT08</v>
          </cell>
        </row>
        <row r="513">
          <cell r="A513" t="str">
            <v>TT09</v>
          </cell>
          <cell r="B513" t="str">
            <v>TESONIC (M) SDN BHD</v>
          </cell>
          <cell r="C513" t="str">
            <v>TT09</v>
          </cell>
        </row>
        <row r="514">
          <cell r="A514" t="str">
            <v>TT10</v>
          </cell>
          <cell r="B514" t="str">
            <v>TENAGA ZAMAN MINI MARKET</v>
          </cell>
          <cell r="C514" t="str">
            <v>TT10</v>
          </cell>
        </row>
        <row r="515">
          <cell r="A515" t="str">
            <v>TT11</v>
          </cell>
          <cell r="B515" t="str">
            <v>TTS LOWLOADER SERVICE SDN. BHD</v>
          </cell>
          <cell r="C515" t="str">
            <v>TT11</v>
          </cell>
        </row>
        <row r="516">
          <cell r="A516" t="str">
            <v>TT12</v>
          </cell>
          <cell r="B516" t="str">
            <v>TOYO OFFICE FURNITURE SUPPLIES</v>
          </cell>
          <cell r="C516" t="str">
            <v>TT12</v>
          </cell>
        </row>
        <row r="517">
          <cell r="A517" t="str">
            <v>TT13</v>
          </cell>
          <cell r="B517" t="str">
            <v>T K TONG ENTERPRISE</v>
          </cell>
          <cell r="C517" t="str">
            <v>TT13</v>
          </cell>
        </row>
        <row r="518">
          <cell r="A518" t="str">
            <v>TT14</v>
          </cell>
          <cell r="B518" t="str">
            <v>TRIPATI ENTERPRISE</v>
          </cell>
          <cell r="C518" t="str">
            <v>TT14</v>
          </cell>
        </row>
        <row r="519">
          <cell r="A519" t="str">
            <v>TT15</v>
          </cell>
          <cell r="B519" t="str">
            <v>TTS TRANSPORT SDN. BHD.</v>
          </cell>
          <cell r="C519" t="str">
            <v>TT15</v>
          </cell>
        </row>
        <row r="520">
          <cell r="A520" t="str">
            <v>TT16</v>
          </cell>
          <cell r="B520" t="str">
            <v>TEKTON BEACON SDN.BHD</v>
          </cell>
          <cell r="C520" t="str">
            <v>TT16</v>
          </cell>
        </row>
        <row r="521">
          <cell r="A521" t="str">
            <v>TT17</v>
          </cell>
          <cell r="B521" t="str">
            <v>TRU-MIX CONCRETE SDN. BHD.</v>
          </cell>
          <cell r="C521" t="str">
            <v>TT17</v>
          </cell>
        </row>
        <row r="522">
          <cell r="A522" t="str">
            <v>TT18</v>
          </cell>
          <cell r="B522" t="str">
            <v>TAN CHIN CHIEW</v>
          </cell>
          <cell r="C522" t="str">
            <v>TT18</v>
          </cell>
        </row>
        <row r="523">
          <cell r="A523" t="str">
            <v>TT19</v>
          </cell>
          <cell r="B523" t="str">
            <v>TOOLFLEX MACHINERY IND. SUPPLIES S/BHD</v>
          </cell>
          <cell r="C523" t="str">
            <v>TT19</v>
          </cell>
        </row>
        <row r="524">
          <cell r="A524" t="str">
            <v>TT20</v>
          </cell>
          <cell r="B524" t="str">
            <v>THL FOUNDATION EQUIPMENT PTE. LTD.</v>
          </cell>
          <cell r="C524" t="str">
            <v>TT20</v>
          </cell>
        </row>
        <row r="525">
          <cell r="A525" t="str">
            <v>TT20</v>
          </cell>
          <cell r="B525" t="str">
            <v>THL FOUNDATION EQUIPMENT PTE. LTD.</v>
          </cell>
        </row>
        <row r="526">
          <cell r="A526" t="str">
            <v>TT21</v>
          </cell>
          <cell r="B526" t="str">
            <v>TAI TENG HOCK</v>
          </cell>
          <cell r="C526" t="str">
            <v>TT21</v>
          </cell>
        </row>
        <row r="527">
          <cell r="A527" t="str">
            <v>TT22</v>
          </cell>
          <cell r="B527" t="str">
            <v>TRIANGLE ENGG &amp; METAL WORKS</v>
          </cell>
          <cell r="C527" t="str">
            <v>TT22</v>
          </cell>
        </row>
        <row r="528">
          <cell r="A528" t="str">
            <v>TT23</v>
          </cell>
          <cell r="B528" t="str">
            <v>TEN HOCK ENTERPRISE SDN. BHD</v>
          </cell>
          <cell r="C528" t="str">
            <v>TT23</v>
          </cell>
        </row>
        <row r="529">
          <cell r="A529" t="str">
            <v>TT24</v>
          </cell>
          <cell r="B529" t="str">
            <v>THOMAS HOWELL GROUP (M) SDN. BHD.</v>
          </cell>
          <cell r="C529" t="str">
            <v>TT24</v>
          </cell>
        </row>
        <row r="530">
          <cell r="A530" t="str">
            <v>TT25</v>
          </cell>
          <cell r="B530" t="str">
            <v>TRACTORS MALAYSIA</v>
          </cell>
          <cell r="C530" t="str">
            <v>TT25</v>
          </cell>
        </row>
        <row r="531">
          <cell r="A531" t="str">
            <v>TT26</v>
          </cell>
          <cell r="B531" t="str">
            <v>TEST TECHNICAL LABORATORY SDN. BHD.</v>
          </cell>
          <cell r="C531" t="str">
            <v>TT26</v>
          </cell>
        </row>
        <row r="532">
          <cell r="A532" t="str">
            <v>TT27</v>
          </cell>
          <cell r="B532" t="str">
            <v>TEST SDN. BHD.</v>
          </cell>
          <cell r="C532" t="str">
            <v>TT27</v>
          </cell>
        </row>
        <row r="533">
          <cell r="A533" t="str">
            <v>TT28</v>
          </cell>
          <cell r="B533" t="str">
            <v>T &amp; A ENTERPRISE SDN. BHD.</v>
          </cell>
          <cell r="C533" t="str">
            <v>TT28</v>
          </cell>
        </row>
        <row r="534">
          <cell r="A534" t="str">
            <v>TT29</v>
          </cell>
          <cell r="B534" t="str">
            <v>TC CALLAGHAN (M) SDN. BHD.</v>
          </cell>
          <cell r="C534" t="str">
            <v>TT29</v>
          </cell>
        </row>
        <row r="535">
          <cell r="A535" t="str">
            <v>TT30</v>
          </cell>
          <cell r="B535" t="str">
            <v>TIMBER GRAINS (M) SDN BHD</v>
          </cell>
          <cell r="C535" t="str">
            <v>TT30</v>
          </cell>
        </row>
        <row r="536">
          <cell r="A536" t="str">
            <v>TT31</v>
          </cell>
          <cell r="B536" t="str">
            <v>TOPCON INSTRUMENTS (MALAYSIA) SDN BHD</v>
          </cell>
          <cell r="C536" t="str">
            <v>TT31</v>
          </cell>
        </row>
        <row r="537">
          <cell r="A537" t="str">
            <v>TT34</v>
          </cell>
          <cell r="B537" t="str">
            <v>TONG HENG EARTHWORKS CONSTRUCTION</v>
          </cell>
          <cell r="C537" t="str">
            <v>TT34</v>
          </cell>
        </row>
        <row r="538">
          <cell r="A538" t="str">
            <v>TT35</v>
          </cell>
          <cell r="B538" t="str">
            <v>TAYWOOD ENGINEERING SDN. BHD.</v>
          </cell>
          <cell r="C538" t="str">
            <v>TT35</v>
          </cell>
        </row>
        <row r="539">
          <cell r="A539" t="str">
            <v>TT36</v>
          </cell>
          <cell r="B539" t="str">
            <v>TMLY SDN BHD</v>
          </cell>
          <cell r="C539" t="str">
            <v>TT36</v>
          </cell>
        </row>
        <row r="540">
          <cell r="A540" t="str">
            <v>TU01</v>
          </cell>
          <cell r="B540" t="str">
            <v>UNITED STRAITS FUSO SDN. BHD.</v>
          </cell>
          <cell r="C540" t="str">
            <v>TU01</v>
          </cell>
        </row>
        <row r="541">
          <cell r="A541" t="str">
            <v>TU02</v>
          </cell>
          <cell r="B541" t="str">
            <v>ULTIMATE FLOW SDN. BHD.</v>
          </cell>
          <cell r="C541" t="str">
            <v>TU02</v>
          </cell>
        </row>
        <row r="542">
          <cell r="A542" t="str">
            <v>TU03</v>
          </cell>
          <cell r="B542" t="str">
            <v>U &amp; P ENGINEERING SDN. BHD.</v>
          </cell>
          <cell r="C542" t="str">
            <v>TU03</v>
          </cell>
        </row>
        <row r="543">
          <cell r="A543" t="str">
            <v>TU04</v>
          </cell>
          <cell r="B543" t="str">
            <v>UCT CRANE (M) SDN. BHD.</v>
          </cell>
          <cell r="C543" t="str">
            <v>TU04</v>
          </cell>
        </row>
        <row r="544">
          <cell r="A544" t="str">
            <v>TU05</v>
          </cell>
          <cell r="B544" t="str">
            <v>UKUR SEKITAR</v>
          </cell>
          <cell r="C544" t="str">
            <v>TU05</v>
          </cell>
        </row>
        <row r="545">
          <cell r="A545" t="str">
            <v>TU06</v>
          </cell>
          <cell r="B545" t="str">
            <v>UMW INDUSTRIES (1985) SDN BHD</v>
          </cell>
          <cell r="C545" t="str">
            <v>TU06</v>
          </cell>
        </row>
        <row r="546">
          <cell r="A546" t="str">
            <v>TU07</v>
          </cell>
          <cell r="B546" t="str">
            <v>UTRACO (M) SDN BHD.</v>
          </cell>
        </row>
        <row r="547">
          <cell r="A547" t="str">
            <v>TV01</v>
          </cell>
          <cell r="B547" t="str">
            <v>VAN FOH TRADING SDN. BHD.</v>
          </cell>
          <cell r="C547" t="str">
            <v>TV01</v>
          </cell>
        </row>
        <row r="548">
          <cell r="A548" t="str">
            <v>TV02</v>
          </cell>
          <cell r="B548" t="str">
            <v>VANTAGE WOOD SDN. BHD.</v>
          </cell>
          <cell r="C548" t="str">
            <v>TV02</v>
          </cell>
        </row>
        <row r="549">
          <cell r="A549" t="str">
            <v>TW01</v>
          </cell>
          <cell r="B549" t="str">
            <v>WAN SENG LEONG ENGINEERING</v>
          </cell>
          <cell r="C549" t="str">
            <v>TW01</v>
          </cell>
        </row>
        <row r="550">
          <cell r="A550" t="str">
            <v>TW02</v>
          </cell>
          <cell r="B550" t="str">
            <v>WING TIEK HOLDINGS BERHAD</v>
          </cell>
          <cell r="C550" t="str">
            <v>TW02</v>
          </cell>
        </row>
        <row r="551">
          <cell r="A551" t="str">
            <v>TW03</v>
          </cell>
          <cell r="B551" t="str">
            <v>WILLIS FABER (MALAYSIA) SDN.BHD.</v>
          </cell>
          <cell r="C551" t="str">
            <v>TW03</v>
          </cell>
        </row>
        <row r="552">
          <cell r="A552" t="str">
            <v>TW04</v>
          </cell>
          <cell r="B552" t="str">
            <v>WAN AZAM BIN WAN MUSA</v>
          </cell>
          <cell r="C552" t="str">
            <v>TW04</v>
          </cell>
        </row>
        <row r="553">
          <cell r="A553" t="str">
            <v>TW05</v>
          </cell>
          <cell r="B553" t="str">
            <v>W T CONSTRUCTION</v>
          </cell>
          <cell r="C553" t="str">
            <v>TW05</v>
          </cell>
        </row>
        <row r="554">
          <cell r="A554" t="str">
            <v>TW06</v>
          </cell>
          <cell r="B554" t="str">
            <v>WYWY (MARKETING) SDN BHD</v>
          </cell>
          <cell r="C554" t="str">
            <v>TW06</v>
          </cell>
        </row>
        <row r="555">
          <cell r="A555" t="str">
            <v>TW07</v>
          </cell>
          <cell r="B555" t="str">
            <v>WONG CHEER YEE</v>
          </cell>
          <cell r="C555" t="str">
            <v>TW07</v>
          </cell>
        </row>
        <row r="556">
          <cell r="A556" t="str">
            <v>TW08</v>
          </cell>
          <cell r="B556" t="str">
            <v>WYWY PACIFIC SDN. BHD.</v>
          </cell>
          <cell r="C556" t="str">
            <v>TW08</v>
          </cell>
        </row>
        <row r="557">
          <cell r="A557" t="str">
            <v>TW09</v>
          </cell>
          <cell r="B557" t="str">
            <v>WENGCON MACHINERY SDN. BHD.</v>
          </cell>
          <cell r="C557" t="str">
            <v>TW09</v>
          </cell>
        </row>
        <row r="558">
          <cell r="A558" t="str">
            <v>TW10</v>
          </cell>
          <cell r="B558" t="str">
            <v>WIND MACHINERY &amp; CONSTRUCTION</v>
          </cell>
          <cell r="C558" t="str">
            <v>TW10</v>
          </cell>
        </row>
        <row r="559">
          <cell r="A559" t="str">
            <v>TW11</v>
          </cell>
          <cell r="B559" t="str">
            <v>WONG CHIT LING</v>
          </cell>
          <cell r="C559" t="str">
            <v>TW11</v>
          </cell>
        </row>
        <row r="560">
          <cell r="A560" t="str">
            <v>TW12</v>
          </cell>
          <cell r="B560" t="str">
            <v>WAH SENG SIN KEE CO., SDN. BHD.</v>
          </cell>
          <cell r="C560" t="str">
            <v>TW12</v>
          </cell>
        </row>
        <row r="561">
          <cell r="A561" t="str">
            <v>TY01</v>
          </cell>
          <cell r="B561" t="str">
            <v>YUEN SENG ENGINEERING WORKS SDN. BHD.</v>
          </cell>
          <cell r="C561" t="str">
            <v>TY01</v>
          </cell>
        </row>
        <row r="562">
          <cell r="A562" t="str">
            <v>TY02</v>
          </cell>
          <cell r="B562" t="str">
            <v>YESS ENTERPRISE</v>
          </cell>
          <cell r="C562" t="str">
            <v>TY02</v>
          </cell>
        </row>
        <row r="563">
          <cell r="A563" t="str">
            <v>TY03</v>
          </cell>
          <cell r="B563" t="str">
            <v>YINSON TRADING &amp; TRANSPORT</v>
          </cell>
          <cell r="C563" t="str">
            <v>TY03</v>
          </cell>
        </row>
        <row r="564">
          <cell r="A564" t="str">
            <v>TY04</v>
          </cell>
          <cell r="B564" t="str">
            <v>YINSON TRADING SDN. BHD.</v>
          </cell>
          <cell r="C564" t="str">
            <v>TY04</v>
          </cell>
        </row>
        <row r="565">
          <cell r="A565" t="str">
            <v>TY05</v>
          </cell>
          <cell r="B565" t="str">
            <v>YINSON CORPORATION SDN. BHD.</v>
          </cell>
          <cell r="C565" t="str">
            <v>TY05</v>
          </cell>
        </row>
        <row r="566">
          <cell r="A566" t="str">
            <v>TY06</v>
          </cell>
          <cell r="B566" t="str">
            <v>YAW TACK CONSTRUCTION  &amp; TRACTOR WORKS</v>
          </cell>
          <cell r="C566" t="str">
            <v>TY06</v>
          </cell>
        </row>
        <row r="567">
          <cell r="A567" t="str">
            <v>TY07</v>
          </cell>
          <cell r="B567" t="str">
            <v>YOW KEE PLUMBING WORKS</v>
          </cell>
          <cell r="C567" t="str">
            <v>TY07</v>
          </cell>
        </row>
        <row r="568">
          <cell r="A568" t="str">
            <v>TY08</v>
          </cell>
          <cell r="B568" t="str">
            <v>YCH HYDRAULIC</v>
          </cell>
          <cell r="C568" t="str">
            <v>TY08</v>
          </cell>
        </row>
        <row r="569">
          <cell r="A569" t="str">
            <v>TY09</v>
          </cell>
          <cell r="B569" t="str">
            <v>YUSRI BIN JAAPAR</v>
          </cell>
          <cell r="C569" t="str">
            <v>TY09</v>
          </cell>
        </row>
        <row r="570">
          <cell r="A570" t="str">
            <v>TZ03</v>
          </cell>
          <cell r="B570" t="str">
            <v>ZOFAS ENTERPRISE</v>
          </cell>
          <cell r="C570" t="str">
            <v>TZ03</v>
          </cell>
        </row>
        <row r="571">
          <cell r="A571" t="str">
            <v>W20</v>
          </cell>
          <cell r="B571" t="str">
            <v>Wages (LOT 181)</v>
          </cell>
          <cell r="C571" t="str">
            <v>W20</v>
          </cell>
        </row>
        <row r="572">
          <cell r="A572" t="str">
            <v>W23</v>
          </cell>
          <cell r="B572" t="str">
            <v>Wages (ELEVATED H/WAY SECT 1)</v>
          </cell>
          <cell r="C572" t="str">
            <v>W23</v>
          </cell>
        </row>
        <row r="573">
          <cell r="A573" t="str">
            <v>W24</v>
          </cell>
          <cell r="B573" t="str">
            <v>Wages (UDA)</v>
          </cell>
          <cell r="C573" t="str">
            <v>W24</v>
          </cell>
        </row>
        <row r="574">
          <cell r="A574" t="str">
            <v>W26</v>
          </cell>
          <cell r="B574" t="str">
            <v>Wages (VIADUCT)</v>
          </cell>
          <cell r="C574" t="str">
            <v>W26</v>
          </cell>
        </row>
        <row r="575">
          <cell r="A575" t="str">
            <v>W27</v>
          </cell>
          <cell r="B575" t="str">
            <v>WAGES (AKLEH PACKAGE 1)</v>
          </cell>
          <cell r="C575" t="str">
            <v>W27</v>
          </cell>
        </row>
        <row r="576">
          <cell r="A576" t="str">
            <v>ZAI</v>
          </cell>
          <cell r="B576" t="str">
            <v>ZAIMI BIN AHMAD</v>
          </cell>
          <cell r="C576" t="str">
            <v>ZAI</v>
          </cell>
        </row>
        <row r="577">
          <cell r="A577" t="str">
            <v>PL02</v>
          </cell>
          <cell r="B577" t="str">
            <v xml:space="preserve">L &amp; M GEOTECHNIC SDN BHD  </v>
          </cell>
        </row>
        <row r="578">
          <cell r="A578" t="str">
            <v>NS08</v>
          </cell>
          <cell r="B578" t="str">
            <v>SUPERKAD SERVICES SDN BHD</v>
          </cell>
        </row>
        <row r="579">
          <cell r="A579" t="str">
            <v>CHAN</v>
          </cell>
          <cell r="B579" t="str">
            <v>CHANDRAN S/O M SUBRAMANIAM</v>
          </cell>
        </row>
        <row r="580">
          <cell r="A580" t="str">
            <v>RML</v>
          </cell>
          <cell r="B580" t="str">
            <v>RUSMAN MD LIZAH</v>
          </cell>
        </row>
        <row r="581">
          <cell r="A581" t="str">
            <v>M-ROS</v>
          </cell>
          <cell r="B581" t="str">
            <v>MD ROSDI MD RAMLI</v>
          </cell>
        </row>
        <row r="582">
          <cell r="A582" t="str">
            <v>M-RID</v>
          </cell>
          <cell r="B582" t="str">
            <v>MOHD RIDUAN MAHAT</v>
          </cell>
        </row>
        <row r="583">
          <cell r="A583" t="str">
            <v>M-ZAN</v>
          </cell>
          <cell r="B583" t="str">
            <v>MOHD ZANIS SULAIMAN</v>
          </cell>
        </row>
        <row r="584">
          <cell r="A584" t="str">
            <v>EDDY</v>
          </cell>
          <cell r="B584" t="str">
            <v>EDDY SAFRIZAL ABDULLAH</v>
          </cell>
        </row>
        <row r="585">
          <cell r="A585" t="str">
            <v>JAM</v>
          </cell>
          <cell r="B585" t="str">
            <v>JAMALUDDIN NAWAWI</v>
          </cell>
        </row>
        <row r="586">
          <cell r="A586" t="str">
            <v>NOOR</v>
          </cell>
          <cell r="B586" t="str">
            <v>NOOR HASMADI MOHD NOOR</v>
          </cell>
        </row>
        <row r="587">
          <cell r="A587" t="str">
            <v>NY01</v>
          </cell>
          <cell r="B587" t="str">
            <v>YPM INSURANCE BROKERS (1974) SDN BHD</v>
          </cell>
        </row>
        <row r="588">
          <cell r="A588" t="str">
            <v>TI04</v>
          </cell>
          <cell r="B588" t="str">
            <v>INTERMAC ENGINEERING &amp; TRADING</v>
          </cell>
        </row>
        <row r="589">
          <cell r="A589" t="str">
            <v>TJ11</v>
          </cell>
          <cell r="B589" t="str">
            <v>JEPKO WELDMATERIALS SDN BHD</v>
          </cell>
        </row>
        <row r="590">
          <cell r="A590" t="str">
            <v>TK23</v>
          </cell>
          <cell r="B590" t="str">
            <v>K .SASISTHARAN KRISHNAN MENON</v>
          </cell>
        </row>
        <row r="591">
          <cell r="A591" t="str">
            <v>TK24</v>
          </cell>
          <cell r="B591" t="str">
            <v>KATAN WANGSA SDN BHD</v>
          </cell>
        </row>
        <row r="592">
          <cell r="A592" t="str">
            <v>TP34</v>
          </cell>
          <cell r="B592" t="str">
            <v>P.L.L CONSTRUCTION SDN BHD</v>
          </cell>
        </row>
        <row r="593">
          <cell r="A593" t="str">
            <v>TR10</v>
          </cell>
          <cell r="B593" t="str">
            <v>RAMESH EXCAVATOR SERVICES</v>
          </cell>
        </row>
        <row r="594">
          <cell r="A594" t="str">
            <v>TT37</v>
          </cell>
          <cell r="B594" t="str">
            <v>TKH CONSTRUCTION SDN BHD</v>
          </cell>
        </row>
        <row r="595">
          <cell r="A595" t="str">
            <v>TAISHO</v>
          </cell>
          <cell r="B595" t="str">
            <v>TAISHO MARINE AND FIRE INSURANCE (M) BHD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y Info"/>
      <sheetName val="CA Comp"/>
      <sheetName val="Summary of Fixed Assets"/>
      <sheetName val="Additions"/>
      <sheetName val="Disposals"/>
      <sheetName val="Hire Purchase"/>
      <sheetName val="Lease"/>
      <sheetName val="Controlled Transfer"/>
      <sheetName val="IBA Comp "/>
      <sheetName val="APCODE"/>
    </sheetNames>
    <sheetDataSet>
      <sheetData sheetId="0" refreshError="1">
        <row r="6">
          <cell r="B6" t="str">
            <v>2000 (Current year basis)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disfa"/>
      <sheetName val="HPASS.XLS"/>
      <sheetName val="LEAASS.XLS"/>
      <sheetName val="movtfa"/>
      <sheetName val="ci"/>
      <sheetName val="2 Sec108"/>
      <sheetName val="Company Info"/>
      <sheetName val="CA Comp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3"/>
      <sheetName val="FF-3"/>
      <sheetName val="F-1"/>
      <sheetName val="F-2"/>
      <sheetName val="F-3"/>
      <sheetName val="F-4"/>
      <sheetName val="F-5"/>
      <sheetName val="F-11"/>
      <sheetName val="F-11a"/>
      <sheetName val="F-22"/>
      <sheetName val="B-40"/>
      <sheetName val="B-50"/>
      <sheetName val="U "/>
      <sheetName val="U-10"/>
      <sheetName val="U-30"/>
      <sheetName val="BB-30"/>
      <sheetName val="CC-30"/>
      <sheetName val="FF-1"/>
      <sheetName val="FF-2"/>
      <sheetName val="FF-4"/>
      <sheetName val="FF-4a"/>
      <sheetName val="FF-5"/>
      <sheetName val="FF-6"/>
      <sheetName val="FF-7"/>
      <sheetName val="FF-8"/>
      <sheetName val="10"/>
      <sheetName val="11"/>
      <sheetName val="20"/>
      <sheetName val="21"/>
      <sheetName val="30"/>
      <sheetName val="40"/>
      <sheetName val="50"/>
      <sheetName val="DD-10"/>
      <sheetName val="ca"/>
      <sheetName val="_x0012_0"/>
      <sheetName val="2±"/>
      <sheetName val="_x005f_x0012_0"/>
    </sheetNames>
    <sheetDataSet>
      <sheetData sheetId="0" refreshError="1"/>
      <sheetData sheetId="1" refreshError="1">
        <row r="1">
          <cell r="A1" t="str">
            <v>NITE BEAUTY INDUSTRIES SDN. BHD.</v>
          </cell>
        </row>
        <row r="2">
          <cell r="A2" t="str">
            <v>FILE NUMBER   :  C 0887357-07</v>
          </cell>
        </row>
        <row r="3">
          <cell r="A3" t="str">
            <v>SECTION 108 CREDIT BALANCE</v>
          </cell>
        </row>
        <row r="6">
          <cell r="A6" t="str">
            <v>YEAR</v>
          </cell>
          <cell r="C6" t="str">
            <v>BALANCE</v>
          </cell>
          <cell r="E6" t="str">
            <v>CURRENT</v>
          </cell>
          <cell r="I6" t="str">
            <v>DIVIDENDS</v>
          </cell>
          <cell r="K6" t="str">
            <v>BALANCE</v>
          </cell>
        </row>
        <row r="7">
          <cell r="A7" t="str">
            <v>ENDED</v>
          </cell>
          <cell r="C7" t="str">
            <v>B/F</v>
          </cell>
          <cell r="E7" t="str">
            <v>YEAR</v>
          </cell>
          <cell r="G7" t="str">
            <v>BALANCE</v>
          </cell>
          <cell r="I7" t="str">
            <v>PAID</v>
          </cell>
          <cell r="K7" t="str">
            <v>C/F</v>
          </cell>
        </row>
        <row r="10">
          <cell r="A10" t="str">
            <v>31.12.1996</v>
          </cell>
          <cell r="C10">
            <v>14969.4</v>
          </cell>
          <cell r="E10">
            <v>518067.6</v>
          </cell>
          <cell r="G10">
            <v>533037</v>
          </cell>
          <cell r="I10">
            <v>0</v>
          </cell>
          <cell r="K10">
            <v>533037</v>
          </cell>
        </row>
        <row r="11">
          <cell r="G11" t="str">
            <v xml:space="preserve"> </v>
          </cell>
          <cell r="K11" t="str">
            <v xml:space="preserve">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1"/>
      <sheetName val="JC "/>
      <sheetName val="FC"/>
      <sheetName val="Sheet1"/>
      <sheetName val="Sheet2"/>
      <sheetName val="Sheet3"/>
      <sheetName val="model of schedule"/>
      <sheetName val="FF-3"/>
      <sheetName val="model%20of%20schedule.xls"/>
    </sheetNames>
    <definedNames>
      <definedName name="EEEE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  <sheetName val="BPR-1"/>
      <sheetName val="Note"/>
      <sheetName val="Data"/>
      <sheetName val="F-1"/>
      <sheetName val="F-2"/>
      <sheetName val="F-3"/>
      <sheetName val="F-4"/>
      <sheetName val="F-5"/>
      <sheetName val="F-6"/>
      <sheetName val="F-22"/>
      <sheetName val="10"/>
      <sheetName val="20"/>
      <sheetName val="30"/>
      <sheetName val="C"/>
      <sheetName val="FF"/>
      <sheetName val="FF-1"/>
      <sheetName val="FF-3"/>
      <sheetName val="A"/>
      <sheetName val="B"/>
      <sheetName val="B-10"/>
      <sheetName val="B-30"/>
      <sheetName val="L"/>
      <sheetName val="U"/>
      <sheetName val="U-1 "/>
      <sheetName val="U-100"/>
      <sheetName val="BB"/>
      <sheetName val="CC"/>
      <sheetName val="KK"/>
      <sheetName val="M&amp;MM"/>
      <sheetName val="PP"/>
      <sheetName val="NN"/>
      <sheetName val="sales cut off"/>
      <sheetName val="purchase cut off"/>
      <sheetName val="Awp"/>
      <sheetName val="FF-2"/>
    </sheetNames>
    <sheetDataSet>
      <sheetData sheetId="0" refreshError="1">
        <row r="11">
          <cell r="F11" t="str">
            <v>30.09.2000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"/>
      <sheetName val="B"/>
      <sheetName val="FF_2 _1_"/>
      <sheetName val="Attach"/>
      <sheetName val="Hypo"/>
      <sheetName val="F-11"/>
      <sheetName val="F-22"/>
      <sheetName val="AP110 sup"/>
      <sheetName val="AP110sup"/>
      <sheetName val="A"/>
      <sheetName val="B-10"/>
      <sheetName val="C"/>
      <sheetName val="L"/>
      <sheetName val="U"/>
      <sheetName val="AA"/>
      <sheetName val="BB"/>
      <sheetName val="BB-10"/>
      <sheetName val="BB-30"/>
      <sheetName val="CC"/>
      <sheetName val="FF"/>
      <sheetName val="FF "/>
      <sheetName val="FF-1"/>
      <sheetName val="FF-2 (1)"/>
      <sheetName val="FF-2 (2)"/>
      <sheetName val="FF-2 (3)"/>
      <sheetName val="FF-3"/>
      <sheetName val="FF-6"/>
      <sheetName val="KK-1"/>
      <sheetName val="MM"/>
      <sheetName val="MM-1"/>
      <sheetName val="MM-10"/>
      <sheetName val="NN"/>
      <sheetName val="NN-1"/>
      <sheetName val="10"/>
      <sheetName val="20"/>
      <sheetName val="30"/>
      <sheetName val="Payroll"/>
      <sheetName val="FF_2_1_"/>
      <sheetName val="Os"/>
      <sheetName val="A2-1"/>
      <sheetName val="A2-2"/>
      <sheetName val="A2-3"/>
      <sheetName val="A2-4"/>
      <sheetName val="A3-1"/>
      <sheetName val="A3-2"/>
      <sheetName val="A3-3"/>
      <sheetName val="A3-4"/>
      <sheetName val="A3-4-1"/>
      <sheetName val="C-1"/>
      <sheetName val="C-10"/>
      <sheetName val="C-20"/>
      <sheetName val="C-40"/>
      <sheetName val="E-1"/>
      <sheetName val="E-11"/>
      <sheetName val="E-12"/>
      <sheetName val="E-4"/>
      <sheetName val="E50"/>
      <sheetName val="F-1"/>
      <sheetName val="F-10"/>
      <sheetName val="F-20"/>
      <sheetName val="F-30"/>
      <sheetName val="F-40"/>
      <sheetName val="G-1"/>
      <sheetName val="G-10"/>
      <sheetName val="G-20"/>
      <sheetName val="G-40"/>
      <sheetName val="H"/>
      <sheetName val="H-1"/>
      <sheetName val="I"/>
      <sheetName val="K1"/>
      <sheetName val="K20"/>
      <sheetName val="Ka"/>
      <sheetName val="K"/>
      <sheetName val="K-1"/>
      <sheetName val="K-2"/>
      <sheetName val="K-3"/>
      <sheetName val="K-4"/>
      <sheetName val="K-6"/>
      <sheetName val="L-1"/>
      <sheetName val="L-10"/>
      <sheetName val="L-20"/>
      <sheetName val="M"/>
      <sheetName val="M-2"/>
      <sheetName val="M-2-1"/>
      <sheetName val="M-3"/>
      <sheetName val="M-4"/>
      <sheetName val="N"/>
      <sheetName val="N-1"/>
      <sheetName val="N-3"/>
      <sheetName val="O"/>
      <sheetName val="O-1"/>
      <sheetName val="O-2"/>
      <sheetName val="O-3"/>
      <sheetName val="O-4"/>
      <sheetName val="O-5"/>
      <sheetName val="O-6"/>
      <sheetName val="O-7"/>
      <sheetName val="O-8"/>
      <sheetName val="O-9"/>
      <sheetName val="O-10"/>
      <sheetName val="P"/>
      <sheetName val="P-1"/>
      <sheetName val="P-2"/>
      <sheetName val="P-4"/>
      <sheetName val="Q "/>
      <sheetName val="Q-1"/>
      <sheetName val="Q-2"/>
      <sheetName val="Q-3"/>
      <sheetName val="S"/>
      <sheetName val="S-1"/>
      <sheetName val="T"/>
      <sheetName val="U10"/>
      <sheetName val="U11"/>
      <sheetName val="U11-2"/>
      <sheetName val="U11-3"/>
      <sheetName val="U13"/>
      <sheetName val="U20"/>
      <sheetName val="U21"/>
      <sheetName val="Sheet4"/>
      <sheetName val="U30"/>
      <sheetName val="U40"/>
      <sheetName val="U50"/>
      <sheetName val="U-25 rawmat consumption"/>
      <sheetName val="BPR"/>
    </sheetNames>
    <sheetDataSet>
      <sheetData sheetId="0" refreshError="1">
        <row r="1">
          <cell r="A1" t="str">
            <v>IDSM ELECTRONICS SDN BHD</v>
          </cell>
        </row>
        <row r="2">
          <cell r="A2" t="str">
            <v>FOR THE YEAR ENDED 31 DECEMBER 2000</v>
          </cell>
        </row>
      </sheetData>
      <sheetData sheetId="1" refreshError="1">
        <row r="7">
          <cell r="C7" t="str">
            <v>31.12.99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A1" t="str">
            <v>IDSM ELECTRONICS SDN BHD</v>
          </cell>
        </row>
        <row r="2">
          <cell r="A2" t="str">
            <v>FILE NUMBER   :  C 4909072-00</v>
          </cell>
        </row>
        <row r="3">
          <cell r="A3" t="str">
            <v>YEAR OF ASSESSMENT 2000 (CURRENT YEAR)</v>
          </cell>
        </row>
        <row r="4">
          <cell r="A4" t="str">
            <v>SECTION 108 CREDIT BALANCE</v>
          </cell>
        </row>
        <row r="7">
          <cell r="A7" t="str">
            <v>YEAR</v>
          </cell>
          <cell r="C7" t="str">
            <v>BALANCE</v>
          </cell>
          <cell r="E7" t="str">
            <v>CURRENT</v>
          </cell>
          <cell r="I7" t="str">
            <v>DIVIDENDS</v>
          </cell>
          <cell r="K7" t="str">
            <v>BALANCE</v>
          </cell>
        </row>
        <row r="8">
          <cell r="A8" t="str">
            <v>ENDED</v>
          </cell>
          <cell r="C8" t="str">
            <v>B/F</v>
          </cell>
          <cell r="E8" t="str">
            <v>YEAR</v>
          </cell>
          <cell r="G8" t="str">
            <v>BALANCE</v>
          </cell>
          <cell r="I8" t="str">
            <v>PAID</v>
          </cell>
          <cell r="K8" t="str">
            <v>C/F</v>
          </cell>
        </row>
        <row r="11">
          <cell r="A11" t="str">
            <v>31.12.1994</v>
          </cell>
          <cell r="C11">
            <v>0</v>
          </cell>
          <cell r="E11">
            <v>2684.7</v>
          </cell>
          <cell r="G11">
            <v>2684.7</v>
          </cell>
          <cell r="I11">
            <v>0</v>
          </cell>
          <cell r="K11">
            <v>2684.7</v>
          </cell>
        </row>
        <row r="12">
          <cell r="G12" t="str">
            <v xml:space="preserve"> </v>
          </cell>
          <cell r="K12" t="str">
            <v xml:space="preserve"> </v>
          </cell>
        </row>
        <row r="13">
          <cell r="A13" t="str">
            <v>31.12.1995</v>
          </cell>
          <cell r="C13">
            <v>2684.7</v>
          </cell>
          <cell r="E13">
            <v>0</v>
          </cell>
          <cell r="G13">
            <v>2684.7</v>
          </cell>
          <cell r="I13">
            <v>0</v>
          </cell>
          <cell r="K13">
            <v>2684.7</v>
          </cell>
        </row>
        <row r="15">
          <cell r="A15" t="str">
            <v>31.12.1996</v>
          </cell>
          <cell r="C15">
            <v>2684.7</v>
          </cell>
          <cell r="E15">
            <v>62365.5</v>
          </cell>
          <cell r="G15">
            <v>65050.2</v>
          </cell>
          <cell r="I15">
            <v>0</v>
          </cell>
          <cell r="K15">
            <v>65050.2</v>
          </cell>
        </row>
        <row r="16">
          <cell r="G16" t="str">
            <v xml:space="preserve"> </v>
          </cell>
          <cell r="K16" t="str">
            <v xml:space="preserve"> 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LeadSchedule"/>
      <sheetName val="4 Analysis"/>
      <sheetName val="   Contents"/>
      <sheetName val="2 Sec108"/>
      <sheetName val="SCHEDULE 1"/>
      <sheetName val="SCHEDULE 3"/>
      <sheetName val="SCHEDULE 3A"/>
      <sheetName val="SCHEDULE 3B"/>
      <sheetName val="SCHEDULE 3C"/>
      <sheetName val="SCHEDULE 4"/>
      <sheetName val="SCHEDULE 4A"/>
      <sheetName val="SCHEDULE 5"/>
      <sheetName val="SCHEDULE 5A"/>
      <sheetName val="SCHEDULE 6"/>
      <sheetName val="SCHEDULE 7"/>
      <sheetName val="Dividend"/>
      <sheetName val="SCHEDULE 9"/>
      <sheetName val="INT2"/>
      <sheetName val="SCHEDULE 10C"/>
      <sheetName val="   Directors"/>
      <sheetName val="WORKING"/>
      <sheetName val="ATTACH"/>
      <sheetName val="ITA-RA"/>
      <sheetName val="OTHER (2)"/>
      <sheetName val="FF-2 (1)"/>
      <sheetName val="FSA"/>
      <sheetName val="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LeadSchedule"/>
      <sheetName val="ploss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LeadSchedule"/>
      <sheetName val="4 Analysis"/>
      <sheetName val="   Contents"/>
      <sheetName val="2 Sec108"/>
      <sheetName val="SCHEDULE 1"/>
      <sheetName val="SCHEDULE 3"/>
      <sheetName val="SCHEDULE 3A"/>
      <sheetName val="SCHEDULE 3B"/>
      <sheetName val="SCHEDULE 3C"/>
      <sheetName val="SCHEDULE 4"/>
      <sheetName val="SCHEDULE 4A"/>
      <sheetName val="SCHEDULE 5"/>
      <sheetName val="SCHEDULE 5A"/>
      <sheetName val="SCHEDULE 6"/>
      <sheetName val="SCHEDULE 7"/>
      <sheetName val="Dividend"/>
      <sheetName val="SCHEDULE 9"/>
      <sheetName val="INT2"/>
      <sheetName val="SCHEDULE 10C"/>
      <sheetName val="   Directors"/>
      <sheetName val="WORKING"/>
      <sheetName val="ATTACH"/>
      <sheetName val="ITA-RA"/>
      <sheetName val="OTHER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ity Data"/>
      <sheetName val="Msge1"/>
      <sheetName val="LIST"/>
      <sheetName val="Dialog2"/>
      <sheetName val="Dialog1"/>
      <sheetName val="Module1"/>
      <sheetName val="AUTOMOD"/>
      <sheetName val="Mod1 - print"/>
      <sheetName val="Mod2 - goto"/>
      <sheetName val="EXPORTMOD"/>
      <sheetName val="Tax Comp"/>
      <sheetName val="CA"/>
      <sheetName val="Sch40"/>
      <sheetName val="Sch45"/>
      <sheetName val="Sch50"/>
      <sheetName val="Sch55"/>
      <sheetName val="U-ADD"/>
      <sheetName val="U-DISP"/>
      <sheetName val="RA"/>
      <sheetName val="Sch150"/>
      <sheetName val="Sch160"/>
      <sheetName val="Sch170-180"/>
      <sheetName val="Sch185"/>
      <sheetName val="Sch190"/>
      <sheetName val="Sch340"/>
      <sheetName val="Dialoe1"/>
      <sheetName val="1 LeadSchedule"/>
    </sheetNames>
    <sheetDataSet>
      <sheetData sheetId="0" refreshError="1">
        <row r="8">
          <cell r="D8" t="str">
            <v>31/12/98</v>
          </cell>
          <cell r="G8">
            <v>0.28000000000000003</v>
          </cell>
          <cell r="H8">
            <v>0.28000000000000003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"/>
      <sheetName val="0000"/>
      <sheetName val="F-1"/>
      <sheetName val="F-2"/>
      <sheetName val="F-3"/>
      <sheetName val="Materiality"/>
      <sheetName val="cf"/>
      <sheetName val="F-4"/>
      <sheetName val="F-5"/>
      <sheetName val="F-6"/>
      <sheetName val="F-9"/>
      <sheetName val="F-22"/>
      <sheetName val="Cashflow"/>
      <sheetName val="BPR balance sheet"/>
      <sheetName val="BPR profit &amp; loss"/>
      <sheetName val="BPR BS analysis"/>
      <sheetName val="BPR PL analysis"/>
      <sheetName val="A"/>
      <sheetName val="A-2"/>
      <sheetName val="B"/>
      <sheetName val="B-1"/>
      <sheetName val="C"/>
      <sheetName val="C-10"/>
      <sheetName val="NRV-1"/>
      <sheetName val="NRV-2"/>
      <sheetName val="L"/>
      <sheetName val="M"/>
      <sheetName val="N"/>
      <sheetName val="N-10"/>
      <sheetName val="N-11"/>
      <sheetName val="N-12"/>
      <sheetName val="N-20"/>
      <sheetName val="AA"/>
      <sheetName val="AA-3"/>
      <sheetName val="BB-1"/>
      <sheetName val="BB"/>
      <sheetName val="CC"/>
      <sheetName val="CC-24"/>
      <sheetName val="CC-50"/>
      <sheetName val="FF"/>
      <sheetName val="FF-1"/>
      <sheetName val="FF-10"/>
      <sheetName val="MM"/>
      <sheetName val="NN"/>
      <sheetName val="10"/>
      <sheetName val="20"/>
      <sheetName val="25"/>
      <sheetName val="30"/>
      <sheetName val="31"/>
      <sheetName val="70"/>
      <sheetName val="Entity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L"/>
      <sheetName val="OS"/>
      <sheetName val="BPPP"/>
      <sheetName val="Grey Book"/>
      <sheetName val="E"/>
      <sheetName val="110"/>
      <sheetName val="Sup"/>
      <sheetName val="F-11"/>
      <sheetName val="F-22"/>
      <sheetName val="C"/>
      <sheetName val="C-10"/>
      <sheetName val="APP-1"/>
      <sheetName val="APP-2"/>
      <sheetName val="MM"/>
      <sheetName val="10"/>
      <sheetName val="11"/>
      <sheetName val="20"/>
      <sheetName val="30"/>
      <sheetName val="34"/>
      <sheetName val="40"/>
      <sheetName val="FF"/>
      <sheetName val="FF "/>
      <sheetName val="FF-1"/>
      <sheetName val="FF-2"/>
      <sheetName val="FF-3"/>
      <sheetName val="FF-7"/>
      <sheetName val="U"/>
    </sheetNames>
    <sheetDataSet>
      <sheetData sheetId="0" refreshError="1">
        <row r="1">
          <cell r="B1" t="str">
            <v>FCI CONNECTORS MALAYSIA SDN. BHD.</v>
          </cell>
        </row>
        <row r="2">
          <cell r="B2" t="str">
            <v>AUDIT FOR THE YEAR ENDING 31 DECEMBER 2001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2"/>
      <sheetName val="Hypothesis"/>
      <sheetName val="Profitability"/>
      <sheetName val="Profitability Analysis"/>
      <sheetName val="BS"/>
      <sheetName val="FSA"/>
      <sheetName val="F-1&amp;2"/>
      <sheetName val="F-3"/>
      <sheetName val="F-4"/>
      <sheetName val="F-5"/>
      <sheetName val="F-6"/>
      <sheetName val="CF1"/>
      <sheetName val="CF"/>
      <sheetName val="A"/>
      <sheetName val="B"/>
      <sheetName val="B-1"/>
      <sheetName val="C"/>
      <sheetName val="sales cut off"/>
      <sheetName val="Purch cut off"/>
      <sheetName val="L"/>
      <sheetName val="U"/>
      <sheetName val="AA"/>
      <sheetName val="BB"/>
      <sheetName val="CC"/>
      <sheetName val="FF"/>
      <sheetName val="FF-1"/>
      <sheetName val="FF-2"/>
      <sheetName val="FF-3"/>
      <sheetName val="KK"/>
      <sheetName val="MM"/>
      <sheetName val="M&amp;MM-10"/>
      <sheetName val="PP"/>
      <sheetName val="pp-1"/>
      <sheetName val="10"/>
      <sheetName val="30"/>
      <sheetName val="40 (2)"/>
      <sheetName val="50 (2)"/>
      <sheetName val="60"/>
      <sheetName val="70"/>
      <sheetName val="BIF-collect"/>
      <sheetName val="BIF-OR"/>
      <sheetName val="Module1"/>
      <sheetName val="Module2"/>
      <sheetName val="Module3"/>
      <sheetName val="Future"/>
      <sheetName val="Attachment"/>
      <sheetName val="F-22"/>
      <sheetName val="30 "/>
      <sheetName val="40"/>
      <sheetName val="50"/>
      <sheetName val="FS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1">
          <cell r="A1" t="str">
            <v>WUERTH (MALAYSIA) SDN BHD</v>
          </cell>
        </row>
        <row r="2">
          <cell r="A2" t="str">
            <v>FILE NUMBER : C3896483-10</v>
          </cell>
        </row>
        <row r="3">
          <cell r="A3" t="str">
            <v>YEAR OF ASSESSMENT 2000 (CURRENT YEAR)</v>
          </cell>
        </row>
        <row r="4">
          <cell r="A4" t="str">
            <v>ADDITIONS  OF FIXED ASSETS ANALYSES</v>
          </cell>
        </row>
        <row r="5">
          <cell r="A5" t="str">
            <v>-</v>
          </cell>
          <cell r="B5" t="str">
            <v>-</v>
          </cell>
          <cell r="I5" t="str">
            <v>-</v>
          </cell>
          <cell r="J5" t="str">
            <v>-</v>
          </cell>
        </row>
        <row r="6">
          <cell r="J6" t="str">
            <v>QUALIFY</v>
          </cell>
        </row>
        <row r="7">
          <cell r="I7" t="str">
            <v>NON</v>
          </cell>
          <cell r="J7" t="str">
            <v>NON</v>
          </cell>
        </row>
        <row r="8">
          <cell r="A8" t="str">
            <v>DESCRIPTION</v>
          </cell>
          <cell r="B8" t="str">
            <v>AMOUNT</v>
          </cell>
          <cell r="D8">
            <v>0.08</v>
          </cell>
          <cell r="E8">
            <v>0.12</v>
          </cell>
          <cell r="F8">
            <v>0.14000000000000001</v>
          </cell>
          <cell r="G8">
            <v>0.16</v>
          </cell>
          <cell r="H8">
            <v>0.4</v>
          </cell>
          <cell r="I8" t="str">
            <v>RANKING</v>
          </cell>
          <cell r="J8" t="str">
            <v>IA ONLY</v>
          </cell>
          <cell r="K8" t="str">
            <v>REF</v>
          </cell>
        </row>
        <row r="10">
          <cell r="A10" t="str">
            <v>OFFICE COMPUTER</v>
          </cell>
        </row>
        <row r="11">
          <cell r="A11" t="str">
            <v>Office computer</v>
          </cell>
          <cell r="B11">
            <v>10304</v>
          </cell>
          <cell r="H11">
            <v>10304</v>
          </cell>
        </row>
        <row r="12">
          <cell r="A12" t="str">
            <v>Computer</v>
          </cell>
          <cell r="B12">
            <v>10304</v>
          </cell>
          <cell r="H12">
            <v>10304</v>
          </cell>
        </row>
        <row r="13">
          <cell r="A13" t="str">
            <v>Assets under HP</v>
          </cell>
          <cell r="B13">
            <v>40790</v>
          </cell>
          <cell r="G13">
            <v>40790</v>
          </cell>
        </row>
        <row r="14">
          <cell r="A14" t="str">
            <v>Total</v>
          </cell>
          <cell r="B14">
            <v>10304</v>
          </cell>
        </row>
        <row r="15">
          <cell r="A15" t="str">
            <v>Grand total - QE</v>
          </cell>
          <cell r="B15">
            <v>51094</v>
          </cell>
          <cell r="D15">
            <v>0</v>
          </cell>
          <cell r="E15">
            <v>0</v>
          </cell>
          <cell r="F15">
            <v>0</v>
          </cell>
          <cell r="G15">
            <v>40790</v>
          </cell>
          <cell r="H15">
            <v>10304</v>
          </cell>
        </row>
        <row r="17">
          <cell r="A17" t="str">
            <v>TOTAL ADDITION FIXED ASSETS</v>
          </cell>
          <cell r="B17">
            <v>10304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10304</v>
          </cell>
          <cell r="I17">
            <v>0</v>
          </cell>
          <cell r="J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16316</v>
          </cell>
          <cell r="H18">
            <v>6182.4000000000005</v>
          </cell>
          <cell r="I18">
            <v>22498.400000000001</v>
          </cell>
        </row>
        <row r="19">
          <cell r="A19" t="str">
            <v>add: AA on existing fixed assets</v>
          </cell>
          <cell r="I19">
            <v>75636</v>
          </cell>
        </row>
        <row r="20">
          <cell r="I20">
            <v>98134.399999999994</v>
          </cell>
        </row>
        <row r="21">
          <cell r="A21" t="str">
            <v>ASSETS HELD UNDER HP (Schedule RHP)</v>
          </cell>
          <cell r="B21">
            <v>0</v>
          </cell>
          <cell r="G21">
            <v>0</v>
          </cell>
          <cell r="J21">
            <v>0</v>
          </cell>
        </row>
        <row r="22">
          <cell r="A22" t="str">
            <v>TWDV b/f</v>
          </cell>
          <cell r="C22">
            <v>140724</v>
          </cell>
        </row>
        <row r="23">
          <cell r="A23" t="str">
            <v>add: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10304</v>
          </cell>
          <cell r="I23">
            <v>0</v>
          </cell>
          <cell r="J23">
            <v>0</v>
          </cell>
        </row>
        <row r="24">
          <cell r="A24" t="str">
            <v>QE for current period</v>
          </cell>
          <cell r="C24">
            <v>51094</v>
          </cell>
        </row>
        <row r="25">
          <cell r="A25" t="str">
            <v>less:</v>
          </cell>
        </row>
        <row r="26">
          <cell r="A26" t="str">
            <v>CA claimed</v>
          </cell>
          <cell r="C26">
            <v>-98134.399999999994</v>
          </cell>
        </row>
        <row r="27">
          <cell r="A27" t="str">
            <v>TWDV c/f</v>
          </cell>
          <cell r="C27">
            <v>93683.6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  <sheetName val="BPR-1"/>
      <sheetName val="Note"/>
      <sheetName val="Data"/>
      <sheetName val="F-1"/>
      <sheetName val="F-2"/>
      <sheetName val="F-3"/>
      <sheetName val="F-4"/>
      <sheetName val="F-5"/>
      <sheetName val="F-6"/>
      <sheetName val="F-22"/>
      <sheetName val="10"/>
      <sheetName val="20"/>
      <sheetName val="30"/>
      <sheetName val="C"/>
      <sheetName val="FF"/>
      <sheetName val="FF-1"/>
      <sheetName val="FF-3"/>
      <sheetName val="A"/>
      <sheetName val="B"/>
      <sheetName val="B-10"/>
      <sheetName val="B-30"/>
      <sheetName val="L"/>
      <sheetName val="U"/>
      <sheetName val="U-1 "/>
      <sheetName val="U-100"/>
      <sheetName val="BB"/>
      <sheetName val="CC"/>
      <sheetName val="KK"/>
      <sheetName val="M&amp;MM"/>
      <sheetName val="PP"/>
      <sheetName val="NN"/>
      <sheetName val="sales cut off"/>
      <sheetName val="purchase cut off"/>
      <sheetName val="FF-2"/>
      <sheetName val="Awp"/>
    </sheetNames>
    <sheetDataSet>
      <sheetData sheetId="0" refreshError="1">
        <row r="11">
          <cell r="F11" t="str">
            <v>30.09.2000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"/>
      <sheetName val="L"/>
      <sheetName val="M, MM"/>
      <sheetName val="BB"/>
      <sheetName val="BB-1"/>
      <sheetName val=" BB-2"/>
      <sheetName val="CC"/>
      <sheetName val="CC-1"/>
      <sheetName val="CC-2"/>
      <sheetName val="CC-3-1"/>
      <sheetName val="PP"/>
      <sheetName val="PP-1"/>
      <sheetName val="PP-2"/>
      <sheetName val="70"/>
      <sheetName val="RCD 5- (APPENDIX 1)"/>
      <sheetName val="B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11"/>
      <sheetName val="10"/>
    </sheetNames>
    <sheetDataSet>
      <sheetData sheetId="0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 Analysis"/>
      <sheetName val="   Contents"/>
      <sheetName val="1 LeadSchedule"/>
      <sheetName val="2 Sec108"/>
      <sheetName val="3 P&amp;L - 4 Op.Exp"/>
      <sheetName val="3A Turnover 3B COS"/>
      <sheetName val="   Directors"/>
      <sheetName val="Shareholders"/>
      <sheetName val="Dividend"/>
      <sheetName val="ITA-RA"/>
      <sheetName val="Int-rest"/>
      <sheetName val="OTHER (2)"/>
      <sheetName val="Checklist"/>
      <sheetName val="Sheet2"/>
      <sheetName val="Highlight"/>
      <sheetName val="A3-1"/>
      <sheetName val="A3-2"/>
      <sheetName val="A3-3"/>
      <sheetName val="A2-1"/>
      <sheetName val="A2-2"/>
      <sheetName val="A2-3"/>
      <sheetName val="A2-4"/>
      <sheetName val="A-8"/>
      <sheetName val="SAD"/>
      <sheetName val="A5-1 CPL"/>
      <sheetName val="A5-2 CBS"/>
      <sheetName val="A5-3 Inter bal"/>
      <sheetName val="A5-4 Inter trans"/>
      <sheetName val="A5-5 RPT"/>
      <sheetName val="A5-6 Notes"/>
      <sheetName val="A5-7 FC &amp; sale prop"/>
      <sheetName val="C"/>
      <sheetName val="C-10"/>
      <sheetName val="E"/>
      <sheetName val="F"/>
      <sheetName val="F-10"/>
      <sheetName val="G"/>
      <sheetName val="I"/>
      <sheetName val="I-10"/>
      <sheetName val="K"/>
      <sheetName val="K-8"/>
      <sheetName val="K-9"/>
      <sheetName val="K-10"/>
      <sheetName val="M"/>
      <sheetName val="M-2"/>
      <sheetName val="N"/>
      <sheetName val="N-20"/>
      <sheetName val="P"/>
      <sheetName val="O"/>
      <sheetName val="S"/>
      <sheetName val="T"/>
      <sheetName val="U10"/>
      <sheetName val="U11"/>
      <sheetName val="U20"/>
      <sheetName val="U21"/>
      <sheetName val="U-22"/>
      <sheetName val="U30"/>
      <sheetName val="U31"/>
      <sheetName val="U70"/>
      <sheetName val="FF_11"/>
      <sheetName val="FF-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 Analysis"/>
      <sheetName val="5 Analysis"/>
    </sheetNames>
    <sheetDataSet>
      <sheetData sheetId="0"/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disfa"/>
      <sheetName val="HPASS.XLS"/>
      <sheetName val="LEAASS.XLS"/>
      <sheetName val="movtfa"/>
      <sheetName val="ci"/>
      <sheetName val="2 Sec108"/>
      <sheetName val="4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</sheetNames>
    <sheetDataSet>
      <sheetData sheetId="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ca"/>
    </sheetNames>
    <sheetDataSet>
      <sheetData sheetId="0" refreshError="1">
        <row r="4">
          <cell r="L4" t="str">
            <v>30.6.2000</v>
          </cell>
          <cell r="N4" t="str">
            <v>31.12.1999</v>
          </cell>
        </row>
      </sheetData>
      <sheetData sheetId="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6"/>
      <sheetName val="Hypothesis"/>
      <sheetName val="Profitability"/>
      <sheetName val="Profit anal"/>
      <sheetName val="BS"/>
      <sheetName val="FSA"/>
      <sheetName val="F-1&amp;2"/>
      <sheetName val="F-3"/>
      <sheetName val="F-4"/>
      <sheetName val="F-9"/>
      <sheetName val="F-11"/>
      <sheetName val="FF-2"/>
      <sheetName val="FF-4"/>
      <sheetName val="FF-6"/>
      <sheetName val="FF-10"/>
      <sheetName val="10"/>
      <sheetName val="20"/>
      <sheetName val="30"/>
      <sheetName val="os"/>
      <sheetName val="Bal Sheet"/>
      <sheetName val="Breakdown 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5">
          <cell r="A5" t="str">
            <v xml:space="preserve">SECTION 108 TAX CREDIT </v>
          </cell>
        </row>
        <row r="7">
          <cell r="A7" t="str">
            <v>YEAR</v>
          </cell>
          <cell r="C7" t="str">
            <v>BALANCE</v>
          </cell>
          <cell r="E7" t="str">
            <v>CURRENT</v>
          </cell>
          <cell r="I7" t="str">
            <v>DIVIDEND</v>
          </cell>
          <cell r="K7" t="str">
            <v>BALANCE</v>
          </cell>
        </row>
        <row r="8">
          <cell r="A8" t="str">
            <v>ENDED</v>
          </cell>
          <cell r="C8" t="str">
            <v>C/F</v>
          </cell>
          <cell r="E8" t="str">
            <v>YEAR</v>
          </cell>
          <cell r="G8" t="str">
            <v>BALANCE</v>
          </cell>
          <cell r="I8" t="str">
            <v>PAID</v>
          </cell>
          <cell r="K8" t="str">
            <v>C/F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mdeprn"/>
      <sheetName val="summary"/>
      <sheetName val="details"/>
      <sheetName val="addl cost"/>
      <sheetName val="dev_exp (2)"/>
      <sheetName val="dev_exp"/>
      <sheetName val="Addl Dev Exp"/>
      <sheetName val="FF-6"/>
    </sheetNames>
    <sheetDataSet>
      <sheetData sheetId="0" refreshError="1">
        <row r="3">
          <cell r="A3" t="str">
            <v>YTD DEPRECIATION</v>
          </cell>
          <cell r="B3">
            <v>35915</v>
          </cell>
          <cell r="C3">
            <v>35946</v>
          </cell>
          <cell r="D3">
            <v>35976</v>
          </cell>
          <cell r="E3">
            <v>36007</v>
          </cell>
          <cell r="F3">
            <v>36038</v>
          </cell>
          <cell r="G3">
            <v>36068</v>
          </cell>
          <cell r="H3">
            <v>36099</v>
          </cell>
          <cell r="I3">
            <v>36129</v>
          </cell>
          <cell r="J3">
            <v>36160</v>
          </cell>
          <cell r="K3">
            <v>36191</v>
          </cell>
          <cell r="L3">
            <v>36219</v>
          </cell>
          <cell r="M3">
            <v>36250</v>
          </cell>
        </row>
        <row r="4">
          <cell r="A4" t="str">
            <v>American Jeep - BCN 300</v>
          </cell>
          <cell r="B4">
            <v>717.72</v>
          </cell>
          <cell r="C4">
            <v>1435.44</v>
          </cell>
          <cell r="D4">
            <v>2153.16</v>
          </cell>
          <cell r="E4">
            <v>2272.0299999999997</v>
          </cell>
          <cell r="F4">
            <v>2272.0299999999997</v>
          </cell>
          <cell r="G4">
            <v>2272.0299999999997</v>
          </cell>
          <cell r="H4">
            <v>2272.0299999999997</v>
          </cell>
          <cell r="I4">
            <v>2272.0299999999997</v>
          </cell>
          <cell r="J4">
            <v>2272.0299999999997</v>
          </cell>
          <cell r="K4">
            <v>2272.0299999999997</v>
          </cell>
          <cell r="L4">
            <v>2272.0299999999997</v>
          </cell>
          <cell r="M4">
            <v>2272.0299999999997</v>
          </cell>
        </row>
        <row r="5">
          <cell r="A5" t="str">
            <v>Firearms</v>
          </cell>
          <cell r="B5">
            <v>132.94999999999999</v>
          </cell>
          <cell r="C5">
            <v>265.89999999999998</v>
          </cell>
          <cell r="D5">
            <v>398.84999999999997</v>
          </cell>
          <cell r="E5">
            <v>531.79999999999995</v>
          </cell>
          <cell r="F5">
            <v>993.91</v>
          </cell>
          <cell r="G5">
            <v>1456.02</v>
          </cell>
          <cell r="H5">
            <v>1918.13</v>
          </cell>
          <cell r="I5">
            <v>2380.2400000000002</v>
          </cell>
          <cell r="J5">
            <v>2842.3500000000004</v>
          </cell>
          <cell r="K5">
            <v>3304.4500000000003</v>
          </cell>
          <cell r="L5">
            <v>3766.55</v>
          </cell>
          <cell r="M5">
            <v>4228.6500000000005</v>
          </cell>
        </row>
        <row r="6">
          <cell r="A6" t="str">
            <v>2 set plan hanger stands &amp; 20 hangers</v>
          </cell>
          <cell r="B6">
            <v>13.25</v>
          </cell>
          <cell r="C6">
            <v>26.5</v>
          </cell>
          <cell r="D6">
            <v>39.75</v>
          </cell>
          <cell r="E6">
            <v>53</v>
          </cell>
          <cell r="F6">
            <v>66.25</v>
          </cell>
          <cell r="G6">
            <v>79.5</v>
          </cell>
          <cell r="H6">
            <v>92.75</v>
          </cell>
          <cell r="I6">
            <v>106</v>
          </cell>
          <cell r="J6">
            <v>119.25</v>
          </cell>
          <cell r="K6">
            <v>132.5</v>
          </cell>
          <cell r="L6">
            <v>145.75</v>
          </cell>
          <cell r="M6">
            <v>159</v>
          </cell>
        </row>
        <row r="7">
          <cell r="A7" t="str">
            <v>3 units Lion steel cupboard with castor</v>
          </cell>
          <cell r="B7">
            <v>10.33</v>
          </cell>
          <cell r="C7">
            <v>20.66</v>
          </cell>
          <cell r="D7">
            <v>30.990000000000002</v>
          </cell>
          <cell r="E7">
            <v>41.32</v>
          </cell>
          <cell r="F7">
            <v>51.65</v>
          </cell>
          <cell r="G7">
            <v>61.98</v>
          </cell>
          <cell r="H7">
            <v>72.3</v>
          </cell>
          <cell r="I7">
            <v>82.62</v>
          </cell>
          <cell r="J7">
            <v>92.94</v>
          </cell>
          <cell r="K7">
            <v>103.25999999999999</v>
          </cell>
          <cell r="L7">
            <v>113.57999999999998</v>
          </cell>
          <cell r="M7">
            <v>123.89999999999998</v>
          </cell>
        </row>
        <row r="8">
          <cell r="A8" t="str">
            <v>2 units Typist chair w/o arm</v>
          </cell>
          <cell r="B8">
            <v>4.67</v>
          </cell>
          <cell r="C8">
            <v>9.34</v>
          </cell>
          <cell r="D8">
            <v>14.01</v>
          </cell>
          <cell r="E8">
            <v>18.68</v>
          </cell>
          <cell r="F8">
            <v>23.35</v>
          </cell>
          <cell r="G8">
            <v>28.020000000000003</v>
          </cell>
          <cell r="H8">
            <v>32.690000000000005</v>
          </cell>
          <cell r="I8">
            <v>37.360000000000007</v>
          </cell>
          <cell r="J8">
            <v>42.02000000000001</v>
          </cell>
          <cell r="K8">
            <v>46.680000000000007</v>
          </cell>
          <cell r="L8">
            <v>51.34</v>
          </cell>
          <cell r="M8">
            <v>56</v>
          </cell>
        </row>
        <row r="9">
          <cell r="A9" t="str">
            <v>3 units Low Back Executive chairs</v>
          </cell>
          <cell r="B9">
            <v>5.63</v>
          </cell>
          <cell r="C9">
            <v>11.26</v>
          </cell>
          <cell r="D9">
            <v>16.89</v>
          </cell>
          <cell r="E9">
            <v>22.52</v>
          </cell>
          <cell r="F9">
            <v>28.15</v>
          </cell>
          <cell r="G9">
            <v>33.78</v>
          </cell>
          <cell r="H9">
            <v>39.4</v>
          </cell>
          <cell r="I9">
            <v>45.019999999999996</v>
          </cell>
          <cell r="J9">
            <v>50.639999999999993</v>
          </cell>
          <cell r="K9">
            <v>56.259999999999991</v>
          </cell>
          <cell r="L9">
            <v>61.879999999999988</v>
          </cell>
          <cell r="M9">
            <v>67.499999999999986</v>
          </cell>
        </row>
        <row r="10">
          <cell r="A10" t="str">
            <v>Furniture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A11" t="str">
            <v>Furniture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A12" t="str">
            <v>Furniture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A13" t="str">
            <v>Furniture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A14" t="str">
            <v>Furniture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A15" t="str">
            <v>Furniture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Furniture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 t="str">
            <v>Furniture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A18" t="str">
            <v>Furniture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 t="str">
            <v>1 Digitex computer &amp; Epson printer</v>
          </cell>
          <cell r="B19">
            <v>132.4</v>
          </cell>
          <cell r="C19">
            <v>264.8</v>
          </cell>
          <cell r="D19">
            <v>397.20000000000005</v>
          </cell>
          <cell r="E19">
            <v>529.6</v>
          </cell>
          <cell r="F19">
            <v>662</v>
          </cell>
          <cell r="G19">
            <v>794.4</v>
          </cell>
          <cell r="H19">
            <v>926.8</v>
          </cell>
          <cell r="I19">
            <v>1059.2</v>
          </cell>
          <cell r="J19">
            <v>1191.6000000000001</v>
          </cell>
          <cell r="K19">
            <v>1324.0000000000002</v>
          </cell>
          <cell r="L19">
            <v>1456.4000000000003</v>
          </cell>
          <cell r="M19">
            <v>1588.8000000000004</v>
          </cell>
        </row>
        <row r="20">
          <cell r="A20" t="str">
            <v>3 units IBM PC300GL 166MHz</v>
          </cell>
          <cell r="B20">
            <v>194.5</v>
          </cell>
          <cell r="C20">
            <v>389</v>
          </cell>
          <cell r="D20">
            <v>583.5</v>
          </cell>
          <cell r="E20">
            <v>778</v>
          </cell>
          <cell r="F20">
            <v>972.5</v>
          </cell>
          <cell r="G20">
            <v>1167</v>
          </cell>
          <cell r="H20">
            <v>1361.5</v>
          </cell>
          <cell r="I20">
            <v>1556</v>
          </cell>
          <cell r="J20">
            <v>1750.5</v>
          </cell>
          <cell r="K20">
            <v>1945</v>
          </cell>
          <cell r="L20">
            <v>2139.5</v>
          </cell>
          <cell r="M20">
            <v>2334</v>
          </cell>
        </row>
        <row r="21">
          <cell r="A21" t="str">
            <v>3 units APC Back UPS</v>
          </cell>
          <cell r="B21">
            <v>39</v>
          </cell>
          <cell r="C21">
            <v>78</v>
          </cell>
          <cell r="D21">
            <v>117</v>
          </cell>
          <cell r="E21">
            <v>156</v>
          </cell>
          <cell r="F21">
            <v>195</v>
          </cell>
          <cell r="G21">
            <v>234</v>
          </cell>
          <cell r="H21">
            <v>273</v>
          </cell>
          <cell r="I21">
            <v>312</v>
          </cell>
          <cell r="J21">
            <v>351</v>
          </cell>
          <cell r="K21">
            <v>390</v>
          </cell>
          <cell r="L21">
            <v>429</v>
          </cell>
          <cell r="M21">
            <v>468</v>
          </cell>
        </row>
        <row r="22">
          <cell r="A22" t="str">
            <v>3 units Epson LQ-2170 Printer</v>
          </cell>
          <cell r="B22">
            <v>95</v>
          </cell>
          <cell r="C22">
            <v>190</v>
          </cell>
          <cell r="D22">
            <v>285</v>
          </cell>
          <cell r="E22">
            <v>380</v>
          </cell>
          <cell r="F22">
            <v>475</v>
          </cell>
          <cell r="G22">
            <v>570</v>
          </cell>
          <cell r="H22">
            <v>665</v>
          </cell>
          <cell r="I22">
            <v>760</v>
          </cell>
          <cell r="J22">
            <v>855</v>
          </cell>
          <cell r="K22">
            <v>950</v>
          </cell>
          <cell r="L22">
            <v>1045</v>
          </cell>
          <cell r="M22">
            <v>1140</v>
          </cell>
        </row>
        <row r="23">
          <cell r="A23" t="str">
            <v>1 unit Epson LQ-2070 Printer</v>
          </cell>
          <cell r="B23">
            <v>23.34</v>
          </cell>
          <cell r="C23">
            <v>46.68</v>
          </cell>
          <cell r="D23">
            <v>70.02</v>
          </cell>
          <cell r="E23">
            <v>93.36</v>
          </cell>
          <cell r="F23">
            <v>116.69</v>
          </cell>
          <cell r="G23">
            <v>140.01999999999998</v>
          </cell>
          <cell r="H23">
            <v>163.34999999999997</v>
          </cell>
          <cell r="I23">
            <v>186.67999999999995</v>
          </cell>
          <cell r="J23">
            <v>210.00999999999993</v>
          </cell>
          <cell r="K23">
            <v>233.33999999999992</v>
          </cell>
          <cell r="L23">
            <v>256.6699999999999</v>
          </cell>
          <cell r="M23">
            <v>279.99999999999989</v>
          </cell>
        </row>
        <row r="24">
          <cell r="A24" t="str">
            <v>1 unit Servex 266 MHz computer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170.4</v>
          </cell>
          <cell r="J24">
            <v>340.8</v>
          </cell>
          <cell r="K24">
            <v>511.20000000000005</v>
          </cell>
          <cell r="L24">
            <v>681.6</v>
          </cell>
          <cell r="M24">
            <v>852</v>
          </cell>
        </row>
        <row r="25">
          <cell r="A25" t="str">
            <v>Motor Vehicles 1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 t="str">
            <v>Motor Vehicles 2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 t="str">
            <v>Motor Vehicles 3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1 unit Motorola pager</v>
          </cell>
          <cell r="B28">
            <v>1.88</v>
          </cell>
          <cell r="C28">
            <v>3.76</v>
          </cell>
          <cell r="D28">
            <v>5.64</v>
          </cell>
          <cell r="E28">
            <v>7.52</v>
          </cell>
          <cell r="F28">
            <v>9.3999999999999986</v>
          </cell>
          <cell r="G28">
            <v>11.279999999999998</v>
          </cell>
          <cell r="H28">
            <v>13.149999999999999</v>
          </cell>
          <cell r="I28">
            <v>15.02</v>
          </cell>
          <cell r="J28">
            <v>16.89</v>
          </cell>
          <cell r="K28">
            <v>18.760000000000002</v>
          </cell>
          <cell r="L28">
            <v>20.630000000000003</v>
          </cell>
          <cell r="M28">
            <v>22.500000000000004</v>
          </cell>
        </row>
        <row r="29">
          <cell r="A29" t="str">
            <v>Office Equipment 2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 t="str">
            <v>Office Equipment 3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 t="str">
            <v>Office Equipment 4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6">
          <cell r="B36">
            <v>1370.67</v>
          </cell>
          <cell r="C36">
            <v>2741.34</v>
          </cell>
          <cell r="D36">
            <v>4112.01</v>
          </cell>
          <cell r="E36">
            <v>4883.83</v>
          </cell>
          <cell r="F36">
            <v>5865.9299999999994</v>
          </cell>
          <cell r="G36">
            <v>6848.03</v>
          </cell>
          <cell r="H36">
            <v>7830.0999999999995</v>
          </cell>
          <cell r="I36">
            <v>8982.5700000000015</v>
          </cell>
          <cell r="J36">
            <v>10135.030000000001</v>
          </cell>
          <cell r="K36">
            <v>11287.480000000001</v>
          </cell>
          <cell r="L36">
            <v>12439.93</v>
          </cell>
          <cell r="M36">
            <v>13592.380000000001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JE"/>
    </sheetNames>
    <sheetDataSet>
      <sheetData sheetId="0"/>
      <sheetData sheetId="1">
        <row r="26">
          <cell r="F26">
            <v>9483.9600000000009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7FF6-CEB7-4387-8C04-C512CD89FB0C}">
  <dimension ref="A1:N51"/>
  <sheetViews>
    <sheetView workbookViewId="0">
      <selection activeCell="Q7" sqref="Q7"/>
    </sheetView>
  </sheetViews>
  <sheetFormatPr defaultColWidth="9.140625" defaultRowHeight="12.75" x14ac:dyDescent="0.2"/>
  <cols>
    <col min="1" max="1" width="27.7109375" style="55" customWidth="1"/>
    <col min="2" max="2" width="1.28515625" style="55" customWidth="1"/>
    <col min="3" max="3" width="12.85546875" style="48" customWidth="1"/>
    <col min="4" max="4" width="13.5703125" style="48" bestFit="1" customWidth="1"/>
    <col min="5" max="5" width="1.28515625" style="55" customWidth="1"/>
    <col min="6" max="6" width="11.28515625" style="55" bestFit="1" customWidth="1"/>
    <col min="7" max="7" width="11.28515625" style="55" hidden="1" customWidth="1"/>
    <col min="8" max="8" width="1.28515625" style="55" customWidth="1"/>
    <col min="9" max="9" width="11.85546875" style="55" bestFit="1" customWidth="1"/>
    <col min="10" max="10" width="10.140625" style="55" hidden="1" customWidth="1"/>
    <col min="11" max="11" width="1.28515625" style="55" customWidth="1"/>
    <col min="12" max="12" width="12.85546875" style="55" customWidth="1"/>
    <col min="13" max="14" width="13.5703125" style="55" bestFit="1" customWidth="1"/>
    <col min="15" max="247" width="9.140625" style="55"/>
    <col min="248" max="248" width="27.7109375" style="55" customWidth="1"/>
    <col min="249" max="249" width="1.28515625" style="55" customWidth="1"/>
    <col min="250" max="250" width="12.85546875" style="55" customWidth="1"/>
    <col min="251" max="251" width="13.5703125" style="55" bestFit="1" customWidth="1"/>
    <col min="252" max="252" width="1.28515625" style="55" customWidth="1"/>
    <col min="253" max="254" width="11.28515625" style="55" bestFit="1" customWidth="1"/>
    <col min="255" max="255" width="1.28515625" style="55" customWidth="1"/>
    <col min="256" max="256" width="11.85546875" style="55" bestFit="1" customWidth="1"/>
    <col min="257" max="257" width="9.85546875" style="55" bestFit="1" customWidth="1"/>
    <col min="258" max="258" width="1.28515625" style="55" customWidth="1"/>
    <col min="259" max="259" width="5.28515625" style="55" customWidth="1"/>
    <col min="260" max="260" width="1.28515625" style="55" customWidth="1"/>
    <col min="261" max="261" width="12.85546875" style="55" customWidth="1"/>
    <col min="262" max="262" width="13.5703125" style="55" bestFit="1" customWidth="1"/>
    <col min="263" max="503" width="9.140625" style="55"/>
    <col min="504" max="504" width="27.7109375" style="55" customWidth="1"/>
    <col min="505" max="505" width="1.28515625" style="55" customWidth="1"/>
    <col min="506" max="506" width="12.85546875" style="55" customWidth="1"/>
    <col min="507" max="507" width="13.5703125" style="55" bestFit="1" customWidth="1"/>
    <col min="508" max="508" width="1.28515625" style="55" customWidth="1"/>
    <col min="509" max="510" width="11.28515625" style="55" bestFit="1" customWidth="1"/>
    <col min="511" max="511" width="1.28515625" style="55" customWidth="1"/>
    <col min="512" max="512" width="11.85546875" style="55" bestFit="1" customWidth="1"/>
    <col min="513" max="513" width="9.85546875" style="55" bestFit="1" customWidth="1"/>
    <col min="514" max="514" width="1.28515625" style="55" customWidth="1"/>
    <col min="515" max="515" width="5.28515625" style="55" customWidth="1"/>
    <col min="516" max="516" width="1.28515625" style="55" customWidth="1"/>
    <col min="517" max="517" width="12.85546875" style="55" customWidth="1"/>
    <col min="518" max="518" width="13.5703125" style="55" bestFit="1" customWidth="1"/>
    <col min="519" max="759" width="9.140625" style="55"/>
    <col min="760" max="760" width="27.7109375" style="55" customWidth="1"/>
    <col min="761" max="761" width="1.28515625" style="55" customWidth="1"/>
    <col min="762" max="762" width="12.85546875" style="55" customWidth="1"/>
    <col min="763" max="763" width="13.5703125" style="55" bestFit="1" customWidth="1"/>
    <col min="764" max="764" width="1.28515625" style="55" customWidth="1"/>
    <col min="765" max="766" width="11.28515625" style="55" bestFit="1" customWidth="1"/>
    <col min="767" max="767" width="1.28515625" style="55" customWidth="1"/>
    <col min="768" max="768" width="11.85546875" style="55" bestFit="1" customWidth="1"/>
    <col min="769" max="769" width="9.85546875" style="55" bestFit="1" customWidth="1"/>
    <col min="770" max="770" width="1.28515625" style="55" customWidth="1"/>
    <col min="771" max="771" width="5.28515625" style="55" customWidth="1"/>
    <col min="772" max="772" width="1.28515625" style="55" customWidth="1"/>
    <col min="773" max="773" width="12.85546875" style="55" customWidth="1"/>
    <col min="774" max="774" width="13.5703125" style="55" bestFit="1" customWidth="1"/>
    <col min="775" max="1015" width="9.140625" style="55"/>
    <col min="1016" max="1016" width="27.7109375" style="55" customWidth="1"/>
    <col min="1017" max="1017" width="1.28515625" style="55" customWidth="1"/>
    <col min="1018" max="1018" width="12.85546875" style="55" customWidth="1"/>
    <col min="1019" max="1019" width="13.5703125" style="55" bestFit="1" customWidth="1"/>
    <col min="1020" max="1020" width="1.28515625" style="55" customWidth="1"/>
    <col min="1021" max="1022" width="11.28515625" style="55" bestFit="1" customWidth="1"/>
    <col min="1023" max="1023" width="1.28515625" style="55" customWidth="1"/>
    <col min="1024" max="1024" width="11.85546875" style="55" bestFit="1" customWidth="1"/>
    <col min="1025" max="1025" width="9.85546875" style="55" bestFit="1" customWidth="1"/>
    <col min="1026" max="1026" width="1.28515625" style="55" customWidth="1"/>
    <col min="1027" max="1027" width="5.28515625" style="55" customWidth="1"/>
    <col min="1028" max="1028" width="1.28515625" style="55" customWidth="1"/>
    <col min="1029" max="1029" width="12.85546875" style="55" customWidth="1"/>
    <col min="1030" max="1030" width="13.5703125" style="55" bestFit="1" customWidth="1"/>
    <col min="1031" max="1271" width="9.140625" style="55"/>
    <col min="1272" max="1272" width="27.7109375" style="55" customWidth="1"/>
    <col min="1273" max="1273" width="1.28515625" style="55" customWidth="1"/>
    <col min="1274" max="1274" width="12.85546875" style="55" customWidth="1"/>
    <col min="1275" max="1275" width="13.5703125" style="55" bestFit="1" customWidth="1"/>
    <col min="1276" max="1276" width="1.28515625" style="55" customWidth="1"/>
    <col min="1277" max="1278" width="11.28515625" style="55" bestFit="1" customWidth="1"/>
    <col min="1279" max="1279" width="1.28515625" style="55" customWidth="1"/>
    <col min="1280" max="1280" width="11.85546875" style="55" bestFit="1" customWidth="1"/>
    <col min="1281" max="1281" width="9.85546875" style="55" bestFit="1" customWidth="1"/>
    <col min="1282" max="1282" width="1.28515625" style="55" customWidth="1"/>
    <col min="1283" max="1283" width="5.28515625" style="55" customWidth="1"/>
    <col min="1284" max="1284" width="1.28515625" style="55" customWidth="1"/>
    <col min="1285" max="1285" width="12.85546875" style="55" customWidth="1"/>
    <col min="1286" max="1286" width="13.5703125" style="55" bestFit="1" customWidth="1"/>
    <col min="1287" max="1527" width="9.140625" style="55"/>
    <col min="1528" max="1528" width="27.7109375" style="55" customWidth="1"/>
    <col min="1529" max="1529" width="1.28515625" style="55" customWidth="1"/>
    <col min="1530" max="1530" width="12.85546875" style="55" customWidth="1"/>
    <col min="1531" max="1531" width="13.5703125" style="55" bestFit="1" customWidth="1"/>
    <col min="1532" max="1532" width="1.28515625" style="55" customWidth="1"/>
    <col min="1533" max="1534" width="11.28515625" style="55" bestFit="1" customWidth="1"/>
    <col min="1535" max="1535" width="1.28515625" style="55" customWidth="1"/>
    <col min="1536" max="1536" width="11.85546875" style="55" bestFit="1" customWidth="1"/>
    <col min="1537" max="1537" width="9.85546875" style="55" bestFit="1" customWidth="1"/>
    <col min="1538" max="1538" width="1.28515625" style="55" customWidth="1"/>
    <col min="1539" max="1539" width="5.28515625" style="55" customWidth="1"/>
    <col min="1540" max="1540" width="1.28515625" style="55" customWidth="1"/>
    <col min="1541" max="1541" width="12.85546875" style="55" customWidth="1"/>
    <col min="1542" max="1542" width="13.5703125" style="55" bestFit="1" customWidth="1"/>
    <col min="1543" max="1783" width="9.140625" style="55"/>
    <col min="1784" max="1784" width="27.7109375" style="55" customWidth="1"/>
    <col min="1785" max="1785" width="1.28515625" style="55" customWidth="1"/>
    <col min="1786" max="1786" width="12.85546875" style="55" customWidth="1"/>
    <col min="1787" max="1787" width="13.5703125" style="55" bestFit="1" customWidth="1"/>
    <col min="1788" max="1788" width="1.28515625" style="55" customWidth="1"/>
    <col min="1789" max="1790" width="11.28515625" style="55" bestFit="1" customWidth="1"/>
    <col min="1791" max="1791" width="1.28515625" style="55" customWidth="1"/>
    <col min="1792" max="1792" width="11.85546875" style="55" bestFit="1" customWidth="1"/>
    <col min="1793" max="1793" width="9.85546875" style="55" bestFit="1" customWidth="1"/>
    <col min="1794" max="1794" width="1.28515625" style="55" customWidth="1"/>
    <col min="1795" max="1795" width="5.28515625" style="55" customWidth="1"/>
    <col min="1796" max="1796" width="1.28515625" style="55" customWidth="1"/>
    <col min="1797" max="1797" width="12.85546875" style="55" customWidth="1"/>
    <col min="1798" max="1798" width="13.5703125" style="55" bestFit="1" customWidth="1"/>
    <col min="1799" max="2039" width="9.140625" style="55"/>
    <col min="2040" max="2040" width="27.7109375" style="55" customWidth="1"/>
    <col min="2041" max="2041" width="1.28515625" style="55" customWidth="1"/>
    <col min="2042" max="2042" width="12.85546875" style="55" customWidth="1"/>
    <col min="2043" max="2043" width="13.5703125" style="55" bestFit="1" customWidth="1"/>
    <col min="2044" max="2044" width="1.28515625" style="55" customWidth="1"/>
    <col min="2045" max="2046" width="11.28515625" style="55" bestFit="1" customWidth="1"/>
    <col min="2047" max="2047" width="1.28515625" style="55" customWidth="1"/>
    <col min="2048" max="2048" width="11.85546875" style="55" bestFit="1" customWidth="1"/>
    <col min="2049" max="2049" width="9.85546875" style="55" bestFit="1" customWidth="1"/>
    <col min="2050" max="2050" width="1.28515625" style="55" customWidth="1"/>
    <col min="2051" max="2051" width="5.28515625" style="55" customWidth="1"/>
    <col min="2052" max="2052" width="1.28515625" style="55" customWidth="1"/>
    <col min="2053" max="2053" width="12.85546875" style="55" customWidth="1"/>
    <col min="2054" max="2054" width="13.5703125" style="55" bestFit="1" customWidth="1"/>
    <col min="2055" max="2295" width="9.140625" style="55"/>
    <col min="2296" max="2296" width="27.7109375" style="55" customWidth="1"/>
    <col min="2297" max="2297" width="1.28515625" style="55" customWidth="1"/>
    <col min="2298" max="2298" width="12.85546875" style="55" customWidth="1"/>
    <col min="2299" max="2299" width="13.5703125" style="55" bestFit="1" customWidth="1"/>
    <col min="2300" max="2300" width="1.28515625" style="55" customWidth="1"/>
    <col min="2301" max="2302" width="11.28515625" style="55" bestFit="1" customWidth="1"/>
    <col min="2303" max="2303" width="1.28515625" style="55" customWidth="1"/>
    <col min="2304" max="2304" width="11.85546875" style="55" bestFit="1" customWidth="1"/>
    <col min="2305" max="2305" width="9.85546875" style="55" bestFit="1" customWidth="1"/>
    <col min="2306" max="2306" width="1.28515625" style="55" customWidth="1"/>
    <col min="2307" max="2307" width="5.28515625" style="55" customWidth="1"/>
    <col min="2308" max="2308" width="1.28515625" style="55" customWidth="1"/>
    <col min="2309" max="2309" width="12.85546875" style="55" customWidth="1"/>
    <col min="2310" max="2310" width="13.5703125" style="55" bestFit="1" customWidth="1"/>
    <col min="2311" max="2551" width="9.140625" style="55"/>
    <col min="2552" max="2552" width="27.7109375" style="55" customWidth="1"/>
    <col min="2553" max="2553" width="1.28515625" style="55" customWidth="1"/>
    <col min="2554" max="2554" width="12.85546875" style="55" customWidth="1"/>
    <col min="2555" max="2555" width="13.5703125" style="55" bestFit="1" customWidth="1"/>
    <col min="2556" max="2556" width="1.28515625" style="55" customWidth="1"/>
    <col min="2557" max="2558" width="11.28515625" style="55" bestFit="1" customWidth="1"/>
    <col min="2559" max="2559" width="1.28515625" style="55" customWidth="1"/>
    <col min="2560" max="2560" width="11.85546875" style="55" bestFit="1" customWidth="1"/>
    <col min="2561" max="2561" width="9.85546875" style="55" bestFit="1" customWidth="1"/>
    <col min="2562" max="2562" width="1.28515625" style="55" customWidth="1"/>
    <col min="2563" max="2563" width="5.28515625" style="55" customWidth="1"/>
    <col min="2564" max="2564" width="1.28515625" style="55" customWidth="1"/>
    <col min="2565" max="2565" width="12.85546875" style="55" customWidth="1"/>
    <col min="2566" max="2566" width="13.5703125" style="55" bestFit="1" customWidth="1"/>
    <col min="2567" max="2807" width="9.140625" style="55"/>
    <col min="2808" max="2808" width="27.7109375" style="55" customWidth="1"/>
    <col min="2809" max="2809" width="1.28515625" style="55" customWidth="1"/>
    <col min="2810" max="2810" width="12.85546875" style="55" customWidth="1"/>
    <col min="2811" max="2811" width="13.5703125" style="55" bestFit="1" customWidth="1"/>
    <col min="2812" max="2812" width="1.28515625" style="55" customWidth="1"/>
    <col min="2813" max="2814" width="11.28515625" style="55" bestFit="1" customWidth="1"/>
    <col min="2815" max="2815" width="1.28515625" style="55" customWidth="1"/>
    <col min="2816" max="2816" width="11.85546875" style="55" bestFit="1" customWidth="1"/>
    <col min="2817" max="2817" width="9.85546875" style="55" bestFit="1" customWidth="1"/>
    <col min="2818" max="2818" width="1.28515625" style="55" customWidth="1"/>
    <col min="2819" max="2819" width="5.28515625" style="55" customWidth="1"/>
    <col min="2820" max="2820" width="1.28515625" style="55" customWidth="1"/>
    <col min="2821" max="2821" width="12.85546875" style="55" customWidth="1"/>
    <col min="2822" max="2822" width="13.5703125" style="55" bestFit="1" customWidth="1"/>
    <col min="2823" max="3063" width="9.140625" style="55"/>
    <col min="3064" max="3064" width="27.7109375" style="55" customWidth="1"/>
    <col min="3065" max="3065" width="1.28515625" style="55" customWidth="1"/>
    <col min="3066" max="3066" width="12.85546875" style="55" customWidth="1"/>
    <col min="3067" max="3067" width="13.5703125" style="55" bestFit="1" customWidth="1"/>
    <col min="3068" max="3068" width="1.28515625" style="55" customWidth="1"/>
    <col min="3069" max="3070" width="11.28515625" style="55" bestFit="1" customWidth="1"/>
    <col min="3071" max="3071" width="1.28515625" style="55" customWidth="1"/>
    <col min="3072" max="3072" width="11.85546875" style="55" bestFit="1" customWidth="1"/>
    <col min="3073" max="3073" width="9.85546875" style="55" bestFit="1" customWidth="1"/>
    <col min="3074" max="3074" width="1.28515625" style="55" customWidth="1"/>
    <col min="3075" max="3075" width="5.28515625" style="55" customWidth="1"/>
    <col min="3076" max="3076" width="1.28515625" style="55" customWidth="1"/>
    <col min="3077" max="3077" width="12.85546875" style="55" customWidth="1"/>
    <col min="3078" max="3078" width="13.5703125" style="55" bestFit="1" customWidth="1"/>
    <col min="3079" max="3319" width="9.140625" style="55"/>
    <col min="3320" max="3320" width="27.7109375" style="55" customWidth="1"/>
    <col min="3321" max="3321" width="1.28515625" style="55" customWidth="1"/>
    <col min="3322" max="3322" width="12.85546875" style="55" customWidth="1"/>
    <col min="3323" max="3323" width="13.5703125" style="55" bestFit="1" customWidth="1"/>
    <col min="3324" max="3324" width="1.28515625" style="55" customWidth="1"/>
    <col min="3325" max="3326" width="11.28515625" style="55" bestFit="1" customWidth="1"/>
    <col min="3327" max="3327" width="1.28515625" style="55" customWidth="1"/>
    <col min="3328" max="3328" width="11.85546875" style="55" bestFit="1" customWidth="1"/>
    <col min="3329" max="3329" width="9.85546875" style="55" bestFit="1" customWidth="1"/>
    <col min="3330" max="3330" width="1.28515625" style="55" customWidth="1"/>
    <col min="3331" max="3331" width="5.28515625" style="55" customWidth="1"/>
    <col min="3332" max="3332" width="1.28515625" style="55" customWidth="1"/>
    <col min="3333" max="3333" width="12.85546875" style="55" customWidth="1"/>
    <col min="3334" max="3334" width="13.5703125" style="55" bestFit="1" customWidth="1"/>
    <col min="3335" max="3575" width="9.140625" style="55"/>
    <col min="3576" max="3576" width="27.7109375" style="55" customWidth="1"/>
    <col min="3577" max="3577" width="1.28515625" style="55" customWidth="1"/>
    <col min="3578" max="3578" width="12.85546875" style="55" customWidth="1"/>
    <col min="3579" max="3579" width="13.5703125" style="55" bestFit="1" customWidth="1"/>
    <col min="3580" max="3580" width="1.28515625" style="55" customWidth="1"/>
    <col min="3581" max="3582" width="11.28515625" style="55" bestFit="1" customWidth="1"/>
    <col min="3583" max="3583" width="1.28515625" style="55" customWidth="1"/>
    <col min="3584" max="3584" width="11.85546875" style="55" bestFit="1" customWidth="1"/>
    <col min="3585" max="3585" width="9.85546875" style="55" bestFit="1" customWidth="1"/>
    <col min="3586" max="3586" width="1.28515625" style="55" customWidth="1"/>
    <col min="3587" max="3587" width="5.28515625" style="55" customWidth="1"/>
    <col min="3588" max="3588" width="1.28515625" style="55" customWidth="1"/>
    <col min="3589" max="3589" width="12.85546875" style="55" customWidth="1"/>
    <col min="3590" max="3590" width="13.5703125" style="55" bestFit="1" customWidth="1"/>
    <col min="3591" max="3831" width="9.140625" style="55"/>
    <col min="3832" max="3832" width="27.7109375" style="55" customWidth="1"/>
    <col min="3833" max="3833" width="1.28515625" style="55" customWidth="1"/>
    <col min="3834" max="3834" width="12.85546875" style="55" customWidth="1"/>
    <col min="3835" max="3835" width="13.5703125" style="55" bestFit="1" customWidth="1"/>
    <col min="3836" max="3836" width="1.28515625" style="55" customWidth="1"/>
    <col min="3837" max="3838" width="11.28515625" style="55" bestFit="1" customWidth="1"/>
    <col min="3839" max="3839" width="1.28515625" style="55" customWidth="1"/>
    <col min="3840" max="3840" width="11.85546875" style="55" bestFit="1" customWidth="1"/>
    <col min="3841" max="3841" width="9.85546875" style="55" bestFit="1" customWidth="1"/>
    <col min="3842" max="3842" width="1.28515625" style="55" customWidth="1"/>
    <col min="3843" max="3843" width="5.28515625" style="55" customWidth="1"/>
    <col min="3844" max="3844" width="1.28515625" style="55" customWidth="1"/>
    <col min="3845" max="3845" width="12.85546875" style="55" customWidth="1"/>
    <col min="3846" max="3846" width="13.5703125" style="55" bestFit="1" customWidth="1"/>
    <col min="3847" max="4087" width="9.140625" style="55"/>
    <col min="4088" max="4088" width="27.7109375" style="55" customWidth="1"/>
    <col min="4089" max="4089" width="1.28515625" style="55" customWidth="1"/>
    <col min="4090" max="4090" width="12.85546875" style="55" customWidth="1"/>
    <col min="4091" max="4091" width="13.5703125" style="55" bestFit="1" customWidth="1"/>
    <col min="4092" max="4092" width="1.28515625" style="55" customWidth="1"/>
    <col min="4093" max="4094" width="11.28515625" style="55" bestFit="1" customWidth="1"/>
    <col min="4095" max="4095" width="1.28515625" style="55" customWidth="1"/>
    <col min="4096" max="4096" width="11.85546875" style="55" bestFit="1" customWidth="1"/>
    <col min="4097" max="4097" width="9.85546875" style="55" bestFit="1" customWidth="1"/>
    <col min="4098" max="4098" width="1.28515625" style="55" customWidth="1"/>
    <col min="4099" max="4099" width="5.28515625" style="55" customWidth="1"/>
    <col min="4100" max="4100" width="1.28515625" style="55" customWidth="1"/>
    <col min="4101" max="4101" width="12.85546875" style="55" customWidth="1"/>
    <col min="4102" max="4102" width="13.5703125" style="55" bestFit="1" customWidth="1"/>
    <col min="4103" max="4343" width="9.140625" style="55"/>
    <col min="4344" max="4344" width="27.7109375" style="55" customWidth="1"/>
    <col min="4345" max="4345" width="1.28515625" style="55" customWidth="1"/>
    <col min="4346" max="4346" width="12.85546875" style="55" customWidth="1"/>
    <col min="4347" max="4347" width="13.5703125" style="55" bestFit="1" customWidth="1"/>
    <col min="4348" max="4348" width="1.28515625" style="55" customWidth="1"/>
    <col min="4349" max="4350" width="11.28515625" style="55" bestFit="1" customWidth="1"/>
    <col min="4351" max="4351" width="1.28515625" style="55" customWidth="1"/>
    <col min="4352" max="4352" width="11.85546875" style="55" bestFit="1" customWidth="1"/>
    <col min="4353" max="4353" width="9.85546875" style="55" bestFit="1" customWidth="1"/>
    <col min="4354" max="4354" width="1.28515625" style="55" customWidth="1"/>
    <col min="4355" max="4355" width="5.28515625" style="55" customWidth="1"/>
    <col min="4356" max="4356" width="1.28515625" style="55" customWidth="1"/>
    <col min="4357" max="4357" width="12.85546875" style="55" customWidth="1"/>
    <col min="4358" max="4358" width="13.5703125" style="55" bestFit="1" customWidth="1"/>
    <col min="4359" max="4599" width="9.140625" style="55"/>
    <col min="4600" max="4600" width="27.7109375" style="55" customWidth="1"/>
    <col min="4601" max="4601" width="1.28515625" style="55" customWidth="1"/>
    <col min="4602" max="4602" width="12.85546875" style="55" customWidth="1"/>
    <col min="4603" max="4603" width="13.5703125" style="55" bestFit="1" customWidth="1"/>
    <col min="4604" max="4604" width="1.28515625" style="55" customWidth="1"/>
    <col min="4605" max="4606" width="11.28515625" style="55" bestFit="1" customWidth="1"/>
    <col min="4607" max="4607" width="1.28515625" style="55" customWidth="1"/>
    <col min="4608" max="4608" width="11.85546875" style="55" bestFit="1" customWidth="1"/>
    <col min="4609" max="4609" width="9.85546875" style="55" bestFit="1" customWidth="1"/>
    <col min="4610" max="4610" width="1.28515625" style="55" customWidth="1"/>
    <col min="4611" max="4611" width="5.28515625" style="55" customWidth="1"/>
    <col min="4612" max="4612" width="1.28515625" style="55" customWidth="1"/>
    <col min="4613" max="4613" width="12.85546875" style="55" customWidth="1"/>
    <col min="4614" max="4614" width="13.5703125" style="55" bestFit="1" customWidth="1"/>
    <col min="4615" max="4855" width="9.140625" style="55"/>
    <col min="4856" max="4856" width="27.7109375" style="55" customWidth="1"/>
    <col min="4857" max="4857" width="1.28515625" style="55" customWidth="1"/>
    <col min="4858" max="4858" width="12.85546875" style="55" customWidth="1"/>
    <col min="4859" max="4859" width="13.5703125" style="55" bestFit="1" customWidth="1"/>
    <col min="4860" max="4860" width="1.28515625" style="55" customWidth="1"/>
    <col min="4861" max="4862" width="11.28515625" style="55" bestFit="1" customWidth="1"/>
    <col min="4863" max="4863" width="1.28515625" style="55" customWidth="1"/>
    <col min="4864" max="4864" width="11.85546875" style="55" bestFit="1" customWidth="1"/>
    <col min="4865" max="4865" width="9.85546875" style="55" bestFit="1" customWidth="1"/>
    <col min="4866" max="4866" width="1.28515625" style="55" customWidth="1"/>
    <col min="4867" max="4867" width="5.28515625" style="55" customWidth="1"/>
    <col min="4868" max="4868" width="1.28515625" style="55" customWidth="1"/>
    <col min="4869" max="4869" width="12.85546875" style="55" customWidth="1"/>
    <col min="4870" max="4870" width="13.5703125" style="55" bestFit="1" customWidth="1"/>
    <col min="4871" max="5111" width="9.140625" style="55"/>
    <col min="5112" max="5112" width="27.7109375" style="55" customWidth="1"/>
    <col min="5113" max="5113" width="1.28515625" style="55" customWidth="1"/>
    <col min="5114" max="5114" width="12.85546875" style="55" customWidth="1"/>
    <col min="5115" max="5115" width="13.5703125" style="55" bestFit="1" customWidth="1"/>
    <col min="5116" max="5116" width="1.28515625" style="55" customWidth="1"/>
    <col min="5117" max="5118" width="11.28515625" style="55" bestFit="1" customWidth="1"/>
    <col min="5119" max="5119" width="1.28515625" style="55" customWidth="1"/>
    <col min="5120" max="5120" width="11.85546875" style="55" bestFit="1" customWidth="1"/>
    <col min="5121" max="5121" width="9.85546875" style="55" bestFit="1" customWidth="1"/>
    <col min="5122" max="5122" width="1.28515625" style="55" customWidth="1"/>
    <col min="5123" max="5123" width="5.28515625" style="55" customWidth="1"/>
    <col min="5124" max="5124" width="1.28515625" style="55" customWidth="1"/>
    <col min="5125" max="5125" width="12.85546875" style="55" customWidth="1"/>
    <col min="5126" max="5126" width="13.5703125" style="55" bestFit="1" customWidth="1"/>
    <col min="5127" max="5367" width="9.140625" style="55"/>
    <col min="5368" max="5368" width="27.7109375" style="55" customWidth="1"/>
    <col min="5369" max="5369" width="1.28515625" style="55" customWidth="1"/>
    <col min="5370" max="5370" width="12.85546875" style="55" customWidth="1"/>
    <col min="5371" max="5371" width="13.5703125" style="55" bestFit="1" customWidth="1"/>
    <col min="5372" max="5372" width="1.28515625" style="55" customWidth="1"/>
    <col min="5373" max="5374" width="11.28515625" style="55" bestFit="1" customWidth="1"/>
    <col min="5375" max="5375" width="1.28515625" style="55" customWidth="1"/>
    <col min="5376" max="5376" width="11.85546875" style="55" bestFit="1" customWidth="1"/>
    <col min="5377" max="5377" width="9.85546875" style="55" bestFit="1" customWidth="1"/>
    <col min="5378" max="5378" width="1.28515625" style="55" customWidth="1"/>
    <col min="5379" max="5379" width="5.28515625" style="55" customWidth="1"/>
    <col min="5380" max="5380" width="1.28515625" style="55" customWidth="1"/>
    <col min="5381" max="5381" width="12.85546875" style="55" customWidth="1"/>
    <col min="5382" max="5382" width="13.5703125" style="55" bestFit="1" customWidth="1"/>
    <col min="5383" max="5623" width="9.140625" style="55"/>
    <col min="5624" max="5624" width="27.7109375" style="55" customWidth="1"/>
    <col min="5625" max="5625" width="1.28515625" style="55" customWidth="1"/>
    <col min="5626" max="5626" width="12.85546875" style="55" customWidth="1"/>
    <col min="5627" max="5627" width="13.5703125" style="55" bestFit="1" customWidth="1"/>
    <col min="5628" max="5628" width="1.28515625" style="55" customWidth="1"/>
    <col min="5629" max="5630" width="11.28515625" style="55" bestFit="1" customWidth="1"/>
    <col min="5631" max="5631" width="1.28515625" style="55" customWidth="1"/>
    <col min="5632" max="5632" width="11.85546875" style="55" bestFit="1" customWidth="1"/>
    <col min="5633" max="5633" width="9.85546875" style="55" bestFit="1" customWidth="1"/>
    <col min="5634" max="5634" width="1.28515625" style="55" customWidth="1"/>
    <col min="5635" max="5635" width="5.28515625" style="55" customWidth="1"/>
    <col min="5636" max="5636" width="1.28515625" style="55" customWidth="1"/>
    <col min="5637" max="5637" width="12.85546875" style="55" customWidth="1"/>
    <col min="5638" max="5638" width="13.5703125" style="55" bestFit="1" customWidth="1"/>
    <col min="5639" max="5879" width="9.140625" style="55"/>
    <col min="5880" max="5880" width="27.7109375" style="55" customWidth="1"/>
    <col min="5881" max="5881" width="1.28515625" style="55" customWidth="1"/>
    <col min="5882" max="5882" width="12.85546875" style="55" customWidth="1"/>
    <col min="5883" max="5883" width="13.5703125" style="55" bestFit="1" customWidth="1"/>
    <col min="5884" max="5884" width="1.28515625" style="55" customWidth="1"/>
    <col min="5885" max="5886" width="11.28515625" style="55" bestFit="1" customWidth="1"/>
    <col min="5887" max="5887" width="1.28515625" style="55" customWidth="1"/>
    <col min="5888" max="5888" width="11.85546875" style="55" bestFit="1" customWidth="1"/>
    <col min="5889" max="5889" width="9.85546875" style="55" bestFit="1" customWidth="1"/>
    <col min="5890" max="5890" width="1.28515625" style="55" customWidth="1"/>
    <col min="5891" max="5891" width="5.28515625" style="55" customWidth="1"/>
    <col min="5892" max="5892" width="1.28515625" style="55" customWidth="1"/>
    <col min="5893" max="5893" width="12.85546875" style="55" customWidth="1"/>
    <col min="5894" max="5894" width="13.5703125" style="55" bestFit="1" customWidth="1"/>
    <col min="5895" max="6135" width="9.140625" style="55"/>
    <col min="6136" max="6136" width="27.7109375" style="55" customWidth="1"/>
    <col min="6137" max="6137" width="1.28515625" style="55" customWidth="1"/>
    <col min="6138" max="6138" width="12.85546875" style="55" customWidth="1"/>
    <col min="6139" max="6139" width="13.5703125" style="55" bestFit="1" customWidth="1"/>
    <col min="6140" max="6140" width="1.28515625" style="55" customWidth="1"/>
    <col min="6141" max="6142" width="11.28515625" style="55" bestFit="1" customWidth="1"/>
    <col min="6143" max="6143" width="1.28515625" style="55" customWidth="1"/>
    <col min="6144" max="6144" width="11.85546875" style="55" bestFit="1" customWidth="1"/>
    <col min="6145" max="6145" width="9.85546875" style="55" bestFit="1" customWidth="1"/>
    <col min="6146" max="6146" width="1.28515625" style="55" customWidth="1"/>
    <col min="6147" max="6147" width="5.28515625" style="55" customWidth="1"/>
    <col min="6148" max="6148" width="1.28515625" style="55" customWidth="1"/>
    <col min="6149" max="6149" width="12.85546875" style="55" customWidth="1"/>
    <col min="6150" max="6150" width="13.5703125" style="55" bestFit="1" customWidth="1"/>
    <col min="6151" max="6391" width="9.140625" style="55"/>
    <col min="6392" max="6392" width="27.7109375" style="55" customWidth="1"/>
    <col min="6393" max="6393" width="1.28515625" style="55" customWidth="1"/>
    <col min="6394" max="6394" width="12.85546875" style="55" customWidth="1"/>
    <col min="6395" max="6395" width="13.5703125" style="55" bestFit="1" customWidth="1"/>
    <col min="6396" max="6396" width="1.28515625" style="55" customWidth="1"/>
    <col min="6397" max="6398" width="11.28515625" style="55" bestFit="1" customWidth="1"/>
    <col min="6399" max="6399" width="1.28515625" style="55" customWidth="1"/>
    <col min="6400" max="6400" width="11.85546875" style="55" bestFit="1" customWidth="1"/>
    <col min="6401" max="6401" width="9.85546875" style="55" bestFit="1" customWidth="1"/>
    <col min="6402" max="6402" width="1.28515625" style="55" customWidth="1"/>
    <col min="6403" max="6403" width="5.28515625" style="55" customWidth="1"/>
    <col min="6404" max="6404" width="1.28515625" style="55" customWidth="1"/>
    <col min="6405" max="6405" width="12.85546875" style="55" customWidth="1"/>
    <col min="6406" max="6406" width="13.5703125" style="55" bestFit="1" customWidth="1"/>
    <col min="6407" max="6647" width="9.140625" style="55"/>
    <col min="6648" max="6648" width="27.7109375" style="55" customWidth="1"/>
    <col min="6649" max="6649" width="1.28515625" style="55" customWidth="1"/>
    <col min="6650" max="6650" width="12.85546875" style="55" customWidth="1"/>
    <col min="6651" max="6651" width="13.5703125" style="55" bestFit="1" customWidth="1"/>
    <col min="6652" max="6652" width="1.28515625" style="55" customWidth="1"/>
    <col min="6653" max="6654" width="11.28515625" style="55" bestFit="1" customWidth="1"/>
    <col min="6655" max="6655" width="1.28515625" style="55" customWidth="1"/>
    <col min="6656" max="6656" width="11.85546875" style="55" bestFit="1" customWidth="1"/>
    <col min="6657" max="6657" width="9.85546875" style="55" bestFit="1" customWidth="1"/>
    <col min="6658" max="6658" width="1.28515625" style="55" customWidth="1"/>
    <col min="6659" max="6659" width="5.28515625" style="55" customWidth="1"/>
    <col min="6660" max="6660" width="1.28515625" style="55" customWidth="1"/>
    <col min="6661" max="6661" width="12.85546875" style="55" customWidth="1"/>
    <col min="6662" max="6662" width="13.5703125" style="55" bestFit="1" customWidth="1"/>
    <col min="6663" max="6903" width="9.140625" style="55"/>
    <col min="6904" max="6904" width="27.7109375" style="55" customWidth="1"/>
    <col min="6905" max="6905" width="1.28515625" style="55" customWidth="1"/>
    <col min="6906" max="6906" width="12.85546875" style="55" customWidth="1"/>
    <col min="6907" max="6907" width="13.5703125" style="55" bestFit="1" customWidth="1"/>
    <col min="6908" max="6908" width="1.28515625" style="55" customWidth="1"/>
    <col min="6909" max="6910" width="11.28515625" style="55" bestFit="1" customWidth="1"/>
    <col min="6911" max="6911" width="1.28515625" style="55" customWidth="1"/>
    <col min="6912" max="6912" width="11.85546875" style="55" bestFit="1" customWidth="1"/>
    <col min="6913" max="6913" width="9.85546875" style="55" bestFit="1" customWidth="1"/>
    <col min="6914" max="6914" width="1.28515625" style="55" customWidth="1"/>
    <col min="6915" max="6915" width="5.28515625" style="55" customWidth="1"/>
    <col min="6916" max="6916" width="1.28515625" style="55" customWidth="1"/>
    <col min="6917" max="6917" width="12.85546875" style="55" customWidth="1"/>
    <col min="6918" max="6918" width="13.5703125" style="55" bestFit="1" customWidth="1"/>
    <col min="6919" max="7159" width="9.140625" style="55"/>
    <col min="7160" max="7160" width="27.7109375" style="55" customWidth="1"/>
    <col min="7161" max="7161" width="1.28515625" style="55" customWidth="1"/>
    <col min="7162" max="7162" width="12.85546875" style="55" customWidth="1"/>
    <col min="7163" max="7163" width="13.5703125" style="55" bestFit="1" customWidth="1"/>
    <col min="7164" max="7164" width="1.28515625" style="55" customWidth="1"/>
    <col min="7165" max="7166" width="11.28515625" style="55" bestFit="1" customWidth="1"/>
    <col min="7167" max="7167" width="1.28515625" style="55" customWidth="1"/>
    <col min="7168" max="7168" width="11.85546875" style="55" bestFit="1" customWidth="1"/>
    <col min="7169" max="7169" width="9.85546875" style="55" bestFit="1" customWidth="1"/>
    <col min="7170" max="7170" width="1.28515625" style="55" customWidth="1"/>
    <col min="7171" max="7171" width="5.28515625" style="55" customWidth="1"/>
    <col min="7172" max="7172" width="1.28515625" style="55" customWidth="1"/>
    <col min="7173" max="7173" width="12.85546875" style="55" customWidth="1"/>
    <col min="7174" max="7174" width="13.5703125" style="55" bestFit="1" customWidth="1"/>
    <col min="7175" max="7415" width="9.140625" style="55"/>
    <col min="7416" max="7416" width="27.7109375" style="55" customWidth="1"/>
    <col min="7417" max="7417" width="1.28515625" style="55" customWidth="1"/>
    <col min="7418" max="7418" width="12.85546875" style="55" customWidth="1"/>
    <col min="7419" max="7419" width="13.5703125" style="55" bestFit="1" customWidth="1"/>
    <col min="7420" max="7420" width="1.28515625" style="55" customWidth="1"/>
    <col min="7421" max="7422" width="11.28515625" style="55" bestFit="1" customWidth="1"/>
    <col min="7423" max="7423" width="1.28515625" style="55" customWidth="1"/>
    <col min="7424" max="7424" width="11.85546875" style="55" bestFit="1" customWidth="1"/>
    <col min="7425" max="7425" width="9.85546875" style="55" bestFit="1" customWidth="1"/>
    <col min="7426" max="7426" width="1.28515625" style="55" customWidth="1"/>
    <col min="7427" max="7427" width="5.28515625" style="55" customWidth="1"/>
    <col min="7428" max="7428" width="1.28515625" style="55" customWidth="1"/>
    <col min="7429" max="7429" width="12.85546875" style="55" customWidth="1"/>
    <col min="7430" max="7430" width="13.5703125" style="55" bestFit="1" customWidth="1"/>
    <col min="7431" max="7671" width="9.140625" style="55"/>
    <col min="7672" max="7672" width="27.7109375" style="55" customWidth="1"/>
    <col min="7673" max="7673" width="1.28515625" style="55" customWidth="1"/>
    <col min="7674" max="7674" width="12.85546875" style="55" customWidth="1"/>
    <col min="7675" max="7675" width="13.5703125" style="55" bestFit="1" customWidth="1"/>
    <col min="7676" max="7676" width="1.28515625" style="55" customWidth="1"/>
    <col min="7677" max="7678" width="11.28515625" style="55" bestFit="1" customWidth="1"/>
    <col min="7679" max="7679" width="1.28515625" style="55" customWidth="1"/>
    <col min="7680" max="7680" width="11.85546875" style="55" bestFit="1" customWidth="1"/>
    <col min="7681" max="7681" width="9.85546875" style="55" bestFit="1" customWidth="1"/>
    <col min="7682" max="7682" width="1.28515625" style="55" customWidth="1"/>
    <col min="7683" max="7683" width="5.28515625" style="55" customWidth="1"/>
    <col min="7684" max="7684" width="1.28515625" style="55" customWidth="1"/>
    <col min="7685" max="7685" width="12.85546875" style="55" customWidth="1"/>
    <col min="7686" max="7686" width="13.5703125" style="55" bestFit="1" customWidth="1"/>
    <col min="7687" max="7927" width="9.140625" style="55"/>
    <col min="7928" max="7928" width="27.7109375" style="55" customWidth="1"/>
    <col min="7929" max="7929" width="1.28515625" style="55" customWidth="1"/>
    <col min="7930" max="7930" width="12.85546875" style="55" customWidth="1"/>
    <col min="7931" max="7931" width="13.5703125" style="55" bestFit="1" customWidth="1"/>
    <col min="7932" max="7932" width="1.28515625" style="55" customWidth="1"/>
    <col min="7933" max="7934" width="11.28515625" style="55" bestFit="1" customWidth="1"/>
    <col min="7935" max="7935" width="1.28515625" style="55" customWidth="1"/>
    <col min="7936" max="7936" width="11.85546875" style="55" bestFit="1" customWidth="1"/>
    <col min="7937" max="7937" width="9.85546875" style="55" bestFit="1" customWidth="1"/>
    <col min="7938" max="7938" width="1.28515625" style="55" customWidth="1"/>
    <col min="7939" max="7939" width="5.28515625" style="55" customWidth="1"/>
    <col min="7940" max="7940" width="1.28515625" style="55" customWidth="1"/>
    <col min="7941" max="7941" width="12.85546875" style="55" customWidth="1"/>
    <col min="7942" max="7942" width="13.5703125" style="55" bestFit="1" customWidth="1"/>
    <col min="7943" max="8183" width="9.140625" style="55"/>
    <col min="8184" max="8184" width="27.7109375" style="55" customWidth="1"/>
    <col min="8185" max="8185" width="1.28515625" style="55" customWidth="1"/>
    <col min="8186" max="8186" width="12.85546875" style="55" customWidth="1"/>
    <col min="8187" max="8187" width="13.5703125" style="55" bestFit="1" customWidth="1"/>
    <col min="8188" max="8188" width="1.28515625" style="55" customWidth="1"/>
    <col min="8189" max="8190" width="11.28515625" style="55" bestFit="1" customWidth="1"/>
    <col min="8191" max="8191" width="1.28515625" style="55" customWidth="1"/>
    <col min="8192" max="8192" width="11.85546875" style="55" bestFit="1" customWidth="1"/>
    <col min="8193" max="8193" width="9.85546875" style="55" bestFit="1" customWidth="1"/>
    <col min="8194" max="8194" width="1.28515625" style="55" customWidth="1"/>
    <col min="8195" max="8195" width="5.28515625" style="55" customWidth="1"/>
    <col min="8196" max="8196" width="1.28515625" style="55" customWidth="1"/>
    <col min="8197" max="8197" width="12.85546875" style="55" customWidth="1"/>
    <col min="8198" max="8198" width="13.5703125" style="55" bestFit="1" customWidth="1"/>
    <col min="8199" max="8439" width="9.140625" style="55"/>
    <col min="8440" max="8440" width="27.7109375" style="55" customWidth="1"/>
    <col min="8441" max="8441" width="1.28515625" style="55" customWidth="1"/>
    <col min="8442" max="8442" width="12.85546875" style="55" customWidth="1"/>
    <col min="8443" max="8443" width="13.5703125" style="55" bestFit="1" customWidth="1"/>
    <col min="8444" max="8444" width="1.28515625" style="55" customWidth="1"/>
    <col min="8445" max="8446" width="11.28515625" style="55" bestFit="1" customWidth="1"/>
    <col min="8447" max="8447" width="1.28515625" style="55" customWidth="1"/>
    <col min="8448" max="8448" width="11.85546875" style="55" bestFit="1" customWidth="1"/>
    <col min="8449" max="8449" width="9.85546875" style="55" bestFit="1" customWidth="1"/>
    <col min="8450" max="8450" width="1.28515625" style="55" customWidth="1"/>
    <col min="8451" max="8451" width="5.28515625" style="55" customWidth="1"/>
    <col min="8452" max="8452" width="1.28515625" style="55" customWidth="1"/>
    <col min="8453" max="8453" width="12.85546875" style="55" customWidth="1"/>
    <col min="8454" max="8454" width="13.5703125" style="55" bestFit="1" customWidth="1"/>
    <col min="8455" max="8695" width="9.140625" style="55"/>
    <col min="8696" max="8696" width="27.7109375" style="55" customWidth="1"/>
    <col min="8697" max="8697" width="1.28515625" style="55" customWidth="1"/>
    <col min="8698" max="8698" width="12.85546875" style="55" customWidth="1"/>
    <col min="8699" max="8699" width="13.5703125" style="55" bestFit="1" customWidth="1"/>
    <col min="8700" max="8700" width="1.28515625" style="55" customWidth="1"/>
    <col min="8701" max="8702" width="11.28515625" style="55" bestFit="1" customWidth="1"/>
    <col min="8703" max="8703" width="1.28515625" style="55" customWidth="1"/>
    <col min="8704" max="8704" width="11.85546875" style="55" bestFit="1" customWidth="1"/>
    <col min="8705" max="8705" width="9.85546875" style="55" bestFit="1" customWidth="1"/>
    <col min="8706" max="8706" width="1.28515625" style="55" customWidth="1"/>
    <col min="8707" max="8707" width="5.28515625" style="55" customWidth="1"/>
    <col min="8708" max="8708" width="1.28515625" style="55" customWidth="1"/>
    <col min="8709" max="8709" width="12.85546875" style="55" customWidth="1"/>
    <col min="8710" max="8710" width="13.5703125" style="55" bestFit="1" customWidth="1"/>
    <col min="8711" max="8951" width="9.140625" style="55"/>
    <col min="8952" max="8952" width="27.7109375" style="55" customWidth="1"/>
    <col min="8953" max="8953" width="1.28515625" style="55" customWidth="1"/>
    <col min="8954" max="8954" width="12.85546875" style="55" customWidth="1"/>
    <col min="8955" max="8955" width="13.5703125" style="55" bestFit="1" customWidth="1"/>
    <col min="8956" max="8956" width="1.28515625" style="55" customWidth="1"/>
    <col min="8957" max="8958" width="11.28515625" style="55" bestFit="1" customWidth="1"/>
    <col min="8959" max="8959" width="1.28515625" style="55" customWidth="1"/>
    <col min="8960" max="8960" width="11.85546875" style="55" bestFit="1" customWidth="1"/>
    <col min="8961" max="8961" width="9.85546875" style="55" bestFit="1" customWidth="1"/>
    <col min="8962" max="8962" width="1.28515625" style="55" customWidth="1"/>
    <col min="8963" max="8963" width="5.28515625" style="55" customWidth="1"/>
    <col min="8964" max="8964" width="1.28515625" style="55" customWidth="1"/>
    <col min="8965" max="8965" width="12.85546875" style="55" customWidth="1"/>
    <col min="8966" max="8966" width="13.5703125" style="55" bestFit="1" customWidth="1"/>
    <col min="8967" max="9207" width="9.140625" style="55"/>
    <col min="9208" max="9208" width="27.7109375" style="55" customWidth="1"/>
    <col min="9209" max="9209" width="1.28515625" style="55" customWidth="1"/>
    <col min="9210" max="9210" width="12.85546875" style="55" customWidth="1"/>
    <col min="9211" max="9211" width="13.5703125" style="55" bestFit="1" customWidth="1"/>
    <col min="9212" max="9212" width="1.28515625" style="55" customWidth="1"/>
    <col min="9213" max="9214" width="11.28515625" style="55" bestFit="1" customWidth="1"/>
    <col min="9215" max="9215" width="1.28515625" style="55" customWidth="1"/>
    <col min="9216" max="9216" width="11.85546875" style="55" bestFit="1" customWidth="1"/>
    <col min="9217" max="9217" width="9.85546875" style="55" bestFit="1" customWidth="1"/>
    <col min="9218" max="9218" width="1.28515625" style="55" customWidth="1"/>
    <col min="9219" max="9219" width="5.28515625" style="55" customWidth="1"/>
    <col min="9220" max="9220" width="1.28515625" style="55" customWidth="1"/>
    <col min="9221" max="9221" width="12.85546875" style="55" customWidth="1"/>
    <col min="9222" max="9222" width="13.5703125" style="55" bestFit="1" customWidth="1"/>
    <col min="9223" max="9463" width="9.140625" style="55"/>
    <col min="9464" max="9464" width="27.7109375" style="55" customWidth="1"/>
    <col min="9465" max="9465" width="1.28515625" style="55" customWidth="1"/>
    <col min="9466" max="9466" width="12.85546875" style="55" customWidth="1"/>
    <col min="9467" max="9467" width="13.5703125" style="55" bestFit="1" customWidth="1"/>
    <col min="9468" max="9468" width="1.28515625" style="55" customWidth="1"/>
    <col min="9469" max="9470" width="11.28515625" style="55" bestFit="1" customWidth="1"/>
    <col min="9471" max="9471" width="1.28515625" style="55" customWidth="1"/>
    <col min="9472" max="9472" width="11.85546875" style="55" bestFit="1" customWidth="1"/>
    <col min="9473" max="9473" width="9.85546875" style="55" bestFit="1" customWidth="1"/>
    <col min="9474" max="9474" width="1.28515625" style="55" customWidth="1"/>
    <col min="9475" max="9475" width="5.28515625" style="55" customWidth="1"/>
    <col min="9476" max="9476" width="1.28515625" style="55" customWidth="1"/>
    <col min="9477" max="9477" width="12.85546875" style="55" customWidth="1"/>
    <col min="9478" max="9478" width="13.5703125" style="55" bestFit="1" customWidth="1"/>
    <col min="9479" max="9719" width="9.140625" style="55"/>
    <col min="9720" max="9720" width="27.7109375" style="55" customWidth="1"/>
    <col min="9721" max="9721" width="1.28515625" style="55" customWidth="1"/>
    <col min="9722" max="9722" width="12.85546875" style="55" customWidth="1"/>
    <col min="9723" max="9723" width="13.5703125" style="55" bestFit="1" customWidth="1"/>
    <col min="9724" max="9724" width="1.28515625" style="55" customWidth="1"/>
    <col min="9725" max="9726" width="11.28515625" style="55" bestFit="1" customWidth="1"/>
    <col min="9727" max="9727" width="1.28515625" style="55" customWidth="1"/>
    <col min="9728" max="9728" width="11.85546875" style="55" bestFit="1" customWidth="1"/>
    <col min="9729" max="9729" width="9.85546875" style="55" bestFit="1" customWidth="1"/>
    <col min="9730" max="9730" width="1.28515625" style="55" customWidth="1"/>
    <col min="9731" max="9731" width="5.28515625" style="55" customWidth="1"/>
    <col min="9732" max="9732" width="1.28515625" style="55" customWidth="1"/>
    <col min="9733" max="9733" width="12.85546875" style="55" customWidth="1"/>
    <col min="9734" max="9734" width="13.5703125" style="55" bestFit="1" customWidth="1"/>
    <col min="9735" max="9975" width="9.140625" style="55"/>
    <col min="9976" max="9976" width="27.7109375" style="55" customWidth="1"/>
    <col min="9977" max="9977" width="1.28515625" style="55" customWidth="1"/>
    <col min="9978" max="9978" width="12.85546875" style="55" customWidth="1"/>
    <col min="9979" max="9979" width="13.5703125" style="55" bestFit="1" customWidth="1"/>
    <col min="9980" max="9980" width="1.28515625" style="55" customWidth="1"/>
    <col min="9981" max="9982" width="11.28515625" style="55" bestFit="1" customWidth="1"/>
    <col min="9983" max="9983" width="1.28515625" style="55" customWidth="1"/>
    <col min="9984" max="9984" width="11.85546875" style="55" bestFit="1" customWidth="1"/>
    <col min="9985" max="9985" width="9.85546875" style="55" bestFit="1" customWidth="1"/>
    <col min="9986" max="9986" width="1.28515625" style="55" customWidth="1"/>
    <col min="9987" max="9987" width="5.28515625" style="55" customWidth="1"/>
    <col min="9988" max="9988" width="1.28515625" style="55" customWidth="1"/>
    <col min="9989" max="9989" width="12.85546875" style="55" customWidth="1"/>
    <col min="9990" max="9990" width="13.5703125" style="55" bestFit="1" customWidth="1"/>
    <col min="9991" max="10231" width="9.140625" style="55"/>
    <col min="10232" max="10232" width="27.7109375" style="55" customWidth="1"/>
    <col min="10233" max="10233" width="1.28515625" style="55" customWidth="1"/>
    <col min="10234" max="10234" width="12.85546875" style="55" customWidth="1"/>
    <col min="10235" max="10235" width="13.5703125" style="55" bestFit="1" customWidth="1"/>
    <col min="10236" max="10236" width="1.28515625" style="55" customWidth="1"/>
    <col min="10237" max="10238" width="11.28515625" style="55" bestFit="1" customWidth="1"/>
    <col min="10239" max="10239" width="1.28515625" style="55" customWidth="1"/>
    <col min="10240" max="10240" width="11.85546875" style="55" bestFit="1" customWidth="1"/>
    <col min="10241" max="10241" width="9.85546875" style="55" bestFit="1" customWidth="1"/>
    <col min="10242" max="10242" width="1.28515625" style="55" customWidth="1"/>
    <col min="10243" max="10243" width="5.28515625" style="55" customWidth="1"/>
    <col min="10244" max="10244" width="1.28515625" style="55" customWidth="1"/>
    <col min="10245" max="10245" width="12.85546875" style="55" customWidth="1"/>
    <col min="10246" max="10246" width="13.5703125" style="55" bestFit="1" customWidth="1"/>
    <col min="10247" max="10487" width="9.140625" style="55"/>
    <col min="10488" max="10488" width="27.7109375" style="55" customWidth="1"/>
    <col min="10489" max="10489" width="1.28515625" style="55" customWidth="1"/>
    <col min="10490" max="10490" width="12.85546875" style="55" customWidth="1"/>
    <col min="10491" max="10491" width="13.5703125" style="55" bestFit="1" customWidth="1"/>
    <col min="10492" max="10492" width="1.28515625" style="55" customWidth="1"/>
    <col min="10493" max="10494" width="11.28515625" style="55" bestFit="1" customWidth="1"/>
    <col min="10495" max="10495" width="1.28515625" style="55" customWidth="1"/>
    <col min="10496" max="10496" width="11.85546875" style="55" bestFit="1" customWidth="1"/>
    <col min="10497" max="10497" width="9.85546875" style="55" bestFit="1" customWidth="1"/>
    <col min="10498" max="10498" width="1.28515625" style="55" customWidth="1"/>
    <col min="10499" max="10499" width="5.28515625" style="55" customWidth="1"/>
    <col min="10500" max="10500" width="1.28515625" style="55" customWidth="1"/>
    <col min="10501" max="10501" width="12.85546875" style="55" customWidth="1"/>
    <col min="10502" max="10502" width="13.5703125" style="55" bestFit="1" customWidth="1"/>
    <col min="10503" max="10743" width="9.140625" style="55"/>
    <col min="10744" max="10744" width="27.7109375" style="55" customWidth="1"/>
    <col min="10745" max="10745" width="1.28515625" style="55" customWidth="1"/>
    <col min="10746" max="10746" width="12.85546875" style="55" customWidth="1"/>
    <col min="10747" max="10747" width="13.5703125" style="55" bestFit="1" customWidth="1"/>
    <col min="10748" max="10748" width="1.28515625" style="55" customWidth="1"/>
    <col min="10749" max="10750" width="11.28515625" style="55" bestFit="1" customWidth="1"/>
    <col min="10751" max="10751" width="1.28515625" style="55" customWidth="1"/>
    <col min="10752" max="10752" width="11.85546875" style="55" bestFit="1" customWidth="1"/>
    <col min="10753" max="10753" width="9.85546875" style="55" bestFit="1" customWidth="1"/>
    <col min="10754" max="10754" width="1.28515625" style="55" customWidth="1"/>
    <col min="10755" max="10755" width="5.28515625" style="55" customWidth="1"/>
    <col min="10756" max="10756" width="1.28515625" style="55" customWidth="1"/>
    <col min="10757" max="10757" width="12.85546875" style="55" customWidth="1"/>
    <col min="10758" max="10758" width="13.5703125" style="55" bestFit="1" customWidth="1"/>
    <col min="10759" max="10999" width="9.140625" style="55"/>
    <col min="11000" max="11000" width="27.7109375" style="55" customWidth="1"/>
    <col min="11001" max="11001" width="1.28515625" style="55" customWidth="1"/>
    <col min="11002" max="11002" width="12.85546875" style="55" customWidth="1"/>
    <col min="11003" max="11003" width="13.5703125" style="55" bestFit="1" customWidth="1"/>
    <col min="11004" max="11004" width="1.28515625" style="55" customWidth="1"/>
    <col min="11005" max="11006" width="11.28515625" style="55" bestFit="1" customWidth="1"/>
    <col min="11007" max="11007" width="1.28515625" style="55" customWidth="1"/>
    <col min="11008" max="11008" width="11.85546875" style="55" bestFit="1" customWidth="1"/>
    <col min="11009" max="11009" width="9.85546875" style="55" bestFit="1" customWidth="1"/>
    <col min="11010" max="11010" width="1.28515625" style="55" customWidth="1"/>
    <col min="11011" max="11011" width="5.28515625" style="55" customWidth="1"/>
    <col min="11012" max="11012" width="1.28515625" style="55" customWidth="1"/>
    <col min="11013" max="11013" width="12.85546875" style="55" customWidth="1"/>
    <col min="11014" max="11014" width="13.5703125" style="55" bestFit="1" customWidth="1"/>
    <col min="11015" max="11255" width="9.140625" style="55"/>
    <col min="11256" max="11256" width="27.7109375" style="55" customWidth="1"/>
    <col min="11257" max="11257" width="1.28515625" style="55" customWidth="1"/>
    <col min="11258" max="11258" width="12.85546875" style="55" customWidth="1"/>
    <col min="11259" max="11259" width="13.5703125" style="55" bestFit="1" customWidth="1"/>
    <col min="11260" max="11260" width="1.28515625" style="55" customWidth="1"/>
    <col min="11261" max="11262" width="11.28515625" style="55" bestFit="1" customWidth="1"/>
    <col min="11263" max="11263" width="1.28515625" style="55" customWidth="1"/>
    <col min="11264" max="11264" width="11.85546875" style="55" bestFit="1" customWidth="1"/>
    <col min="11265" max="11265" width="9.85546875" style="55" bestFit="1" customWidth="1"/>
    <col min="11266" max="11266" width="1.28515625" style="55" customWidth="1"/>
    <col min="11267" max="11267" width="5.28515625" style="55" customWidth="1"/>
    <col min="11268" max="11268" width="1.28515625" style="55" customWidth="1"/>
    <col min="11269" max="11269" width="12.85546875" style="55" customWidth="1"/>
    <col min="11270" max="11270" width="13.5703125" style="55" bestFit="1" customWidth="1"/>
    <col min="11271" max="11511" width="9.140625" style="55"/>
    <col min="11512" max="11512" width="27.7109375" style="55" customWidth="1"/>
    <col min="11513" max="11513" width="1.28515625" style="55" customWidth="1"/>
    <col min="11514" max="11514" width="12.85546875" style="55" customWidth="1"/>
    <col min="11515" max="11515" width="13.5703125" style="55" bestFit="1" customWidth="1"/>
    <col min="11516" max="11516" width="1.28515625" style="55" customWidth="1"/>
    <col min="11517" max="11518" width="11.28515625" style="55" bestFit="1" customWidth="1"/>
    <col min="11519" max="11519" width="1.28515625" style="55" customWidth="1"/>
    <col min="11520" max="11520" width="11.85546875" style="55" bestFit="1" customWidth="1"/>
    <col min="11521" max="11521" width="9.85546875" style="55" bestFit="1" customWidth="1"/>
    <col min="11522" max="11522" width="1.28515625" style="55" customWidth="1"/>
    <col min="11523" max="11523" width="5.28515625" style="55" customWidth="1"/>
    <col min="11524" max="11524" width="1.28515625" style="55" customWidth="1"/>
    <col min="11525" max="11525" width="12.85546875" style="55" customWidth="1"/>
    <col min="11526" max="11526" width="13.5703125" style="55" bestFit="1" customWidth="1"/>
    <col min="11527" max="11767" width="9.140625" style="55"/>
    <col min="11768" max="11768" width="27.7109375" style="55" customWidth="1"/>
    <col min="11769" max="11769" width="1.28515625" style="55" customWidth="1"/>
    <col min="11770" max="11770" width="12.85546875" style="55" customWidth="1"/>
    <col min="11771" max="11771" width="13.5703125" style="55" bestFit="1" customWidth="1"/>
    <col min="11772" max="11772" width="1.28515625" style="55" customWidth="1"/>
    <col min="11773" max="11774" width="11.28515625" style="55" bestFit="1" customWidth="1"/>
    <col min="11775" max="11775" width="1.28515625" style="55" customWidth="1"/>
    <col min="11776" max="11776" width="11.85546875" style="55" bestFit="1" customWidth="1"/>
    <col min="11777" max="11777" width="9.85546875" style="55" bestFit="1" customWidth="1"/>
    <col min="11778" max="11778" width="1.28515625" style="55" customWidth="1"/>
    <col min="11779" max="11779" width="5.28515625" style="55" customWidth="1"/>
    <col min="11780" max="11780" width="1.28515625" style="55" customWidth="1"/>
    <col min="11781" max="11781" width="12.85546875" style="55" customWidth="1"/>
    <col min="11782" max="11782" width="13.5703125" style="55" bestFit="1" customWidth="1"/>
    <col min="11783" max="12023" width="9.140625" style="55"/>
    <col min="12024" max="12024" width="27.7109375" style="55" customWidth="1"/>
    <col min="12025" max="12025" width="1.28515625" style="55" customWidth="1"/>
    <col min="12026" max="12026" width="12.85546875" style="55" customWidth="1"/>
    <col min="12027" max="12027" width="13.5703125" style="55" bestFit="1" customWidth="1"/>
    <col min="12028" max="12028" width="1.28515625" style="55" customWidth="1"/>
    <col min="12029" max="12030" width="11.28515625" style="55" bestFit="1" customWidth="1"/>
    <col min="12031" max="12031" width="1.28515625" style="55" customWidth="1"/>
    <col min="12032" max="12032" width="11.85546875" style="55" bestFit="1" customWidth="1"/>
    <col min="12033" max="12033" width="9.85546875" style="55" bestFit="1" customWidth="1"/>
    <col min="12034" max="12034" width="1.28515625" style="55" customWidth="1"/>
    <col min="12035" max="12035" width="5.28515625" style="55" customWidth="1"/>
    <col min="12036" max="12036" width="1.28515625" style="55" customWidth="1"/>
    <col min="12037" max="12037" width="12.85546875" style="55" customWidth="1"/>
    <col min="12038" max="12038" width="13.5703125" style="55" bestFit="1" customWidth="1"/>
    <col min="12039" max="12279" width="9.140625" style="55"/>
    <col min="12280" max="12280" width="27.7109375" style="55" customWidth="1"/>
    <col min="12281" max="12281" width="1.28515625" style="55" customWidth="1"/>
    <col min="12282" max="12282" width="12.85546875" style="55" customWidth="1"/>
    <col min="12283" max="12283" width="13.5703125" style="55" bestFit="1" customWidth="1"/>
    <col min="12284" max="12284" width="1.28515625" style="55" customWidth="1"/>
    <col min="12285" max="12286" width="11.28515625" style="55" bestFit="1" customWidth="1"/>
    <col min="12287" max="12287" width="1.28515625" style="55" customWidth="1"/>
    <col min="12288" max="12288" width="11.85546875" style="55" bestFit="1" customWidth="1"/>
    <col min="12289" max="12289" width="9.85546875" style="55" bestFit="1" customWidth="1"/>
    <col min="12290" max="12290" width="1.28515625" style="55" customWidth="1"/>
    <col min="12291" max="12291" width="5.28515625" style="55" customWidth="1"/>
    <col min="12292" max="12292" width="1.28515625" style="55" customWidth="1"/>
    <col min="12293" max="12293" width="12.85546875" style="55" customWidth="1"/>
    <col min="12294" max="12294" width="13.5703125" style="55" bestFit="1" customWidth="1"/>
    <col min="12295" max="12535" width="9.140625" style="55"/>
    <col min="12536" max="12536" width="27.7109375" style="55" customWidth="1"/>
    <col min="12537" max="12537" width="1.28515625" style="55" customWidth="1"/>
    <col min="12538" max="12538" width="12.85546875" style="55" customWidth="1"/>
    <col min="12539" max="12539" width="13.5703125" style="55" bestFit="1" customWidth="1"/>
    <col min="12540" max="12540" width="1.28515625" style="55" customWidth="1"/>
    <col min="12541" max="12542" width="11.28515625" style="55" bestFit="1" customWidth="1"/>
    <col min="12543" max="12543" width="1.28515625" style="55" customWidth="1"/>
    <col min="12544" max="12544" width="11.85546875" style="55" bestFit="1" customWidth="1"/>
    <col min="12545" max="12545" width="9.85546875" style="55" bestFit="1" customWidth="1"/>
    <col min="12546" max="12546" width="1.28515625" style="55" customWidth="1"/>
    <col min="12547" max="12547" width="5.28515625" style="55" customWidth="1"/>
    <col min="12548" max="12548" width="1.28515625" style="55" customWidth="1"/>
    <col min="12549" max="12549" width="12.85546875" style="55" customWidth="1"/>
    <col min="12550" max="12550" width="13.5703125" style="55" bestFit="1" customWidth="1"/>
    <col min="12551" max="12791" width="9.140625" style="55"/>
    <col min="12792" max="12792" width="27.7109375" style="55" customWidth="1"/>
    <col min="12793" max="12793" width="1.28515625" style="55" customWidth="1"/>
    <col min="12794" max="12794" width="12.85546875" style="55" customWidth="1"/>
    <col min="12795" max="12795" width="13.5703125" style="55" bestFit="1" customWidth="1"/>
    <col min="12796" max="12796" width="1.28515625" style="55" customWidth="1"/>
    <col min="12797" max="12798" width="11.28515625" style="55" bestFit="1" customWidth="1"/>
    <col min="12799" max="12799" width="1.28515625" style="55" customWidth="1"/>
    <col min="12800" max="12800" width="11.85546875" style="55" bestFit="1" customWidth="1"/>
    <col min="12801" max="12801" width="9.85546875" style="55" bestFit="1" customWidth="1"/>
    <col min="12802" max="12802" width="1.28515625" style="55" customWidth="1"/>
    <col min="12803" max="12803" width="5.28515625" style="55" customWidth="1"/>
    <col min="12804" max="12804" width="1.28515625" style="55" customWidth="1"/>
    <col min="12805" max="12805" width="12.85546875" style="55" customWidth="1"/>
    <col min="12806" max="12806" width="13.5703125" style="55" bestFit="1" customWidth="1"/>
    <col min="12807" max="13047" width="9.140625" style="55"/>
    <col min="13048" max="13048" width="27.7109375" style="55" customWidth="1"/>
    <col min="13049" max="13049" width="1.28515625" style="55" customWidth="1"/>
    <col min="13050" max="13050" width="12.85546875" style="55" customWidth="1"/>
    <col min="13051" max="13051" width="13.5703125" style="55" bestFit="1" customWidth="1"/>
    <col min="13052" max="13052" width="1.28515625" style="55" customWidth="1"/>
    <col min="13053" max="13054" width="11.28515625" style="55" bestFit="1" customWidth="1"/>
    <col min="13055" max="13055" width="1.28515625" style="55" customWidth="1"/>
    <col min="13056" max="13056" width="11.85546875" style="55" bestFit="1" customWidth="1"/>
    <col min="13057" max="13057" width="9.85546875" style="55" bestFit="1" customWidth="1"/>
    <col min="13058" max="13058" width="1.28515625" style="55" customWidth="1"/>
    <col min="13059" max="13059" width="5.28515625" style="55" customWidth="1"/>
    <col min="13060" max="13060" width="1.28515625" style="55" customWidth="1"/>
    <col min="13061" max="13061" width="12.85546875" style="55" customWidth="1"/>
    <col min="13062" max="13062" width="13.5703125" style="55" bestFit="1" customWidth="1"/>
    <col min="13063" max="13303" width="9.140625" style="55"/>
    <col min="13304" max="13304" width="27.7109375" style="55" customWidth="1"/>
    <col min="13305" max="13305" width="1.28515625" style="55" customWidth="1"/>
    <col min="13306" max="13306" width="12.85546875" style="55" customWidth="1"/>
    <col min="13307" max="13307" width="13.5703125" style="55" bestFit="1" customWidth="1"/>
    <col min="13308" max="13308" width="1.28515625" style="55" customWidth="1"/>
    <col min="13309" max="13310" width="11.28515625" style="55" bestFit="1" customWidth="1"/>
    <col min="13311" max="13311" width="1.28515625" style="55" customWidth="1"/>
    <col min="13312" max="13312" width="11.85546875" style="55" bestFit="1" customWidth="1"/>
    <col min="13313" max="13313" width="9.85546875" style="55" bestFit="1" customWidth="1"/>
    <col min="13314" max="13314" width="1.28515625" style="55" customWidth="1"/>
    <col min="13315" max="13315" width="5.28515625" style="55" customWidth="1"/>
    <col min="13316" max="13316" width="1.28515625" style="55" customWidth="1"/>
    <col min="13317" max="13317" width="12.85546875" style="55" customWidth="1"/>
    <col min="13318" max="13318" width="13.5703125" style="55" bestFit="1" customWidth="1"/>
    <col min="13319" max="13559" width="9.140625" style="55"/>
    <col min="13560" max="13560" width="27.7109375" style="55" customWidth="1"/>
    <col min="13561" max="13561" width="1.28515625" style="55" customWidth="1"/>
    <col min="13562" max="13562" width="12.85546875" style="55" customWidth="1"/>
    <col min="13563" max="13563" width="13.5703125" style="55" bestFit="1" customWidth="1"/>
    <col min="13564" max="13564" width="1.28515625" style="55" customWidth="1"/>
    <col min="13565" max="13566" width="11.28515625" style="55" bestFit="1" customWidth="1"/>
    <col min="13567" max="13567" width="1.28515625" style="55" customWidth="1"/>
    <col min="13568" max="13568" width="11.85546875" style="55" bestFit="1" customWidth="1"/>
    <col min="13569" max="13569" width="9.85546875" style="55" bestFit="1" customWidth="1"/>
    <col min="13570" max="13570" width="1.28515625" style="55" customWidth="1"/>
    <col min="13571" max="13571" width="5.28515625" style="55" customWidth="1"/>
    <col min="13572" max="13572" width="1.28515625" style="55" customWidth="1"/>
    <col min="13573" max="13573" width="12.85546875" style="55" customWidth="1"/>
    <col min="13574" max="13574" width="13.5703125" style="55" bestFit="1" customWidth="1"/>
    <col min="13575" max="13815" width="9.140625" style="55"/>
    <col min="13816" max="13816" width="27.7109375" style="55" customWidth="1"/>
    <col min="13817" max="13817" width="1.28515625" style="55" customWidth="1"/>
    <col min="13818" max="13818" width="12.85546875" style="55" customWidth="1"/>
    <col min="13819" max="13819" width="13.5703125" style="55" bestFit="1" customWidth="1"/>
    <col min="13820" max="13820" width="1.28515625" style="55" customWidth="1"/>
    <col min="13821" max="13822" width="11.28515625" style="55" bestFit="1" customWidth="1"/>
    <col min="13823" max="13823" width="1.28515625" style="55" customWidth="1"/>
    <col min="13824" max="13824" width="11.85546875" style="55" bestFit="1" customWidth="1"/>
    <col min="13825" max="13825" width="9.85546875" style="55" bestFit="1" customWidth="1"/>
    <col min="13826" max="13826" width="1.28515625" style="55" customWidth="1"/>
    <col min="13827" max="13827" width="5.28515625" style="55" customWidth="1"/>
    <col min="13828" max="13828" width="1.28515625" style="55" customWidth="1"/>
    <col min="13829" max="13829" width="12.85546875" style="55" customWidth="1"/>
    <col min="13830" max="13830" width="13.5703125" style="55" bestFit="1" customWidth="1"/>
    <col min="13831" max="14071" width="9.140625" style="55"/>
    <col min="14072" max="14072" width="27.7109375" style="55" customWidth="1"/>
    <col min="14073" max="14073" width="1.28515625" style="55" customWidth="1"/>
    <col min="14074" max="14074" width="12.85546875" style="55" customWidth="1"/>
    <col min="14075" max="14075" width="13.5703125" style="55" bestFit="1" customWidth="1"/>
    <col min="14076" max="14076" width="1.28515625" style="55" customWidth="1"/>
    <col min="14077" max="14078" width="11.28515625" style="55" bestFit="1" customWidth="1"/>
    <col min="14079" max="14079" width="1.28515625" style="55" customWidth="1"/>
    <col min="14080" max="14080" width="11.85546875" style="55" bestFit="1" customWidth="1"/>
    <col min="14081" max="14081" width="9.85546875" style="55" bestFit="1" customWidth="1"/>
    <col min="14082" max="14082" width="1.28515625" style="55" customWidth="1"/>
    <col min="14083" max="14083" width="5.28515625" style="55" customWidth="1"/>
    <col min="14084" max="14084" width="1.28515625" style="55" customWidth="1"/>
    <col min="14085" max="14085" width="12.85546875" style="55" customWidth="1"/>
    <col min="14086" max="14086" width="13.5703125" style="55" bestFit="1" customWidth="1"/>
    <col min="14087" max="14327" width="9.140625" style="55"/>
    <col min="14328" max="14328" width="27.7109375" style="55" customWidth="1"/>
    <col min="14329" max="14329" width="1.28515625" style="55" customWidth="1"/>
    <col min="14330" max="14330" width="12.85546875" style="55" customWidth="1"/>
    <col min="14331" max="14331" width="13.5703125" style="55" bestFit="1" customWidth="1"/>
    <col min="14332" max="14332" width="1.28515625" style="55" customWidth="1"/>
    <col min="14333" max="14334" width="11.28515625" style="55" bestFit="1" customWidth="1"/>
    <col min="14335" max="14335" width="1.28515625" style="55" customWidth="1"/>
    <col min="14336" max="14336" width="11.85546875" style="55" bestFit="1" customWidth="1"/>
    <col min="14337" max="14337" width="9.85546875" style="55" bestFit="1" customWidth="1"/>
    <col min="14338" max="14338" width="1.28515625" style="55" customWidth="1"/>
    <col min="14339" max="14339" width="5.28515625" style="55" customWidth="1"/>
    <col min="14340" max="14340" width="1.28515625" style="55" customWidth="1"/>
    <col min="14341" max="14341" width="12.85546875" style="55" customWidth="1"/>
    <col min="14342" max="14342" width="13.5703125" style="55" bestFit="1" customWidth="1"/>
    <col min="14343" max="14583" width="9.140625" style="55"/>
    <col min="14584" max="14584" width="27.7109375" style="55" customWidth="1"/>
    <col min="14585" max="14585" width="1.28515625" style="55" customWidth="1"/>
    <col min="14586" max="14586" width="12.85546875" style="55" customWidth="1"/>
    <col min="14587" max="14587" width="13.5703125" style="55" bestFit="1" customWidth="1"/>
    <col min="14588" max="14588" width="1.28515625" style="55" customWidth="1"/>
    <col min="14589" max="14590" width="11.28515625" style="55" bestFit="1" customWidth="1"/>
    <col min="14591" max="14591" width="1.28515625" style="55" customWidth="1"/>
    <col min="14592" max="14592" width="11.85546875" style="55" bestFit="1" customWidth="1"/>
    <col min="14593" max="14593" width="9.85546875" style="55" bestFit="1" customWidth="1"/>
    <col min="14594" max="14594" width="1.28515625" style="55" customWidth="1"/>
    <col min="14595" max="14595" width="5.28515625" style="55" customWidth="1"/>
    <col min="14596" max="14596" width="1.28515625" style="55" customWidth="1"/>
    <col min="14597" max="14597" width="12.85546875" style="55" customWidth="1"/>
    <col min="14598" max="14598" width="13.5703125" style="55" bestFit="1" customWidth="1"/>
    <col min="14599" max="14839" width="9.140625" style="55"/>
    <col min="14840" max="14840" width="27.7109375" style="55" customWidth="1"/>
    <col min="14841" max="14841" width="1.28515625" style="55" customWidth="1"/>
    <col min="14842" max="14842" width="12.85546875" style="55" customWidth="1"/>
    <col min="14843" max="14843" width="13.5703125" style="55" bestFit="1" customWidth="1"/>
    <col min="14844" max="14844" width="1.28515625" style="55" customWidth="1"/>
    <col min="14845" max="14846" width="11.28515625" style="55" bestFit="1" customWidth="1"/>
    <col min="14847" max="14847" width="1.28515625" style="55" customWidth="1"/>
    <col min="14848" max="14848" width="11.85546875" style="55" bestFit="1" customWidth="1"/>
    <col min="14849" max="14849" width="9.85546875" style="55" bestFit="1" customWidth="1"/>
    <col min="14850" max="14850" width="1.28515625" style="55" customWidth="1"/>
    <col min="14851" max="14851" width="5.28515625" style="55" customWidth="1"/>
    <col min="14852" max="14852" width="1.28515625" style="55" customWidth="1"/>
    <col min="14853" max="14853" width="12.85546875" style="55" customWidth="1"/>
    <col min="14854" max="14854" width="13.5703125" style="55" bestFit="1" customWidth="1"/>
    <col min="14855" max="15095" width="9.140625" style="55"/>
    <col min="15096" max="15096" width="27.7109375" style="55" customWidth="1"/>
    <col min="15097" max="15097" width="1.28515625" style="55" customWidth="1"/>
    <col min="15098" max="15098" width="12.85546875" style="55" customWidth="1"/>
    <col min="15099" max="15099" width="13.5703125" style="55" bestFit="1" customWidth="1"/>
    <col min="15100" max="15100" width="1.28515625" style="55" customWidth="1"/>
    <col min="15101" max="15102" width="11.28515625" style="55" bestFit="1" customWidth="1"/>
    <col min="15103" max="15103" width="1.28515625" style="55" customWidth="1"/>
    <col min="15104" max="15104" width="11.85546875" style="55" bestFit="1" customWidth="1"/>
    <col min="15105" max="15105" width="9.85546875" style="55" bestFit="1" customWidth="1"/>
    <col min="15106" max="15106" width="1.28515625" style="55" customWidth="1"/>
    <col min="15107" max="15107" width="5.28515625" style="55" customWidth="1"/>
    <col min="15108" max="15108" width="1.28515625" style="55" customWidth="1"/>
    <col min="15109" max="15109" width="12.85546875" style="55" customWidth="1"/>
    <col min="15110" max="15110" width="13.5703125" style="55" bestFit="1" customWidth="1"/>
    <col min="15111" max="15351" width="9.140625" style="55"/>
    <col min="15352" max="15352" width="27.7109375" style="55" customWidth="1"/>
    <col min="15353" max="15353" width="1.28515625" style="55" customWidth="1"/>
    <col min="15354" max="15354" width="12.85546875" style="55" customWidth="1"/>
    <col min="15355" max="15355" width="13.5703125" style="55" bestFit="1" customWidth="1"/>
    <col min="15356" max="15356" width="1.28515625" style="55" customWidth="1"/>
    <col min="15357" max="15358" width="11.28515625" style="55" bestFit="1" customWidth="1"/>
    <col min="15359" max="15359" width="1.28515625" style="55" customWidth="1"/>
    <col min="15360" max="15360" width="11.85546875" style="55" bestFit="1" customWidth="1"/>
    <col min="15361" max="15361" width="9.85546875" style="55" bestFit="1" customWidth="1"/>
    <col min="15362" max="15362" width="1.28515625" style="55" customWidth="1"/>
    <col min="15363" max="15363" width="5.28515625" style="55" customWidth="1"/>
    <col min="15364" max="15364" width="1.28515625" style="55" customWidth="1"/>
    <col min="15365" max="15365" width="12.85546875" style="55" customWidth="1"/>
    <col min="15366" max="15366" width="13.5703125" style="55" bestFit="1" customWidth="1"/>
    <col min="15367" max="15607" width="9.140625" style="55"/>
    <col min="15608" max="15608" width="27.7109375" style="55" customWidth="1"/>
    <col min="15609" max="15609" width="1.28515625" style="55" customWidth="1"/>
    <col min="15610" max="15610" width="12.85546875" style="55" customWidth="1"/>
    <col min="15611" max="15611" width="13.5703125" style="55" bestFit="1" customWidth="1"/>
    <col min="15612" max="15612" width="1.28515625" style="55" customWidth="1"/>
    <col min="15613" max="15614" width="11.28515625" style="55" bestFit="1" customWidth="1"/>
    <col min="15615" max="15615" width="1.28515625" style="55" customWidth="1"/>
    <col min="15616" max="15616" width="11.85546875" style="55" bestFit="1" customWidth="1"/>
    <col min="15617" max="15617" width="9.85546875" style="55" bestFit="1" customWidth="1"/>
    <col min="15618" max="15618" width="1.28515625" style="55" customWidth="1"/>
    <col min="15619" max="15619" width="5.28515625" style="55" customWidth="1"/>
    <col min="15620" max="15620" width="1.28515625" style="55" customWidth="1"/>
    <col min="15621" max="15621" width="12.85546875" style="55" customWidth="1"/>
    <col min="15622" max="15622" width="13.5703125" style="55" bestFit="1" customWidth="1"/>
    <col min="15623" max="15863" width="9.140625" style="55"/>
    <col min="15864" max="15864" width="27.7109375" style="55" customWidth="1"/>
    <col min="15865" max="15865" width="1.28515625" style="55" customWidth="1"/>
    <col min="15866" max="15866" width="12.85546875" style="55" customWidth="1"/>
    <col min="15867" max="15867" width="13.5703125" style="55" bestFit="1" customWidth="1"/>
    <col min="15868" max="15868" width="1.28515625" style="55" customWidth="1"/>
    <col min="15869" max="15870" width="11.28515625" style="55" bestFit="1" customWidth="1"/>
    <col min="15871" max="15871" width="1.28515625" style="55" customWidth="1"/>
    <col min="15872" max="15872" width="11.85546875" style="55" bestFit="1" customWidth="1"/>
    <col min="15873" max="15873" width="9.85546875" style="55" bestFit="1" customWidth="1"/>
    <col min="15874" max="15874" width="1.28515625" style="55" customWidth="1"/>
    <col min="15875" max="15875" width="5.28515625" style="55" customWidth="1"/>
    <col min="15876" max="15876" width="1.28515625" style="55" customWidth="1"/>
    <col min="15877" max="15877" width="12.85546875" style="55" customWidth="1"/>
    <col min="15878" max="15878" width="13.5703125" style="55" bestFit="1" customWidth="1"/>
    <col min="15879" max="16119" width="9.140625" style="55"/>
    <col min="16120" max="16120" width="27.7109375" style="55" customWidth="1"/>
    <col min="16121" max="16121" width="1.28515625" style="55" customWidth="1"/>
    <col min="16122" max="16122" width="12.85546875" style="55" customWidth="1"/>
    <col min="16123" max="16123" width="13.5703125" style="55" bestFit="1" customWidth="1"/>
    <col min="16124" max="16124" width="1.28515625" style="55" customWidth="1"/>
    <col min="16125" max="16126" width="11.28515625" style="55" bestFit="1" customWidth="1"/>
    <col min="16127" max="16127" width="1.28515625" style="55" customWidth="1"/>
    <col min="16128" max="16128" width="11.85546875" style="55" bestFit="1" customWidth="1"/>
    <col min="16129" max="16129" width="9.85546875" style="55" bestFit="1" customWidth="1"/>
    <col min="16130" max="16130" width="1.28515625" style="55" customWidth="1"/>
    <col min="16131" max="16131" width="5.28515625" style="55" customWidth="1"/>
    <col min="16132" max="16132" width="1.28515625" style="55" customWidth="1"/>
    <col min="16133" max="16133" width="12.85546875" style="55" customWidth="1"/>
    <col min="16134" max="16134" width="13.5703125" style="55" bestFit="1" customWidth="1"/>
    <col min="16135" max="16384" width="9.140625" style="55"/>
  </cols>
  <sheetData>
    <row r="1" spans="1:14" x14ac:dyDescent="0.2">
      <c r="A1" s="17" t="s">
        <v>10</v>
      </c>
    </row>
    <row r="2" spans="1:14" x14ac:dyDescent="0.2">
      <c r="A2" s="54" t="s">
        <v>56</v>
      </c>
    </row>
    <row r="3" spans="1:14" x14ac:dyDescent="0.2">
      <c r="A3" s="56"/>
    </row>
    <row r="4" spans="1:14" x14ac:dyDescent="0.2">
      <c r="A4" s="57" t="s">
        <v>89</v>
      </c>
    </row>
    <row r="6" spans="1:14" x14ac:dyDescent="0.2">
      <c r="A6" s="54" t="s">
        <v>90</v>
      </c>
      <c r="B6" s="58"/>
      <c r="C6" s="83" t="s">
        <v>91</v>
      </c>
      <c r="D6" s="83"/>
      <c r="E6" s="58"/>
      <c r="F6" s="84" t="s">
        <v>92</v>
      </c>
      <c r="G6" s="84"/>
      <c r="H6" s="58"/>
      <c r="I6" s="84" t="s">
        <v>92</v>
      </c>
      <c r="J6" s="84"/>
      <c r="K6" s="58"/>
      <c r="L6" s="85" t="s">
        <v>93</v>
      </c>
      <c r="M6" s="85"/>
    </row>
    <row r="7" spans="1:14" x14ac:dyDescent="0.2">
      <c r="A7" s="54"/>
      <c r="B7" s="58"/>
      <c r="C7" s="59" t="s">
        <v>58</v>
      </c>
      <c r="D7" s="60" t="s">
        <v>59</v>
      </c>
      <c r="E7" s="58"/>
      <c r="F7" s="61" t="s">
        <v>58</v>
      </c>
      <c r="G7" s="61" t="s">
        <v>58</v>
      </c>
      <c r="H7" s="58"/>
      <c r="I7" s="61" t="s">
        <v>59</v>
      </c>
      <c r="J7" s="61" t="s">
        <v>59</v>
      </c>
      <c r="K7" s="58"/>
      <c r="L7" s="62" t="s">
        <v>58</v>
      </c>
      <c r="M7" s="63" t="s">
        <v>59</v>
      </c>
    </row>
    <row r="8" spans="1:14" x14ac:dyDescent="0.2">
      <c r="A8" s="54"/>
      <c r="B8" s="58"/>
      <c r="C8" s="59" t="s">
        <v>23</v>
      </c>
      <c r="D8" s="59" t="s">
        <v>23</v>
      </c>
      <c r="E8" s="58"/>
      <c r="F8" s="61" t="s">
        <v>23</v>
      </c>
      <c r="G8" s="61" t="s">
        <v>23</v>
      </c>
      <c r="H8" s="58"/>
      <c r="I8" s="61" t="s">
        <v>23</v>
      </c>
      <c r="J8" s="61" t="s">
        <v>23</v>
      </c>
      <c r="K8" s="58"/>
      <c r="L8" s="62" t="s">
        <v>23</v>
      </c>
      <c r="M8" s="62" t="s">
        <v>23</v>
      </c>
    </row>
    <row r="9" spans="1:14" x14ac:dyDescent="0.2">
      <c r="B9" s="58"/>
      <c r="E9" s="58"/>
      <c r="F9" s="64"/>
      <c r="H9" s="58"/>
      <c r="I9" s="64"/>
      <c r="J9" s="64"/>
      <c r="K9" s="58"/>
    </row>
    <row r="10" spans="1:14" x14ac:dyDescent="0.2">
      <c r="A10" s="65" t="s">
        <v>101</v>
      </c>
      <c r="B10" s="58"/>
      <c r="C10" s="66">
        <f>总帐!D60</f>
        <v>9559.6000000000095</v>
      </c>
      <c r="D10" s="66"/>
      <c r="E10" s="58"/>
      <c r="F10" s="48"/>
      <c r="G10" s="48"/>
      <c r="H10" s="67"/>
      <c r="I10" s="48"/>
      <c r="J10" s="48"/>
      <c r="K10" s="58"/>
      <c r="L10" s="69">
        <f t="shared" ref="L10:L18" si="0">IF(SUM($C10:$J10)&gt;0,SUM($C10:$J10),0)</f>
        <v>9559.6000000000095</v>
      </c>
      <c r="M10" s="70">
        <f t="shared" ref="M10:M18" si="1">IF(SUM($C10:$J10)&lt;0,SUM($C10:$J10),0)</f>
        <v>0</v>
      </c>
    </row>
    <row r="11" spans="1:14" x14ac:dyDescent="0.2">
      <c r="A11" s="65" t="s">
        <v>29</v>
      </c>
      <c r="B11" s="58"/>
      <c r="C11" s="66">
        <f>总帐!F60</f>
        <v>408.52697599981911</v>
      </c>
      <c r="D11" s="66"/>
      <c r="E11" s="58"/>
      <c r="F11" s="48"/>
      <c r="G11" s="48"/>
      <c r="H11" s="67"/>
      <c r="I11" s="48"/>
      <c r="J11" s="48"/>
      <c r="K11" s="58"/>
      <c r="L11" s="72">
        <f t="shared" si="0"/>
        <v>408.52697599981911</v>
      </c>
      <c r="M11" s="73">
        <f t="shared" si="1"/>
        <v>0</v>
      </c>
      <c r="N11" s="64">
        <f>SUM(L10:M11)</f>
        <v>9968.1269759998286</v>
      </c>
    </row>
    <row r="12" spans="1:14" x14ac:dyDescent="0.2">
      <c r="A12" s="65"/>
      <c r="B12" s="58"/>
      <c r="C12" s="66"/>
      <c r="D12" s="66"/>
      <c r="E12" s="58"/>
      <c r="F12" s="48"/>
      <c r="G12" s="48"/>
      <c r="H12" s="67"/>
      <c r="I12" s="48"/>
      <c r="J12" s="48"/>
      <c r="K12" s="58"/>
      <c r="L12" s="48"/>
      <c r="M12" s="48"/>
    </row>
    <row r="13" spans="1:14" x14ac:dyDescent="0.2">
      <c r="A13" s="65" t="s">
        <v>107</v>
      </c>
      <c r="B13" s="58"/>
      <c r="C13" s="66">
        <f>总帐!H60</f>
        <v>2312380</v>
      </c>
      <c r="D13" s="66"/>
      <c r="E13" s="58"/>
      <c r="F13" s="48"/>
      <c r="G13" s="48"/>
      <c r="H13" s="67"/>
      <c r="I13" s="48"/>
      <c r="J13" s="48"/>
      <c r="K13" s="58"/>
      <c r="L13" s="68">
        <f t="shared" si="0"/>
        <v>2312380</v>
      </c>
      <c r="M13" s="68">
        <f t="shared" si="1"/>
        <v>0</v>
      </c>
    </row>
    <row r="14" spans="1:14" x14ac:dyDescent="0.2">
      <c r="A14" s="65" t="s">
        <v>60</v>
      </c>
      <c r="B14" s="58"/>
      <c r="C14" s="66">
        <f>总帐!I60</f>
        <v>5483.47</v>
      </c>
      <c r="D14" s="71"/>
      <c r="E14" s="58"/>
      <c r="F14" s="48"/>
      <c r="G14" s="48"/>
      <c r="H14" s="67"/>
      <c r="I14" s="48"/>
      <c r="J14" s="48"/>
      <c r="K14" s="58"/>
      <c r="L14" s="68">
        <f t="shared" si="0"/>
        <v>5483.47</v>
      </c>
      <c r="M14" s="68">
        <f t="shared" si="1"/>
        <v>0</v>
      </c>
    </row>
    <row r="15" spans="1:14" x14ac:dyDescent="0.2">
      <c r="B15" s="58"/>
      <c r="C15" s="71"/>
      <c r="D15" s="71"/>
      <c r="E15" s="58"/>
      <c r="F15" s="48"/>
      <c r="G15" s="48"/>
      <c r="H15" s="67"/>
      <c r="I15" s="48"/>
      <c r="J15" s="48"/>
      <c r="K15" s="58"/>
      <c r="L15" s="68"/>
      <c r="M15" s="68"/>
      <c r="N15" s="64"/>
    </row>
    <row r="16" spans="1:14" x14ac:dyDescent="0.2">
      <c r="A16" s="55" t="s">
        <v>61</v>
      </c>
      <c r="B16" s="58"/>
      <c r="C16" s="71"/>
      <c r="D16" s="71">
        <f>总帐!J60</f>
        <v>-6050</v>
      </c>
      <c r="E16" s="58"/>
      <c r="F16" s="48"/>
      <c r="G16" s="48"/>
      <c r="H16" s="67"/>
      <c r="I16" s="48"/>
      <c r="J16" s="48"/>
      <c r="K16" s="58"/>
      <c r="L16" s="69">
        <f t="shared" si="0"/>
        <v>0</v>
      </c>
      <c r="M16" s="70">
        <f t="shared" si="1"/>
        <v>-6050</v>
      </c>
    </row>
    <row r="17" spans="1:14" x14ac:dyDescent="0.2">
      <c r="A17" s="55" t="s">
        <v>108</v>
      </c>
      <c r="B17" s="58"/>
      <c r="C17" s="71"/>
      <c r="D17" s="71">
        <f>总帐!M60</f>
        <v>-2312380</v>
      </c>
      <c r="E17" s="58"/>
      <c r="F17" s="48"/>
      <c r="G17" s="48"/>
      <c r="H17" s="67"/>
      <c r="I17" s="48"/>
      <c r="J17" s="48"/>
      <c r="K17" s="58"/>
      <c r="L17" s="81">
        <f t="shared" si="0"/>
        <v>0</v>
      </c>
      <c r="M17" s="82">
        <f t="shared" si="1"/>
        <v>-2312380</v>
      </c>
    </row>
    <row r="18" spans="1:14" x14ac:dyDescent="0.2">
      <c r="A18" s="55" t="s">
        <v>85</v>
      </c>
      <c r="B18" s="58"/>
      <c r="C18" s="71"/>
      <c r="D18" s="71">
        <f>总帐!K60</f>
        <v>-216</v>
      </c>
      <c r="E18" s="58"/>
      <c r="F18" s="48"/>
      <c r="G18" s="48"/>
      <c r="H18" s="67"/>
      <c r="I18" s="48"/>
      <c r="J18" s="48"/>
      <c r="K18" s="58"/>
      <c r="L18" s="72">
        <f t="shared" si="0"/>
        <v>0</v>
      </c>
      <c r="M18" s="73">
        <f t="shared" si="1"/>
        <v>-216</v>
      </c>
      <c r="N18" s="64">
        <f>SUM(L16:M18)</f>
        <v>-2318646</v>
      </c>
    </row>
    <row r="19" spans="1:14" x14ac:dyDescent="0.2">
      <c r="B19" s="58"/>
      <c r="C19" s="71"/>
      <c r="D19" s="71"/>
      <c r="E19" s="58"/>
      <c r="F19" s="48"/>
      <c r="G19" s="48"/>
      <c r="H19" s="67"/>
      <c r="I19" s="48"/>
      <c r="J19" s="48"/>
      <c r="K19" s="58"/>
      <c r="L19" s="48"/>
      <c r="M19" s="48"/>
    </row>
    <row r="20" spans="1:14" x14ac:dyDescent="0.2">
      <c r="A20" s="65" t="s">
        <v>26</v>
      </c>
      <c r="B20" s="58"/>
      <c r="C20" s="66"/>
      <c r="D20" s="66">
        <f>总帐!G60</f>
        <v>-10000</v>
      </c>
      <c r="E20" s="58"/>
      <c r="F20" s="68"/>
      <c r="G20" s="48"/>
      <c r="H20" s="67"/>
      <c r="I20" s="48"/>
      <c r="J20" s="48"/>
      <c r="K20" s="58"/>
      <c r="L20" s="48">
        <f>IF(SUM($C20:$J20)&gt;0,SUM($C20:$J20),0)</f>
        <v>0</v>
      </c>
      <c r="M20" s="48">
        <f>IF(SUM($C20:$J20)&lt;0,SUM($C20:$J20),0)</f>
        <v>-10000</v>
      </c>
    </row>
    <row r="21" spans="1:14" x14ac:dyDescent="0.2">
      <c r="A21" s="65" t="s">
        <v>94</v>
      </c>
      <c r="B21" s="58"/>
      <c r="C21" s="66"/>
      <c r="D21" s="66"/>
      <c r="E21" s="58"/>
      <c r="F21" s="48"/>
      <c r="G21" s="48"/>
      <c r="H21" s="67"/>
      <c r="I21" s="48"/>
      <c r="J21" s="48"/>
      <c r="K21" s="58"/>
      <c r="L21" s="48">
        <f>IF(SUM($C21:$J21)&gt;0,SUM($C21:$J21),0)</f>
        <v>0</v>
      </c>
      <c r="M21" s="48">
        <f>IF(SUM($C21:$J21)&lt;0,SUM($C21:$J21),0)</f>
        <v>0</v>
      </c>
    </row>
    <row r="22" spans="1:14" x14ac:dyDescent="0.2">
      <c r="B22" s="58"/>
      <c r="C22" s="74"/>
      <c r="D22" s="74"/>
      <c r="E22" s="58"/>
      <c r="F22" s="48"/>
      <c r="G22" s="48"/>
      <c r="H22" s="67"/>
      <c r="I22" s="48"/>
      <c r="J22" s="48"/>
      <c r="K22" s="58"/>
      <c r="L22" s="74"/>
      <c r="M22" s="74"/>
    </row>
    <row r="23" spans="1:14" x14ac:dyDescent="0.2">
      <c r="B23" s="58"/>
      <c r="C23" s="48">
        <f>SUM(C10:C22)</f>
        <v>2327831.5969759999</v>
      </c>
      <c r="D23" s="48">
        <f>SUM(D10:D22)</f>
        <v>-2328646</v>
      </c>
      <c r="E23" s="58"/>
      <c r="F23" s="68"/>
      <c r="G23" s="68"/>
      <c r="H23" s="75"/>
      <c r="I23" s="68"/>
      <c r="J23" s="68"/>
      <c r="K23" s="58"/>
      <c r="L23" s="48">
        <f>SUM(L10:L22)</f>
        <v>2327831.5969759999</v>
      </c>
      <c r="M23" s="48">
        <f>SUM(M10:M22)</f>
        <v>-2328646</v>
      </c>
    </row>
    <row r="24" spans="1:14" x14ac:dyDescent="0.2">
      <c r="A24" s="65" t="s">
        <v>95</v>
      </c>
      <c r="B24" s="58"/>
      <c r="C24" s="74">
        <f>IF($C$23+$D$23&lt;0,-($C$23+$D$23),0)</f>
        <v>814.40302400011569</v>
      </c>
      <c r="D24" s="74">
        <f>IF($C$23+$D$23&gt;0,-($C$23+$D$23),0)</f>
        <v>0</v>
      </c>
      <c r="E24" s="58"/>
      <c r="F24" s="48"/>
      <c r="G24" s="48"/>
      <c r="H24" s="67"/>
      <c r="I24" s="48"/>
      <c r="J24" s="48"/>
      <c r="K24" s="58"/>
      <c r="L24" s="74">
        <f>IF($L$23+$M$23&lt;0,-($L$23+$M$23),0)</f>
        <v>814.40302400011569</v>
      </c>
      <c r="M24" s="74">
        <f>IF($L$23+$M$23&gt;0,-($L$23+$M$23),0)</f>
        <v>0</v>
      </c>
      <c r="N24" s="48">
        <f>M20+M21+M24</f>
        <v>-10000</v>
      </c>
    </row>
    <row r="25" spans="1:14" ht="13.5" thickBot="1" x14ac:dyDescent="0.25">
      <c r="B25" s="58"/>
      <c r="C25" s="76">
        <f>SUM(C23:C24)</f>
        <v>2328646</v>
      </c>
      <c r="D25" s="76">
        <f>SUM(D23:D24)</f>
        <v>-2328646</v>
      </c>
      <c r="E25" s="58"/>
      <c r="F25" s="48"/>
      <c r="G25" s="48"/>
      <c r="H25" s="67"/>
      <c r="I25" s="48"/>
      <c r="J25" s="48"/>
      <c r="K25" s="58"/>
      <c r="L25" s="76">
        <f>SUM(L23:L24)</f>
        <v>2328646</v>
      </c>
      <c r="M25" s="76">
        <f>SUM(M23:M24)</f>
        <v>-2328646</v>
      </c>
    </row>
    <row r="26" spans="1:14" ht="13.5" thickTop="1" x14ac:dyDescent="0.2">
      <c r="B26" s="58"/>
      <c r="C26" s="68"/>
      <c r="D26" s="68"/>
      <c r="E26" s="58"/>
      <c r="F26" s="48"/>
      <c r="G26" s="48"/>
      <c r="H26" s="67"/>
      <c r="I26" s="48"/>
      <c r="J26" s="48"/>
      <c r="K26" s="58"/>
      <c r="L26" s="68"/>
      <c r="M26" s="68"/>
    </row>
    <row r="27" spans="1:14" x14ac:dyDescent="0.2">
      <c r="B27" s="77"/>
      <c r="E27" s="77"/>
      <c r="H27" s="77"/>
      <c r="K27" s="78"/>
    </row>
    <row r="28" spans="1:14" x14ac:dyDescent="0.2">
      <c r="A28" s="55" t="s">
        <v>102</v>
      </c>
      <c r="B28" s="77"/>
      <c r="D28" s="48">
        <f>总帐!Q60</f>
        <v>-30420.29</v>
      </c>
      <c r="E28" s="77"/>
      <c r="H28" s="77"/>
      <c r="K28" s="78"/>
      <c r="L28" s="48">
        <f t="shared" ref="L28:L37" si="2">IF(SUM($C28:$J28)&gt;0,SUM($C28:$J28),0)</f>
        <v>0</v>
      </c>
      <c r="M28" s="48">
        <f t="shared" ref="M28:M37" si="3">IF(SUM($C28:$J28)&lt;0,SUM($C28:$J28),0)</f>
        <v>-30420.29</v>
      </c>
    </row>
    <row r="29" spans="1:14" x14ac:dyDescent="0.2">
      <c r="A29" s="55" t="s">
        <v>96</v>
      </c>
      <c r="B29" s="77"/>
      <c r="D29" s="48">
        <f>总帐!R60</f>
        <v>-564.79999999999995</v>
      </c>
      <c r="E29" s="77"/>
      <c r="F29" s="48"/>
      <c r="H29" s="77"/>
      <c r="K29" s="78"/>
      <c r="L29" s="48">
        <f t="shared" si="2"/>
        <v>0</v>
      </c>
      <c r="M29" s="48">
        <f t="shared" si="3"/>
        <v>-564.79999999999995</v>
      </c>
    </row>
    <row r="30" spans="1:14" x14ac:dyDescent="0.2">
      <c r="A30" s="55" t="s">
        <v>42</v>
      </c>
      <c r="B30" s="77"/>
      <c r="C30" s="48">
        <f>总帐!S60</f>
        <v>343.18012399999998</v>
      </c>
      <c r="E30" s="77"/>
      <c r="H30" s="77"/>
      <c r="K30" s="78"/>
      <c r="L30" s="48">
        <f t="shared" si="2"/>
        <v>343.18012399999998</v>
      </c>
      <c r="M30" s="48">
        <f t="shared" si="3"/>
        <v>0</v>
      </c>
    </row>
    <row r="31" spans="1:14" x14ac:dyDescent="0.2">
      <c r="A31" s="55" t="s">
        <v>103</v>
      </c>
      <c r="B31" s="77"/>
      <c r="C31" s="48">
        <f>总帐!T60</f>
        <v>915</v>
      </c>
      <c r="E31" s="77"/>
      <c r="H31" s="77"/>
      <c r="K31" s="78"/>
      <c r="L31" s="48">
        <f t="shared" si="2"/>
        <v>915</v>
      </c>
      <c r="M31" s="48">
        <f t="shared" si="3"/>
        <v>0</v>
      </c>
    </row>
    <row r="32" spans="1:14" x14ac:dyDescent="0.2">
      <c r="A32" s="55" t="s">
        <v>104</v>
      </c>
      <c r="B32" s="77"/>
      <c r="C32" s="48">
        <f>总帐!U60</f>
        <v>19</v>
      </c>
      <c r="E32" s="77"/>
      <c r="F32" s="64"/>
      <c r="H32" s="77"/>
      <c r="K32" s="78"/>
      <c r="L32" s="48">
        <f t="shared" si="2"/>
        <v>19</v>
      </c>
      <c r="M32" s="48">
        <f t="shared" si="3"/>
        <v>0</v>
      </c>
    </row>
    <row r="33" spans="1:13" x14ac:dyDescent="0.2">
      <c r="A33" s="55" t="s">
        <v>63</v>
      </c>
      <c r="B33" s="77"/>
      <c r="C33" s="48">
        <f>总帐!V60</f>
        <v>25894</v>
      </c>
      <c r="E33" s="77"/>
      <c r="H33" s="77"/>
      <c r="K33" s="78"/>
      <c r="L33" s="48">
        <f t="shared" si="2"/>
        <v>25894</v>
      </c>
      <c r="M33" s="48">
        <f t="shared" si="3"/>
        <v>0</v>
      </c>
    </row>
    <row r="34" spans="1:13" x14ac:dyDescent="0.2">
      <c r="A34" s="55" t="s">
        <v>64</v>
      </c>
      <c r="B34" s="77"/>
      <c r="C34" s="48">
        <f>总帐!W60</f>
        <v>1523</v>
      </c>
      <c r="E34" s="77"/>
      <c r="H34" s="77"/>
      <c r="K34" s="78"/>
      <c r="L34" s="48">
        <f t="shared" si="2"/>
        <v>1523</v>
      </c>
      <c r="M34" s="48">
        <f t="shared" si="3"/>
        <v>0</v>
      </c>
    </row>
    <row r="35" spans="1:13" x14ac:dyDescent="0.2">
      <c r="A35" s="55" t="s">
        <v>105</v>
      </c>
      <c r="B35" s="77"/>
      <c r="C35" s="48">
        <f>总帐!X60</f>
        <v>1400</v>
      </c>
      <c r="E35" s="77"/>
      <c r="H35" s="77"/>
      <c r="K35" s="78"/>
      <c r="L35" s="48">
        <f t="shared" si="2"/>
        <v>1400</v>
      </c>
      <c r="M35" s="48">
        <f t="shared" si="3"/>
        <v>0</v>
      </c>
    </row>
    <row r="36" spans="1:13" x14ac:dyDescent="0.2">
      <c r="A36" s="55" t="s">
        <v>106</v>
      </c>
      <c r="B36" s="77"/>
      <c r="C36" s="48">
        <f>总帐!Y60</f>
        <v>1939.82</v>
      </c>
      <c r="E36" s="77"/>
      <c r="H36" s="77"/>
      <c r="K36" s="78"/>
      <c r="L36" s="48">
        <f t="shared" si="2"/>
        <v>1939.82</v>
      </c>
      <c r="M36" s="48">
        <f t="shared" si="3"/>
        <v>0</v>
      </c>
    </row>
    <row r="37" spans="1:13" x14ac:dyDescent="0.2">
      <c r="A37" s="55" t="s">
        <v>53</v>
      </c>
      <c r="B37" s="77"/>
      <c r="D37" s="48">
        <f>总帐!Z60</f>
        <v>-234.50710000000001</v>
      </c>
      <c r="E37" s="77"/>
      <c r="H37" s="77"/>
      <c r="K37" s="78"/>
      <c r="L37" s="48">
        <f t="shared" si="2"/>
        <v>0</v>
      </c>
      <c r="M37" s="48">
        <f t="shared" si="3"/>
        <v>-234.50710000000001</v>
      </c>
    </row>
    <row r="38" spans="1:13" x14ac:dyDescent="0.2">
      <c r="B38" s="77"/>
      <c r="E38" s="77"/>
      <c r="H38" s="77"/>
      <c r="K38" s="78"/>
    </row>
    <row r="39" spans="1:13" x14ac:dyDescent="0.2">
      <c r="B39" s="77"/>
      <c r="C39" s="79">
        <f>SUM(C29:C37)</f>
        <v>32034.000123999998</v>
      </c>
      <c r="D39" s="79">
        <f>SUM(D28:D37)</f>
        <v>-31219.597099999999</v>
      </c>
      <c r="E39" s="77"/>
      <c r="H39" s="77"/>
      <c r="K39" s="78"/>
      <c r="L39" s="79">
        <f>SUM(L29:L37)</f>
        <v>32034.000123999998</v>
      </c>
      <c r="M39" s="79">
        <f>SUM(M28:M37)</f>
        <v>-31219.597099999999</v>
      </c>
    </row>
    <row r="40" spans="1:13" x14ac:dyDescent="0.2">
      <c r="A40" s="65" t="s">
        <v>95</v>
      </c>
      <c r="B40" s="77"/>
      <c r="C40" s="74">
        <f>IF($C$39+$D$39&lt;0,-($C$39+$D$39),0)</f>
        <v>0</v>
      </c>
      <c r="D40" s="74">
        <f>IF($C$39+$D$39&gt;0,-($C$39+$D$39),0)</f>
        <v>-814.40302399999928</v>
      </c>
      <c r="E40" s="77"/>
      <c r="H40" s="77"/>
      <c r="K40" s="78"/>
      <c r="L40" s="74">
        <f>IF($L$39+$M$39&lt;0,-($L$39+$M$39),0)</f>
        <v>0</v>
      </c>
      <c r="M40" s="74">
        <f>IF($L$39+$M$39&gt;0,-($L$39+$M$39),0)</f>
        <v>-814.40302399999928</v>
      </c>
    </row>
    <row r="41" spans="1:13" ht="13.5" thickBot="1" x14ac:dyDescent="0.25">
      <c r="B41" s="77"/>
      <c r="C41" s="76">
        <f>SUM(C39:C40)</f>
        <v>32034.000123999998</v>
      </c>
      <c r="D41" s="76">
        <f>SUM(D39:D40)</f>
        <v>-32034.000123999998</v>
      </c>
      <c r="E41" s="77"/>
      <c r="H41" s="77"/>
      <c r="K41" s="78"/>
      <c r="L41" s="76">
        <f>SUM(L39:L40)</f>
        <v>32034.000123999998</v>
      </c>
      <c r="M41" s="76">
        <f>SUM(M39:M40)</f>
        <v>-32034.000123999998</v>
      </c>
    </row>
    <row r="42" spans="1:13" ht="13.5" thickTop="1" x14ac:dyDescent="0.2">
      <c r="B42" s="77"/>
      <c r="C42" s="68"/>
      <c r="D42" s="68"/>
      <c r="E42" s="77"/>
      <c r="H42" s="77"/>
      <c r="K42" s="78"/>
      <c r="L42" s="68"/>
      <c r="M42" s="68"/>
    </row>
    <row r="43" spans="1:13" hidden="1" x14ac:dyDescent="0.2">
      <c r="A43" s="55" t="s">
        <v>97</v>
      </c>
      <c r="B43" s="77"/>
      <c r="C43" s="68"/>
      <c r="D43" s="68"/>
      <c r="E43" s="77"/>
      <c r="H43" s="77"/>
      <c r="K43" s="78"/>
      <c r="L43" s="68"/>
      <c r="M43" s="68">
        <f>-L40</f>
        <v>0</v>
      </c>
    </row>
    <row r="44" spans="1:13" hidden="1" x14ac:dyDescent="0.2">
      <c r="A44" s="55" t="s">
        <v>98</v>
      </c>
      <c r="B44" s="77"/>
      <c r="C44" s="68"/>
      <c r="D44" s="68"/>
      <c r="E44" s="77"/>
      <c r="F44" s="64">
        <f>[43]JE!F26</f>
        <v>9483.9600000000009</v>
      </c>
      <c r="H44" s="77"/>
      <c r="I44" s="64"/>
      <c r="K44" s="78"/>
      <c r="L44" s="48">
        <f t="shared" ref="L44" si="4">IF(SUM($C44:$J44)&gt;0,SUM($C44:$J44),0)</f>
        <v>9483.9600000000009</v>
      </c>
      <c r="M44" s="48">
        <f t="shared" ref="M44" si="5">IF(SUM($C44:$J44)&lt;0,SUM($C44:$J44),0)</f>
        <v>0</v>
      </c>
    </row>
    <row r="45" spans="1:13" hidden="1" x14ac:dyDescent="0.2">
      <c r="A45" s="55" t="s">
        <v>99</v>
      </c>
      <c r="B45" s="77"/>
      <c r="C45" s="68"/>
      <c r="D45" s="68"/>
      <c r="E45" s="77"/>
      <c r="H45" s="77"/>
      <c r="K45" s="78"/>
      <c r="L45" s="68">
        <f>SUM(L43:M44)*-1</f>
        <v>-9483.9600000000009</v>
      </c>
      <c r="M45" s="68">
        <v>0</v>
      </c>
    </row>
    <row r="46" spans="1:13" ht="13.5" hidden="1" thickBot="1" x14ac:dyDescent="0.25">
      <c r="B46" s="77"/>
      <c r="C46" s="68"/>
      <c r="D46" s="68"/>
      <c r="E46" s="77"/>
      <c r="H46" s="77"/>
      <c r="K46" s="78"/>
      <c r="L46" s="80">
        <f>SUM(L44:L45)</f>
        <v>0</v>
      </c>
      <c r="M46" s="80">
        <f>SUM(M43:M45)</f>
        <v>0</v>
      </c>
    </row>
    <row r="47" spans="1:13" x14ac:dyDescent="0.2">
      <c r="B47" s="77"/>
      <c r="C47" s="68"/>
      <c r="D47" s="68"/>
      <c r="E47" s="77"/>
      <c r="H47" s="77"/>
      <c r="K47" s="78"/>
    </row>
    <row r="51" spans="6:6" x14ac:dyDescent="0.2">
      <c r="F51" s="55" t="s">
        <v>100</v>
      </c>
    </row>
  </sheetData>
  <mergeCells count="4">
    <mergeCell ref="C6:D6"/>
    <mergeCell ref="F6:G6"/>
    <mergeCell ref="I6:J6"/>
    <mergeCell ref="L6:M6"/>
  </mergeCells>
  <printOptions gridLines="1"/>
  <pageMargins left="0.90551181102362199" right="0.70866141732283505" top="0.74803149606299202" bottom="0.74803149606299202" header="0.31496062992126" footer="0.31496062992126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D5EF3-312E-45AC-BCE5-BB0D43F3955A}">
  <dimension ref="A1:WWJ75"/>
  <sheetViews>
    <sheetView tabSelected="1" zoomScaleNormal="100" workbookViewId="0">
      <pane xSplit="6" ySplit="6" topLeftCell="G7" activePane="bottomRight" state="frozen"/>
      <selection pane="topRight" activeCell="D1" sqref="D1"/>
      <selection pane="bottomLeft" activeCell="A6" sqref="A6"/>
      <selection pane="bottomRight" activeCell="G51" sqref="G51"/>
    </sheetView>
  </sheetViews>
  <sheetFormatPr defaultColWidth="9.140625" defaultRowHeight="12.75" x14ac:dyDescent="0.2"/>
  <cols>
    <col min="1" max="2" width="10.5703125" style="20" customWidth="1"/>
    <col min="3" max="3" width="35.7109375" style="16" bestFit="1" customWidth="1"/>
    <col min="4" max="4" width="12.85546875" style="16" customWidth="1"/>
    <col min="5" max="5" width="11.85546875" style="16" bestFit="1" customWidth="1"/>
    <col min="6" max="6" width="13.5703125" style="16" bestFit="1" customWidth="1"/>
    <col min="7" max="7" width="10.85546875" style="16" bestFit="1" customWidth="1"/>
    <col min="8" max="8" width="12.85546875" style="16" bestFit="1" customWidth="1"/>
    <col min="9" max="10" width="9.85546875" style="16" bestFit="1" customWidth="1"/>
    <col min="11" max="11" width="11.42578125" style="16" customWidth="1"/>
    <col min="12" max="12" width="10.28515625" style="16" hidden="1" customWidth="1"/>
    <col min="13" max="13" width="13.5703125" style="16" bestFit="1" customWidth="1"/>
    <col min="14" max="15" width="11.42578125" style="16" hidden="1" customWidth="1"/>
    <col min="16" max="16" width="1.7109375" style="16" customWidth="1"/>
    <col min="17" max="17" width="11.140625" style="16" customWidth="1"/>
    <col min="18" max="18" width="8.85546875" style="16" customWidth="1"/>
    <col min="19" max="19" width="8.28515625" style="16" bestFit="1" customWidth="1"/>
    <col min="20" max="20" width="11.5703125" style="16" customWidth="1"/>
    <col min="21" max="21" width="9.28515625" style="16" customWidth="1"/>
    <col min="22" max="22" width="10.28515625" style="16" bestFit="1" customWidth="1"/>
    <col min="23" max="25" width="9.28515625" style="16" customWidth="1"/>
    <col min="26" max="26" width="10.85546875" style="16" customWidth="1"/>
    <col min="27" max="27" width="10.7109375" style="16" customWidth="1"/>
    <col min="28" max="28" width="12.85546875" style="16" bestFit="1" customWidth="1"/>
    <col min="29" max="256" width="9.140625" style="16"/>
    <col min="257" max="257" width="10" style="16" customWidth="1"/>
    <col min="258" max="258" width="0" style="16" hidden="1" customWidth="1"/>
    <col min="259" max="259" width="28.5703125" style="16" customWidth="1"/>
    <col min="260" max="260" width="11.85546875" style="16" bestFit="1" customWidth="1"/>
    <col min="261" max="261" width="11.28515625" style="16" bestFit="1" customWidth="1"/>
    <col min="262" max="263" width="10.85546875" style="16" bestFit="1" customWidth="1"/>
    <col min="264" max="264" width="10.28515625" style="16" bestFit="1" customWidth="1"/>
    <col min="265" max="265" width="11.28515625" style="16" bestFit="1" customWidth="1"/>
    <col min="266" max="269" width="10.28515625" style="16" customWidth="1"/>
    <col min="270" max="270" width="11.85546875" style="16" bestFit="1" customWidth="1"/>
    <col min="271" max="272" width="11.28515625" style="16" bestFit="1" customWidth="1"/>
    <col min="273" max="273" width="11.85546875" style="16" bestFit="1" customWidth="1"/>
    <col min="274" max="276" width="12.85546875" style="16" customWidth="1"/>
    <col min="277" max="278" width="11.28515625" style="16" bestFit="1" customWidth="1"/>
    <col min="279" max="279" width="1.7109375" style="16" customWidth="1"/>
    <col min="280" max="280" width="11.85546875" style="16" bestFit="1" customWidth="1"/>
    <col min="281" max="281" width="10.85546875" style="16" bestFit="1" customWidth="1"/>
    <col min="282" max="282" width="11.28515625" style="16" customWidth="1"/>
    <col min="283" max="283" width="10.5703125" style="16" bestFit="1" customWidth="1"/>
    <col min="284" max="284" width="12.85546875" style="16" bestFit="1" customWidth="1"/>
    <col min="285" max="512" width="9.140625" style="16"/>
    <col min="513" max="513" width="10" style="16" customWidth="1"/>
    <col min="514" max="514" width="0" style="16" hidden="1" customWidth="1"/>
    <col min="515" max="515" width="28.5703125" style="16" customWidth="1"/>
    <col min="516" max="516" width="11.85546875" style="16" bestFit="1" customWidth="1"/>
    <col min="517" max="517" width="11.28515625" style="16" bestFit="1" customWidth="1"/>
    <col min="518" max="519" width="10.85546875" style="16" bestFit="1" customWidth="1"/>
    <col min="520" max="520" width="10.28515625" style="16" bestFit="1" customWidth="1"/>
    <col min="521" max="521" width="11.28515625" style="16" bestFit="1" customWidth="1"/>
    <col min="522" max="525" width="10.28515625" style="16" customWidth="1"/>
    <col min="526" max="526" width="11.85546875" style="16" bestFit="1" customWidth="1"/>
    <col min="527" max="528" width="11.28515625" style="16" bestFit="1" customWidth="1"/>
    <col min="529" max="529" width="11.85546875" style="16" bestFit="1" customWidth="1"/>
    <col min="530" max="532" width="12.85546875" style="16" customWidth="1"/>
    <col min="533" max="534" width="11.28515625" style="16" bestFit="1" customWidth="1"/>
    <col min="535" max="535" width="1.7109375" style="16" customWidth="1"/>
    <col min="536" max="536" width="11.85546875" style="16" bestFit="1" customWidth="1"/>
    <col min="537" max="537" width="10.85546875" style="16" bestFit="1" customWidth="1"/>
    <col min="538" max="538" width="11.28515625" style="16" customWidth="1"/>
    <col min="539" max="539" width="10.5703125" style="16" bestFit="1" customWidth="1"/>
    <col min="540" max="540" width="12.85546875" style="16" bestFit="1" customWidth="1"/>
    <col min="541" max="768" width="9.140625" style="16"/>
    <col min="769" max="769" width="10" style="16" customWidth="1"/>
    <col min="770" max="770" width="0" style="16" hidden="1" customWidth="1"/>
    <col min="771" max="771" width="28.5703125" style="16" customWidth="1"/>
    <col min="772" max="772" width="11.85546875" style="16" bestFit="1" customWidth="1"/>
    <col min="773" max="773" width="11.28515625" style="16" bestFit="1" customWidth="1"/>
    <col min="774" max="775" width="10.85546875" style="16" bestFit="1" customWidth="1"/>
    <col min="776" max="776" width="10.28515625" style="16" bestFit="1" customWidth="1"/>
    <col min="777" max="777" width="11.28515625" style="16" bestFit="1" customWidth="1"/>
    <col min="778" max="781" width="10.28515625" style="16" customWidth="1"/>
    <col min="782" max="782" width="11.85546875" style="16" bestFit="1" customWidth="1"/>
    <col min="783" max="784" width="11.28515625" style="16" bestFit="1" customWidth="1"/>
    <col min="785" max="785" width="11.85546875" style="16" bestFit="1" customWidth="1"/>
    <col min="786" max="788" width="12.85546875" style="16" customWidth="1"/>
    <col min="789" max="790" width="11.28515625" style="16" bestFit="1" customWidth="1"/>
    <col min="791" max="791" width="1.7109375" style="16" customWidth="1"/>
    <col min="792" max="792" width="11.85546875" style="16" bestFit="1" customWidth="1"/>
    <col min="793" max="793" width="10.85546875" style="16" bestFit="1" customWidth="1"/>
    <col min="794" max="794" width="11.28515625" style="16" customWidth="1"/>
    <col min="795" max="795" width="10.5703125" style="16" bestFit="1" customWidth="1"/>
    <col min="796" max="796" width="12.85546875" style="16" bestFit="1" customWidth="1"/>
    <col min="797" max="1024" width="9.140625" style="16"/>
    <col min="1025" max="1025" width="10" style="16" customWidth="1"/>
    <col min="1026" max="1026" width="0" style="16" hidden="1" customWidth="1"/>
    <col min="1027" max="1027" width="28.5703125" style="16" customWidth="1"/>
    <col min="1028" max="1028" width="11.85546875" style="16" bestFit="1" customWidth="1"/>
    <col min="1029" max="1029" width="11.28515625" style="16" bestFit="1" customWidth="1"/>
    <col min="1030" max="1031" width="10.85546875" style="16" bestFit="1" customWidth="1"/>
    <col min="1032" max="1032" width="10.28515625" style="16" bestFit="1" customWidth="1"/>
    <col min="1033" max="1033" width="11.28515625" style="16" bestFit="1" customWidth="1"/>
    <col min="1034" max="1037" width="10.28515625" style="16" customWidth="1"/>
    <col min="1038" max="1038" width="11.85546875" style="16" bestFit="1" customWidth="1"/>
    <col min="1039" max="1040" width="11.28515625" style="16" bestFit="1" customWidth="1"/>
    <col min="1041" max="1041" width="11.85546875" style="16" bestFit="1" customWidth="1"/>
    <col min="1042" max="1044" width="12.85546875" style="16" customWidth="1"/>
    <col min="1045" max="1046" width="11.28515625" style="16" bestFit="1" customWidth="1"/>
    <col min="1047" max="1047" width="1.7109375" style="16" customWidth="1"/>
    <col min="1048" max="1048" width="11.85546875" style="16" bestFit="1" customWidth="1"/>
    <col min="1049" max="1049" width="10.85546875" style="16" bestFit="1" customWidth="1"/>
    <col min="1050" max="1050" width="11.28515625" style="16" customWidth="1"/>
    <col min="1051" max="1051" width="10.5703125" style="16" bestFit="1" customWidth="1"/>
    <col min="1052" max="1052" width="12.85546875" style="16" bestFit="1" customWidth="1"/>
    <col min="1053" max="1280" width="9.140625" style="16"/>
    <col min="1281" max="1281" width="10" style="16" customWidth="1"/>
    <col min="1282" max="1282" width="0" style="16" hidden="1" customWidth="1"/>
    <col min="1283" max="1283" width="28.5703125" style="16" customWidth="1"/>
    <col min="1284" max="1284" width="11.85546875" style="16" bestFit="1" customWidth="1"/>
    <col min="1285" max="1285" width="11.28515625" style="16" bestFit="1" customWidth="1"/>
    <col min="1286" max="1287" width="10.85546875" style="16" bestFit="1" customWidth="1"/>
    <col min="1288" max="1288" width="10.28515625" style="16" bestFit="1" customWidth="1"/>
    <col min="1289" max="1289" width="11.28515625" style="16" bestFit="1" customWidth="1"/>
    <col min="1290" max="1293" width="10.28515625" style="16" customWidth="1"/>
    <col min="1294" max="1294" width="11.85546875" style="16" bestFit="1" customWidth="1"/>
    <col min="1295" max="1296" width="11.28515625" style="16" bestFit="1" customWidth="1"/>
    <col min="1297" max="1297" width="11.85546875" style="16" bestFit="1" customWidth="1"/>
    <col min="1298" max="1300" width="12.85546875" style="16" customWidth="1"/>
    <col min="1301" max="1302" width="11.28515625" style="16" bestFit="1" customWidth="1"/>
    <col min="1303" max="1303" width="1.7109375" style="16" customWidth="1"/>
    <col min="1304" max="1304" width="11.85546875" style="16" bestFit="1" customWidth="1"/>
    <col min="1305" max="1305" width="10.85546875" style="16" bestFit="1" customWidth="1"/>
    <col min="1306" max="1306" width="11.28515625" style="16" customWidth="1"/>
    <col min="1307" max="1307" width="10.5703125" style="16" bestFit="1" customWidth="1"/>
    <col min="1308" max="1308" width="12.85546875" style="16" bestFit="1" customWidth="1"/>
    <col min="1309" max="1536" width="9.140625" style="16"/>
    <col min="1537" max="1537" width="10" style="16" customWidth="1"/>
    <col min="1538" max="1538" width="0" style="16" hidden="1" customWidth="1"/>
    <col min="1539" max="1539" width="28.5703125" style="16" customWidth="1"/>
    <col min="1540" max="1540" width="11.85546875" style="16" bestFit="1" customWidth="1"/>
    <col min="1541" max="1541" width="11.28515625" style="16" bestFit="1" customWidth="1"/>
    <col min="1542" max="1543" width="10.85546875" style="16" bestFit="1" customWidth="1"/>
    <col min="1544" max="1544" width="10.28515625" style="16" bestFit="1" customWidth="1"/>
    <col min="1545" max="1545" width="11.28515625" style="16" bestFit="1" customWidth="1"/>
    <col min="1546" max="1549" width="10.28515625" style="16" customWidth="1"/>
    <col min="1550" max="1550" width="11.85546875" style="16" bestFit="1" customWidth="1"/>
    <col min="1551" max="1552" width="11.28515625" style="16" bestFit="1" customWidth="1"/>
    <col min="1553" max="1553" width="11.85546875" style="16" bestFit="1" customWidth="1"/>
    <col min="1554" max="1556" width="12.85546875" style="16" customWidth="1"/>
    <col min="1557" max="1558" width="11.28515625" style="16" bestFit="1" customWidth="1"/>
    <col min="1559" max="1559" width="1.7109375" style="16" customWidth="1"/>
    <col min="1560" max="1560" width="11.85546875" style="16" bestFit="1" customWidth="1"/>
    <col min="1561" max="1561" width="10.85546875" style="16" bestFit="1" customWidth="1"/>
    <col min="1562" max="1562" width="11.28515625" style="16" customWidth="1"/>
    <col min="1563" max="1563" width="10.5703125" style="16" bestFit="1" customWidth="1"/>
    <col min="1564" max="1564" width="12.85546875" style="16" bestFit="1" customWidth="1"/>
    <col min="1565" max="1792" width="9.140625" style="16"/>
    <col min="1793" max="1793" width="10" style="16" customWidth="1"/>
    <col min="1794" max="1794" width="0" style="16" hidden="1" customWidth="1"/>
    <col min="1795" max="1795" width="28.5703125" style="16" customWidth="1"/>
    <col min="1796" max="1796" width="11.85546875" style="16" bestFit="1" customWidth="1"/>
    <col min="1797" max="1797" width="11.28515625" style="16" bestFit="1" customWidth="1"/>
    <col min="1798" max="1799" width="10.85546875" style="16" bestFit="1" customWidth="1"/>
    <col min="1800" max="1800" width="10.28515625" style="16" bestFit="1" customWidth="1"/>
    <col min="1801" max="1801" width="11.28515625" style="16" bestFit="1" customWidth="1"/>
    <col min="1802" max="1805" width="10.28515625" style="16" customWidth="1"/>
    <col min="1806" max="1806" width="11.85546875" style="16" bestFit="1" customWidth="1"/>
    <col min="1807" max="1808" width="11.28515625" style="16" bestFit="1" customWidth="1"/>
    <col min="1809" max="1809" width="11.85546875" style="16" bestFit="1" customWidth="1"/>
    <col min="1810" max="1812" width="12.85546875" style="16" customWidth="1"/>
    <col min="1813" max="1814" width="11.28515625" style="16" bestFit="1" customWidth="1"/>
    <col min="1815" max="1815" width="1.7109375" style="16" customWidth="1"/>
    <col min="1816" max="1816" width="11.85546875" style="16" bestFit="1" customWidth="1"/>
    <col min="1817" max="1817" width="10.85546875" style="16" bestFit="1" customWidth="1"/>
    <col min="1818" max="1818" width="11.28515625" style="16" customWidth="1"/>
    <col min="1819" max="1819" width="10.5703125" style="16" bestFit="1" customWidth="1"/>
    <col min="1820" max="1820" width="12.85546875" style="16" bestFit="1" customWidth="1"/>
    <col min="1821" max="2048" width="9.140625" style="16"/>
    <col min="2049" max="2049" width="10" style="16" customWidth="1"/>
    <col min="2050" max="2050" width="0" style="16" hidden="1" customWidth="1"/>
    <col min="2051" max="2051" width="28.5703125" style="16" customWidth="1"/>
    <col min="2052" max="2052" width="11.85546875" style="16" bestFit="1" customWidth="1"/>
    <col min="2053" max="2053" width="11.28515625" style="16" bestFit="1" customWidth="1"/>
    <col min="2054" max="2055" width="10.85546875" style="16" bestFit="1" customWidth="1"/>
    <col min="2056" max="2056" width="10.28515625" style="16" bestFit="1" customWidth="1"/>
    <col min="2057" max="2057" width="11.28515625" style="16" bestFit="1" customWidth="1"/>
    <col min="2058" max="2061" width="10.28515625" style="16" customWidth="1"/>
    <col min="2062" max="2062" width="11.85546875" style="16" bestFit="1" customWidth="1"/>
    <col min="2063" max="2064" width="11.28515625" style="16" bestFit="1" customWidth="1"/>
    <col min="2065" max="2065" width="11.85546875" style="16" bestFit="1" customWidth="1"/>
    <col min="2066" max="2068" width="12.85546875" style="16" customWidth="1"/>
    <col min="2069" max="2070" width="11.28515625" style="16" bestFit="1" customWidth="1"/>
    <col min="2071" max="2071" width="1.7109375" style="16" customWidth="1"/>
    <col min="2072" max="2072" width="11.85546875" style="16" bestFit="1" customWidth="1"/>
    <col min="2073" max="2073" width="10.85546875" style="16" bestFit="1" customWidth="1"/>
    <col min="2074" max="2074" width="11.28515625" style="16" customWidth="1"/>
    <col min="2075" max="2075" width="10.5703125" style="16" bestFit="1" customWidth="1"/>
    <col min="2076" max="2076" width="12.85546875" style="16" bestFit="1" customWidth="1"/>
    <col min="2077" max="2304" width="9.140625" style="16"/>
    <col min="2305" max="2305" width="10" style="16" customWidth="1"/>
    <col min="2306" max="2306" width="0" style="16" hidden="1" customWidth="1"/>
    <col min="2307" max="2307" width="28.5703125" style="16" customWidth="1"/>
    <col min="2308" max="2308" width="11.85546875" style="16" bestFit="1" customWidth="1"/>
    <col min="2309" max="2309" width="11.28515625" style="16" bestFit="1" customWidth="1"/>
    <col min="2310" max="2311" width="10.85546875" style="16" bestFit="1" customWidth="1"/>
    <col min="2312" max="2312" width="10.28515625" style="16" bestFit="1" customWidth="1"/>
    <col min="2313" max="2313" width="11.28515625" style="16" bestFit="1" customWidth="1"/>
    <col min="2314" max="2317" width="10.28515625" style="16" customWidth="1"/>
    <col min="2318" max="2318" width="11.85546875" style="16" bestFit="1" customWidth="1"/>
    <col min="2319" max="2320" width="11.28515625" style="16" bestFit="1" customWidth="1"/>
    <col min="2321" max="2321" width="11.85546875" style="16" bestFit="1" customWidth="1"/>
    <col min="2322" max="2324" width="12.85546875" style="16" customWidth="1"/>
    <col min="2325" max="2326" width="11.28515625" style="16" bestFit="1" customWidth="1"/>
    <col min="2327" max="2327" width="1.7109375" style="16" customWidth="1"/>
    <col min="2328" max="2328" width="11.85546875" style="16" bestFit="1" customWidth="1"/>
    <col min="2329" max="2329" width="10.85546875" style="16" bestFit="1" customWidth="1"/>
    <col min="2330" max="2330" width="11.28515625" style="16" customWidth="1"/>
    <col min="2331" max="2331" width="10.5703125" style="16" bestFit="1" customWidth="1"/>
    <col min="2332" max="2332" width="12.85546875" style="16" bestFit="1" customWidth="1"/>
    <col min="2333" max="2560" width="9.140625" style="16"/>
    <col min="2561" max="2561" width="10" style="16" customWidth="1"/>
    <col min="2562" max="2562" width="0" style="16" hidden="1" customWidth="1"/>
    <col min="2563" max="2563" width="28.5703125" style="16" customWidth="1"/>
    <col min="2564" max="2564" width="11.85546875" style="16" bestFit="1" customWidth="1"/>
    <col min="2565" max="2565" width="11.28515625" style="16" bestFit="1" customWidth="1"/>
    <col min="2566" max="2567" width="10.85546875" style="16" bestFit="1" customWidth="1"/>
    <col min="2568" max="2568" width="10.28515625" style="16" bestFit="1" customWidth="1"/>
    <col min="2569" max="2569" width="11.28515625" style="16" bestFit="1" customWidth="1"/>
    <col min="2570" max="2573" width="10.28515625" style="16" customWidth="1"/>
    <col min="2574" max="2574" width="11.85546875" style="16" bestFit="1" customWidth="1"/>
    <col min="2575" max="2576" width="11.28515625" style="16" bestFit="1" customWidth="1"/>
    <col min="2577" max="2577" width="11.85546875" style="16" bestFit="1" customWidth="1"/>
    <col min="2578" max="2580" width="12.85546875" style="16" customWidth="1"/>
    <col min="2581" max="2582" width="11.28515625" style="16" bestFit="1" customWidth="1"/>
    <col min="2583" max="2583" width="1.7109375" style="16" customWidth="1"/>
    <col min="2584" max="2584" width="11.85546875" style="16" bestFit="1" customWidth="1"/>
    <col min="2585" max="2585" width="10.85546875" style="16" bestFit="1" customWidth="1"/>
    <col min="2586" max="2586" width="11.28515625" style="16" customWidth="1"/>
    <col min="2587" max="2587" width="10.5703125" style="16" bestFit="1" customWidth="1"/>
    <col min="2588" max="2588" width="12.85546875" style="16" bestFit="1" customWidth="1"/>
    <col min="2589" max="2816" width="9.140625" style="16"/>
    <col min="2817" max="2817" width="10" style="16" customWidth="1"/>
    <col min="2818" max="2818" width="0" style="16" hidden="1" customWidth="1"/>
    <col min="2819" max="2819" width="28.5703125" style="16" customWidth="1"/>
    <col min="2820" max="2820" width="11.85546875" style="16" bestFit="1" customWidth="1"/>
    <col min="2821" max="2821" width="11.28515625" style="16" bestFit="1" customWidth="1"/>
    <col min="2822" max="2823" width="10.85546875" style="16" bestFit="1" customWidth="1"/>
    <col min="2824" max="2824" width="10.28515625" style="16" bestFit="1" customWidth="1"/>
    <col min="2825" max="2825" width="11.28515625" style="16" bestFit="1" customWidth="1"/>
    <col min="2826" max="2829" width="10.28515625" style="16" customWidth="1"/>
    <col min="2830" max="2830" width="11.85546875" style="16" bestFit="1" customWidth="1"/>
    <col min="2831" max="2832" width="11.28515625" style="16" bestFit="1" customWidth="1"/>
    <col min="2833" max="2833" width="11.85546875" style="16" bestFit="1" customWidth="1"/>
    <col min="2834" max="2836" width="12.85546875" style="16" customWidth="1"/>
    <col min="2837" max="2838" width="11.28515625" style="16" bestFit="1" customWidth="1"/>
    <col min="2839" max="2839" width="1.7109375" style="16" customWidth="1"/>
    <col min="2840" max="2840" width="11.85546875" style="16" bestFit="1" customWidth="1"/>
    <col min="2841" max="2841" width="10.85546875" style="16" bestFit="1" customWidth="1"/>
    <col min="2842" max="2842" width="11.28515625" style="16" customWidth="1"/>
    <col min="2843" max="2843" width="10.5703125" style="16" bestFit="1" customWidth="1"/>
    <col min="2844" max="2844" width="12.85546875" style="16" bestFit="1" customWidth="1"/>
    <col min="2845" max="3072" width="9.140625" style="16"/>
    <col min="3073" max="3073" width="10" style="16" customWidth="1"/>
    <col min="3074" max="3074" width="0" style="16" hidden="1" customWidth="1"/>
    <col min="3075" max="3075" width="28.5703125" style="16" customWidth="1"/>
    <col min="3076" max="3076" width="11.85546875" style="16" bestFit="1" customWidth="1"/>
    <col min="3077" max="3077" width="11.28515625" style="16" bestFit="1" customWidth="1"/>
    <col min="3078" max="3079" width="10.85546875" style="16" bestFit="1" customWidth="1"/>
    <col min="3080" max="3080" width="10.28515625" style="16" bestFit="1" customWidth="1"/>
    <col min="3081" max="3081" width="11.28515625" style="16" bestFit="1" customWidth="1"/>
    <col min="3082" max="3085" width="10.28515625" style="16" customWidth="1"/>
    <col min="3086" max="3086" width="11.85546875" style="16" bestFit="1" customWidth="1"/>
    <col min="3087" max="3088" width="11.28515625" style="16" bestFit="1" customWidth="1"/>
    <col min="3089" max="3089" width="11.85546875" style="16" bestFit="1" customWidth="1"/>
    <col min="3090" max="3092" width="12.85546875" style="16" customWidth="1"/>
    <col min="3093" max="3094" width="11.28515625" style="16" bestFit="1" customWidth="1"/>
    <col min="3095" max="3095" width="1.7109375" style="16" customWidth="1"/>
    <col min="3096" max="3096" width="11.85546875" style="16" bestFit="1" customWidth="1"/>
    <col min="3097" max="3097" width="10.85546875" style="16" bestFit="1" customWidth="1"/>
    <col min="3098" max="3098" width="11.28515625" style="16" customWidth="1"/>
    <col min="3099" max="3099" width="10.5703125" style="16" bestFit="1" customWidth="1"/>
    <col min="3100" max="3100" width="12.85546875" style="16" bestFit="1" customWidth="1"/>
    <col min="3101" max="3328" width="9.140625" style="16"/>
    <col min="3329" max="3329" width="10" style="16" customWidth="1"/>
    <col min="3330" max="3330" width="0" style="16" hidden="1" customWidth="1"/>
    <col min="3331" max="3331" width="28.5703125" style="16" customWidth="1"/>
    <col min="3332" max="3332" width="11.85546875" style="16" bestFit="1" customWidth="1"/>
    <col min="3333" max="3333" width="11.28515625" style="16" bestFit="1" customWidth="1"/>
    <col min="3334" max="3335" width="10.85546875" style="16" bestFit="1" customWidth="1"/>
    <col min="3336" max="3336" width="10.28515625" style="16" bestFit="1" customWidth="1"/>
    <col min="3337" max="3337" width="11.28515625" style="16" bestFit="1" customWidth="1"/>
    <col min="3338" max="3341" width="10.28515625" style="16" customWidth="1"/>
    <col min="3342" max="3342" width="11.85546875" style="16" bestFit="1" customWidth="1"/>
    <col min="3343" max="3344" width="11.28515625" style="16" bestFit="1" customWidth="1"/>
    <col min="3345" max="3345" width="11.85546875" style="16" bestFit="1" customWidth="1"/>
    <col min="3346" max="3348" width="12.85546875" style="16" customWidth="1"/>
    <col min="3349" max="3350" width="11.28515625" style="16" bestFit="1" customWidth="1"/>
    <col min="3351" max="3351" width="1.7109375" style="16" customWidth="1"/>
    <col min="3352" max="3352" width="11.85546875" style="16" bestFit="1" customWidth="1"/>
    <col min="3353" max="3353" width="10.85546875" style="16" bestFit="1" customWidth="1"/>
    <col min="3354" max="3354" width="11.28515625" style="16" customWidth="1"/>
    <col min="3355" max="3355" width="10.5703125" style="16" bestFit="1" customWidth="1"/>
    <col min="3356" max="3356" width="12.85546875" style="16" bestFit="1" customWidth="1"/>
    <col min="3357" max="3584" width="9.140625" style="16"/>
    <col min="3585" max="3585" width="10" style="16" customWidth="1"/>
    <col min="3586" max="3586" width="0" style="16" hidden="1" customWidth="1"/>
    <col min="3587" max="3587" width="28.5703125" style="16" customWidth="1"/>
    <col min="3588" max="3588" width="11.85546875" style="16" bestFit="1" customWidth="1"/>
    <col min="3589" max="3589" width="11.28515625" style="16" bestFit="1" customWidth="1"/>
    <col min="3590" max="3591" width="10.85546875" style="16" bestFit="1" customWidth="1"/>
    <col min="3592" max="3592" width="10.28515625" style="16" bestFit="1" customWidth="1"/>
    <col min="3593" max="3593" width="11.28515625" style="16" bestFit="1" customWidth="1"/>
    <col min="3594" max="3597" width="10.28515625" style="16" customWidth="1"/>
    <col min="3598" max="3598" width="11.85546875" style="16" bestFit="1" customWidth="1"/>
    <col min="3599" max="3600" width="11.28515625" style="16" bestFit="1" customWidth="1"/>
    <col min="3601" max="3601" width="11.85546875" style="16" bestFit="1" customWidth="1"/>
    <col min="3602" max="3604" width="12.85546875" style="16" customWidth="1"/>
    <col min="3605" max="3606" width="11.28515625" style="16" bestFit="1" customWidth="1"/>
    <col min="3607" max="3607" width="1.7109375" style="16" customWidth="1"/>
    <col min="3608" max="3608" width="11.85546875" style="16" bestFit="1" customWidth="1"/>
    <col min="3609" max="3609" width="10.85546875" style="16" bestFit="1" customWidth="1"/>
    <col min="3610" max="3610" width="11.28515625" style="16" customWidth="1"/>
    <col min="3611" max="3611" width="10.5703125" style="16" bestFit="1" customWidth="1"/>
    <col min="3612" max="3612" width="12.85546875" style="16" bestFit="1" customWidth="1"/>
    <col min="3613" max="3840" width="9.140625" style="16"/>
    <col min="3841" max="3841" width="10" style="16" customWidth="1"/>
    <col min="3842" max="3842" width="0" style="16" hidden="1" customWidth="1"/>
    <col min="3843" max="3843" width="28.5703125" style="16" customWidth="1"/>
    <col min="3844" max="3844" width="11.85546875" style="16" bestFit="1" customWidth="1"/>
    <col min="3845" max="3845" width="11.28515625" style="16" bestFit="1" customWidth="1"/>
    <col min="3846" max="3847" width="10.85546875" style="16" bestFit="1" customWidth="1"/>
    <col min="3848" max="3848" width="10.28515625" style="16" bestFit="1" customWidth="1"/>
    <col min="3849" max="3849" width="11.28515625" style="16" bestFit="1" customWidth="1"/>
    <col min="3850" max="3853" width="10.28515625" style="16" customWidth="1"/>
    <col min="3854" max="3854" width="11.85546875" style="16" bestFit="1" customWidth="1"/>
    <col min="3855" max="3856" width="11.28515625" style="16" bestFit="1" customWidth="1"/>
    <col min="3857" max="3857" width="11.85546875" style="16" bestFit="1" customWidth="1"/>
    <col min="3858" max="3860" width="12.85546875" style="16" customWidth="1"/>
    <col min="3861" max="3862" width="11.28515625" style="16" bestFit="1" customWidth="1"/>
    <col min="3863" max="3863" width="1.7109375" style="16" customWidth="1"/>
    <col min="3864" max="3864" width="11.85546875" style="16" bestFit="1" customWidth="1"/>
    <col min="3865" max="3865" width="10.85546875" style="16" bestFit="1" customWidth="1"/>
    <col min="3866" max="3866" width="11.28515625" style="16" customWidth="1"/>
    <col min="3867" max="3867" width="10.5703125" style="16" bestFit="1" customWidth="1"/>
    <col min="3868" max="3868" width="12.85546875" style="16" bestFit="1" customWidth="1"/>
    <col min="3869" max="4096" width="9.140625" style="16"/>
    <col min="4097" max="4097" width="10" style="16" customWidth="1"/>
    <col min="4098" max="4098" width="0" style="16" hidden="1" customWidth="1"/>
    <col min="4099" max="4099" width="28.5703125" style="16" customWidth="1"/>
    <col min="4100" max="4100" width="11.85546875" style="16" bestFit="1" customWidth="1"/>
    <col min="4101" max="4101" width="11.28515625" style="16" bestFit="1" customWidth="1"/>
    <col min="4102" max="4103" width="10.85546875" style="16" bestFit="1" customWidth="1"/>
    <col min="4104" max="4104" width="10.28515625" style="16" bestFit="1" customWidth="1"/>
    <col min="4105" max="4105" width="11.28515625" style="16" bestFit="1" customWidth="1"/>
    <col min="4106" max="4109" width="10.28515625" style="16" customWidth="1"/>
    <col min="4110" max="4110" width="11.85546875" style="16" bestFit="1" customWidth="1"/>
    <col min="4111" max="4112" width="11.28515625" style="16" bestFit="1" customWidth="1"/>
    <col min="4113" max="4113" width="11.85546875" style="16" bestFit="1" customWidth="1"/>
    <col min="4114" max="4116" width="12.85546875" style="16" customWidth="1"/>
    <col min="4117" max="4118" width="11.28515625" style="16" bestFit="1" customWidth="1"/>
    <col min="4119" max="4119" width="1.7109375" style="16" customWidth="1"/>
    <col min="4120" max="4120" width="11.85546875" style="16" bestFit="1" customWidth="1"/>
    <col min="4121" max="4121" width="10.85546875" style="16" bestFit="1" customWidth="1"/>
    <col min="4122" max="4122" width="11.28515625" style="16" customWidth="1"/>
    <col min="4123" max="4123" width="10.5703125" style="16" bestFit="1" customWidth="1"/>
    <col min="4124" max="4124" width="12.85546875" style="16" bestFit="1" customWidth="1"/>
    <col min="4125" max="4352" width="9.140625" style="16"/>
    <col min="4353" max="4353" width="10" style="16" customWidth="1"/>
    <col min="4354" max="4354" width="0" style="16" hidden="1" customWidth="1"/>
    <col min="4355" max="4355" width="28.5703125" style="16" customWidth="1"/>
    <col min="4356" max="4356" width="11.85546875" style="16" bestFit="1" customWidth="1"/>
    <col min="4357" max="4357" width="11.28515625" style="16" bestFit="1" customWidth="1"/>
    <col min="4358" max="4359" width="10.85546875" style="16" bestFit="1" customWidth="1"/>
    <col min="4360" max="4360" width="10.28515625" style="16" bestFit="1" customWidth="1"/>
    <col min="4361" max="4361" width="11.28515625" style="16" bestFit="1" customWidth="1"/>
    <col min="4362" max="4365" width="10.28515625" style="16" customWidth="1"/>
    <col min="4366" max="4366" width="11.85546875" style="16" bestFit="1" customWidth="1"/>
    <col min="4367" max="4368" width="11.28515625" style="16" bestFit="1" customWidth="1"/>
    <col min="4369" max="4369" width="11.85546875" style="16" bestFit="1" customWidth="1"/>
    <col min="4370" max="4372" width="12.85546875" style="16" customWidth="1"/>
    <col min="4373" max="4374" width="11.28515625" style="16" bestFit="1" customWidth="1"/>
    <col min="4375" max="4375" width="1.7109375" style="16" customWidth="1"/>
    <col min="4376" max="4376" width="11.85546875" style="16" bestFit="1" customWidth="1"/>
    <col min="4377" max="4377" width="10.85546875" style="16" bestFit="1" customWidth="1"/>
    <col min="4378" max="4378" width="11.28515625" style="16" customWidth="1"/>
    <col min="4379" max="4379" width="10.5703125" style="16" bestFit="1" customWidth="1"/>
    <col min="4380" max="4380" width="12.85546875" style="16" bestFit="1" customWidth="1"/>
    <col min="4381" max="4608" width="9.140625" style="16"/>
    <col min="4609" max="4609" width="10" style="16" customWidth="1"/>
    <col min="4610" max="4610" width="0" style="16" hidden="1" customWidth="1"/>
    <col min="4611" max="4611" width="28.5703125" style="16" customWidth="1"/>
    <col min="4612" max="4612" width="11.85546875" style="16" bestFit="1" customWidth="1"/>
    <col min="4613" max="4613" width="11.28515625" style="16" bestFit="1" customWidth="1"/>
    <col min="4614" max="4615" width="10.85546875" style="16" bestFit="1" customWidth="1"/>
    <col min="4616" max="4616" width="10.28515625" style="16" bestFit="1" customWidth="1"/>
    <col min="4617" max="4617" width="11.28515625" style="16" bestFit="1" customWidth="1"/>
    <col min="4618" max="4621" width="10.28515625" style="16" customWidth="1"/>
    <col min="4622" max="4622" width="11.85546875" style="16" bestFit="1" customWidth="1"/>
    <col min="4623" max="4624" width="11.28515625" style="16" bestFit="1" customWidth="1"/>
    <col min="4625" max="4625" width="11.85546875" style="16" bestFit="1" customWidth="1"/>
    <col min="4626" max="4628" width="12.85546875" style="16" customWidth="1"/>
    <col min="4629" max="4630" width="11.28515625" style="16" bestFit="1" customWidth="1"/>
    <col min="4631" max="4631" width="1.7109375" style="16" customWidth="1"/>
    <col min="4632" max="4632" width="11.85546875" style="16" bestFit="1" customWidth="1"/>
    <col min="4633" max="4633" width="10.85546875" style="16" bestFit="1" customWidth="1"/>
    <col min="4634" max="4634" width="11.28515625" style="16" customWidth="1"/>
    <col min="4635" max="4635" width="10.5703125" style="16" bestFit="1" customWidth="1"/>
    <col min="4636" max="4636" width="12.85546875" style="16" bestFit="1" customWidth="1"/>
    <col min="4637" max="4864" width="9.140625" style="16"/>
    <col min="4865" max="4865" width="10" style="16" customWidth="1"/>
    <col min="4866" max="4866" width="0" style="16" hidden="1" customWidth="1"/>
    <col min="4867" max="4867" width="28.5703125" style="16" customWidth="1"/>
    <col min="4868" max="4868" width="11.85546875" style="16" bestFit="1" customWidth="1"/>
    <col min="4869" max="4869" width="11.28515625" style="16" bestFit="1" customWidth="1"/>
    <col min="4870" max="4871" width="10.85546875" style="16" bestFit="1" customWidth="1"/>
    <col min="4872" max="4872" width="10.28515625" style="16" bestFit="1" customWidth="1"/>
    <col min="4873" max="4873" width="11.28515625" style="16" bestFit="1" customWidth="1"/>
    <col min="4874" max="4877" width="10.28515625" style="16" customWidth="1"/>
    <col min="4878" max="4878" width="11.85546875" style="16" bestFit="1" customWidth="1"/>
    <col min="4879" max="4880" width="11.28515625" style="16" bestFit="1" customWidth="1"/>
    <col min="4881" max="4881" width="11.85546875" style="16" bestFit="1" customWidth="1"/>
    <col min="4882" max="4884" width="12.85546875" style="16" customWidth="1"/>
    <col min="4885" max="4886" width="11.28515625" style="16" bestFit="1" customWidth="1"/>
    <col min="4887" max="4887" width="1.7109375" style="16" customWidth="1"/>
    <col min="4888" max="4888" width="11.85546875" style="16" bestFit="1" customWidth="1"/>
    <col min="4889" max="4889" width="10.85546875" style="16" bestFit="1" customWidth="1"/>
    <col min="4890" max="4890" width="11.28515625" style="16" customWidth="1"/>
    <col min="4891" max="4891" width="10.5703125" style="16" bestFit="1" customWidth="1"/>
    <col min="4892" max="4892" width="12.85546875" style="16" bestFit="1" customWidth="1"/>
    <col min="4893" max="5120" width="9.140625" style="16"/>
    <col min="5121" max="5121" width="10" style="16" customWidth="1"/>
    <col min="5122" max="5122" width="0" style="16" hidden="1" customWidth="1"/>
    <col min="5123" max="5123" width="28.5703125" style="16" customWidth="1"/>
    <col min="5124" max="5124" width="11.85546875" style="16" bestFit="1" customWidth="1"/>
    <col min="5125" max="5125" width="11.28515625" style="16" bestFit="1" customWidth="1"/>
    <col min="5126" max="5127" width="10.85546875" style="16" bestFit="1" customWidth="1"/>
    <col min="5128" max="5128" width="10.28515625" style="16" bestFit="1" customWidth="1"/>
    <col min="5129" max="5129" width="11.28515625" style="16" bestFit="1" customWidth="1"/>
    <col min="5130" max="5133" width="10.28515625" style="16" customWidth="1"/>
    <col min="5134" max="5134" width="11.85546875" style="16" bestFit="1" customWidth="1"/>
    <col min="5135" max="5136" width="11.28515625" style="16" bestFit="1" customWidth="1"/>
    <col min="5137" max="5137" width="11.85546875" style="16" bestFit="1" customWidth="1"/>
    <col min="5138" max="5140" width="12.85546875" style="16" customWidth="1"/>
    <col min="5141" max="5142" width="11.28515625" style="16" bestFit="1" customWidth="1"/>
    <col min="5143" max="5143" width="1.7109375" style="16" customWidth="1"/>
    <col min="5144" max="5144" width="11.85546875" style="16" bestFit="1" customWidth="1"/>
    <col min="5145" max="5145" width="10.85546875" style="16" bestFit="1" customWidth="1"/>
    <col min="5146" max="5146" width="11.28515625" style="16" customWidth="1"/>
    <col min="5147" max="5147" width="10.5703125" style="16" bestFit="1" customWidth="1"/>
    <col min="5148" max="5148" width="12.85546875" style="16" bestFit="1" customWidth="1"/>
    <col min="5149" max="5376" width="9.140625" style="16"/>
    <col min="5377" max="5377" width="10" style="16" customWidth="1"/>
    <col min="5378" max="5378" width="0" style="16" hidden="1" customWidth="1"/>
    <col min="5379" max="5379" width="28.5703125" style="16" customWidth="1"/>
    <col min="5380" max="5380" width="11.85546875" style="16" bestFit="1" customWidth="1"/>
    <col min="5381" max="5381" width="11.28515625" style="16" bestFit="1" customWidth="1"/>
    <col min="5382" max="5383" width="10.85546875" style="16" bestFit="1" customWidth="1"/>
    <col min="5384" max="5384" width="10.28515625" style="16" bestFit="1" customWidth="1"/>
    <col min="5385" max="5385" width="11.28515625" style="16" bestFit="1" customWidth="1"/>
    <col min="5386" max="5389" width="10.28515625" style="16" customWidth="1"/>
    <col min="5390" max="5390" width="11.85546875" style="16" bestFit="1" customWidth="1"/>
    <col min="5391" max="5392" width="11.28515625" style="16" bestFit="1" customWidth="1"/>
    <col min="5393" max="5393" width="11.85546875" style="16" bestFit="1" customWidth="1"/>
    <col min="5394" max="5396" width="12.85546875" style="16" customWidth="1"/>
    <col min="5397" max="5398" width="11.28515625" style="16" bestFit="1" customWidth="1"/>
    <col min="5399" max="5399" width="1.7109375" style="16" customWidth="1"/>
    <col min="5400" max="5400" width="11.85546875" style="16" bestFit="1" customWidth="1"/>
    <col min="5401" max="5401" width="10.85546875" style="16" bestFit="1" customWidth="1"/>
    <col min="5402" max="5402" width="11.28515625" style="16" customWidth="1"/>
    <col min="5403" max="5403" width="10.5703125" style="16" bestFit="1" customWidth="1"/>
    <col min="5404" max="5404" width="12.85546875" style="16" bestFit="1" customWidth="1"/>
    <col min="5405" max="5632" width="9.140625" style="16"/>
    <col min="5633" max="5633" width="10" style="16" customWidth="1"/>
    <col min="5634" max="5634" width="0" style="16" hidden="1" customWidth="1"/>
    <col min="5635" max="5635" width="28.5703125" style="16" customWidth="1"/>
    <col min="5636" max="5636" width="11.85546875" style="16" bestFit="1" customWidth="1"/>
    <col min="5637" max="5637" width="11.28515625" style="16" bestFit="1" customWidth="1"/>
    <col min="5638" max="5639" width="10.85546875" style="16" bestFit="1" customWidth="1"/>
    <col min="5640" max="5640" width="10.28515625" style="16" bestFit="1" customWidth="1"/>
    <col min="5641" max="5641" width="11.28515625" style="16" bestFit="1" customWidth="1"/>
    <col min="5642" max="5645" width="10.28515625" style="16" customWidth="1"/>
    <col min="5646" max="5646" width="11.85546875" style="16" bestFit="1" customWidth="1"/>
    <col min="5647" max="5648" width="11.28515625" style="16" bestFit="1" customWidth="1"/>
    <col min="5649" max="5649" width="11.85546875" style="16" bestFit="1" customWidth="1"/>
    <col min="5650" max="5652" width="12.85546875" style="16" customWidth="1"/>
    <col min="5653" max="5654" width="11.28515625" style="16" bestFit="1" customWidth="1"/>
    <col min="5655" max="5655" width="1.7109375" style="16" customWidth="1"/>
    <col min="5656" max="5656" width="11.85546875" style="16" bestFit="1" customWidth="1"/>
    <col min="5657" max="5657" width="10.85546875" style="16" bestFit="1" customWidth="1"/>
    <col min="5658" max="5658" width="11.28515625" style="16" customWidth="1"/>
    <col min="5659" max="5659" width="10.5703125" style="16" bestFit="1" customWidth="1"/>
    <col min="5660" max="5660" width="12.85546875" style="16" bestFit="1" customWidth="1"/>
    <col min="5661" max="5888" width="9.140625" style="16"/>
    <col min="5889" max="5889" width="10" style="16" customWidth="1"/>
    <col min="5890" max="5890" width="0" style="16" hidden="1" customWidth="1"/>
    <col min="5891" max="5891" width="28.5703125" style="16" customWidth="1"/>
    <col min="5892" max="5892" width="11.85546875" style="16" bestFit="1" customWidth="1"/>
    <col min="5893" max="5893" width="11.28515625" style="16" bestFit="1" customWidth="1"/>
    <col min="5894" max="5895" width="10.85546875" style="16" bestFit="1" customWidth="1"/>
    <col min="5896" max="5896" width="10.28515625" style="16" bestFit="1" customWidth="1"/>
    <col min="5897" max="5897" width="11.28515625" style="16" bestFit="1" customWidth="1"/>
    <col min="5898" max="5901" width="10.28515625" style="16" customWidth="1"/>
    <col min="5902" max="5902" width="11.85546875" style="16" bestFit="1" customWidth="1"/>
    <col min="5903" max="5904" width="11.28515625" style="16" bestFit="1" customWidth="1"/>
    <col min="5905" max="5905" width="11.85546875" style="16" bestFit="1" customWidth="1"/>
    <col min="5906" max="5908" width="12.85546875" style="16" customWidth="1"/>
    <col min="5909" max="5910" width="11.28515625" style="16" bestFit="1" customWidth="1"/>
    <col min="5911" max="5911" width="1.7109375" style="16" customWidth="1"/>
    <col min="5912" max="5912" width="11.85546875" style="16" bestFit="1" customWidth="1"/>
    <col min="5913" max="5913" width="10.85546875" style="16" bestFit="1" customWidth="1"/>
    <col min="5914" max="5914" width="11.28515625" style="16" customWidth="1"/>
    <col min="5915" max="5915" width="10.5703125" style="16" bestFit="1" customWidth="1"/>
    <col min="5916" max="5916" width="12.85546875" style="16" bestFit="1" customWidth="1"/>
    <col min="5917" max="6144" width="9.140625" style="16"/>
    <col min="6145" max="6145" width="10" style="16" customWidth="1"/>
    <col min="6146" max="6146" width="0" style="16" hidden="1" customWidth="1"/>
    <col min="6147" max="6147" width="28.5703125" style="16" customWidth="1"/>
    <col min="6148" max="6148" width="11.85546875" style="16" bestFit="1" customWidth="1"/>
    <col min="6149" max="6149" width="11.28515625" style="16" bestFit="1" customWidth="1"/>
    <col min="6150" max="6151" width="10.85546875" style="16" bestFit="1" customWidth="1"/>
    <col min="6152" max="6152" width="10.28515625" style="16" bestFit="1" customWidth="1"/>
    <col min="6153" max="6153" width="11.28515625" style="16" bestFit="1" customWidth="1"/>
    <col min="6154" max="6157" width="10.28515625" style="16" customWidth="1"/>
    <col min="6158" max="6158" width="11.85546875" style="16" bestFit="1" customWidth="1"/>
    <col min="6159" max="6160" width="11.28515625" style="16" bestFit="1" customWidth="1"/>
    <col min="6161" max="6161" width="11.85546875" style="16" bestFit="1" customWidth="1"/>
    <col min="6162" max="6164" width="12.85546875" style="16" customWidth="1"/>
    <col min="6165" max="6166" width="11.28515625" style="16" bestFit="1" customWidth="1"/>
    <col min="6167" max="6167" width="1.7109375" style="16" customWidth="1"/>
    <col min="6168" max="6168" width="11.85546875" style="16" bestFit="1" customWidth="1"/>
    <col min="6169" max="6169" width="10.85546875" style="16" bestFit="1" customWidth="1"/>
    <col min="6170" max="6170" width="11.28515625" style="16" customWidth="1"/>
    <col min="6171" max="6171" width="10.5703125" style="16" bestFit="1" customWidth="1"/>
    <col min="6172" max="6172" width="12.85546875" style="16" bestFit="1" customWidth="1"/>
    <col min="6173" max="6400" width="9.140625" style="16"/>
    <col min="6401" max="6401" width="10" style="16" customWidth="1"/>
    <col min="6402" max="6402" width="0" style="16" hidden="1" customWidth="1"/>
    <col min="6403" max="6403" width="28.5703125" style="16" customWidth="1"/>
    <col min="6404" max="6404" width="11.85546875" style="16" bestFit="1" customWidth="1"/>
    <col min="6405" max="6405" width="11.28515625" style="16" bestFit="1" customWidth="1"/>
    <col min="6406" max="6407" width="10.85546875" style="16" bestFit="1" customWidth="1"/>
    <col min="6408" max="6408" width="10.28515625" style="16" bestFit="1" customWidth="1"/>
    <col min="6409" max="6409" width="11.28515625" style="16" bestFit="1" customWidth="1"/>
    <col min="6410" max="6413" width="10.28515625" style="16" customWidth="1"/>
    <col min="6414" max="6414" width="11.85546875" style="16" bestFit="1" customWidth="1"/>
    <col min="6415" max="6416" width="11.28515625" style="16" bestFit="1" customWidth="1"/>
    <col min="6417" max="6417" width="11.85546875" style="16" bestFit="1" customWidth="1"/>
    <col min="6418" max="6420" width="12.85546875" style="16" customWidth="1"/>
    <col min="6421" max="6422" width="11.28515625" style="16" bestFit="1" customWidth="1"/>
    <col min="6423" max="6423" width="1.7109375" style="16" customWidth="1"/>
    <col min="6424" max="6424" width="11.85546875" style="16" bestFit="1" customWidth="1"/>
    <col min="6425" max="6425" width="10.85546875" style="16" bestFit="1" customWidth="1"/>
    <col min="6426" max="6426" width="11.28515625" style="16" customWidth="1"/>
    <col min="6427" max="6427" width="10.5703125" style="16" bestFit="1" customWidth="1"/>
    <col min="6428" max="6428" width="12.85546875" style="16" bestFit="1" customWidth="1"/>
    <col min="6429" max="6656" width="9.140625" style="16"/>
    <col min="6657" max="6657" width="10" style="16" customWidth="1"/>
    <col min="6658" max="6658" width="0" style="16" hidden="1" customWidth="1"/>
    <col min="6659" max="6659" width="28.5703125" style="16" customWidth="1"/>
    <col min="6660" max="6660" width="11.85546875" style="16" bestFit="1" customWidth="1"/>
    <col min="6661" max="6661" width="11.28515625" style="16" bestFit="1" customWidth="1"/>
    <col min="6662" max="6663" width="10.85546875" style="16" bestFit="1" customWidth="1"/>
    <col min="6664" max="6664" width="10.28515625" style="16" bestFit="1" customWidth="1"/>
    <col min="6665" max="6665" width="11.28515625" style="16" bestFit="1" customWidth="1"/>
    <col min="6666" max="6669" width="10.28515625" style="16" customWidth="1"/>
    <col min="6670" max="6670" width="11.85546875" style="16" bestFit="1" customWidth="1"/>
    <col min="6671" max="6672" width="11.28515625" style="16" bestFit="1" customWidth="1"/>
    <col min="6673" max="6673" width="11.85546875" style="16" bestFit="1" customWidth="1"/>
    <col min="6674" max="6676" width="12.85546875" style="16" customWidth="1"/>
    <col min="6677" max="6678" width="11.28515625" style="16" bestFit="1" customWidth="1"/>
    <col min="6679" max="6679" width="1.7109375" style="16" customWidth="1"/>
    <col min="6680" max="6680" width="11.85546875" style="16" bestFit="1" customWidth="1"/>
    <col min="6681" max="6681" width="10.85546875" style="16" bestFit="1" customWidth="1"/>
    <col min="6682" max="6682" width="11.28515625" style="16" customWidth="1"/>
    <col min="6683" max="6683" width="10.5703125" style="16" bestFit="1" customWidth="1"/>
    <col min="6684" max="6684" width="12.85546875" style="16" bestFit="1" customWidth="1"/>
    <col min="6685" max="6912" width="9.140625" style="16"/>
    <col min="6913" max="6913" width="10" style="16" customWidth="1"/>
    <col min="6914" max="6914" width="0" style="16" hidden="1" customWidth="1"/>
    <col min="6915" max="6915" width="28.5703125" style="16" customWidth="1"/>
    <col min="6916" max="6916" width="11.85546875" style="16" bestFit="1" customWidth="1"/>
    <col min="6917" max="6917" width="11.28515625" style="16" bestFit="1" customWidth="1"/>
    <col min="6918" max="6919" width="10.85546875" style="16" bestFit="1" customWidth="1"/>
    <col min="6920" max="6920" width="10.28515625" style="16" bestFit="1" customWidth="1"/>
    <col min="6921" max="6921" width="11.28515625" style="16" bestFit="1" customWidth="1"/>
    <col min="6922" max="6925" width="10.28515625" style="16" customWidth="1"/>
    <col min="6926" max="6926" width="11.85546875" style="16" bestFit="1" customWidth="1"/>
    <col min="6927" max="6928" width="11.28515625" style="16" bestFit="1" customWidth="1"/>
    <col min="6929" max="6929" width="11.85546875" style="16" bestFit="1" customWidth="1"/>
    <col min="6930" max="6932" width="12.85546875" style="16" customWidth="1"/>
    <col min="6933" max="6934" width="11.28515625" style="16" bestFit="1" customWidth="1"/>
    <col min="6935" max="6935" width="1.7109375" style="16" customWidth="1"/>
    <col min="6936" max="6936" width="11.85546875" style="16" bestFit="1" customWidth="1"/>
    <col min="6937" max="6937" width="10.85546875" style="16" bestFit="1" customWidth="1"/>
    <col min="6938" max="6938" width="11.28515625" style="16" customWidth="1"/>
    <col min="6939" max="6939" width="10.5703125" style="16" bestFit="1" customWidth="1"/>
    <col min="6940" max="6940" width="12.85546875" style="16" bestFit="1" customWidth="1"/>
    <col min="6941" max="7168" width="9.140625" style="16"/>
    <col min="7169" max="7169" width="10" style="16" customWidth="1"/>
    <col min="7170" max="7170" width="0" style="16" hidden="1" customWidth="1"/>
    <col min="7171" max="7171" width="28.5703125" style="16" customWidth="1"/>
    <col min="7172" max="7172" width="11.85546875" style="16" bestFit="1" customWidth="1"/>
    <col min="7173" max="7173" width="11.28515625" style="16" bestFit="1" customWidth="1"/>
    <col min="7174" max="7175" width="10.85546875" style="16" bestFit="1" customWidth="1"/>
    <col min="7176" max="7176" width="10.28515625" style="16" bestFit="1" customWidth="1"/>
    <col min="7177" max="7177" width="11.28515625" style="16" bestFit="1" customWidth="1"/>
    <col min="7178" max="7181" width="10.28515625" style="16" customWidth="1"/>
    <col min="7182" max="7182" width="11.85546875" style="16" bestFit="1" customWidth="1"/>
    <col min="7183" max="7184" width="11.28515625" style="16" bestFit="1" customWidth="1"/>
    <col min="7185" max="7185" width="11.85546875" style="16" bestFit="1" customWidth="1"/>
    <col min="7186" max="7188" width="12.85546875" style="16" customWidth="1"/>
    <col min="7189" max="7190" width="11.28515625" style="16" bestFit="1" customWidth="1"/>
    <col min="7191" max="7191" width="1.7109375" style="16" customWidth="1"/>
    <col min="7192" max="7192" width="11.85546875" style="16" bestFit="1" customWidth="1"/>
    <col min="7193" max="7193" width="10.85546875" style="16" bestFit="1" customWidth="1"/>
    <col min="7194" max="7194" width="11.28515625" style="16" customWidth="1"/>
    <col min="7195" max="7195" width="10.5703125" style="16" bestFit="1" customWidth="1"/>
    <col min="7196" max="7196" width="12.85546875" style="16" bestFit="1" customWidth="1"/>
    <col min="7197" max="7424" width="9.140625" style="16"/>
    <col min="7425" max="7425" width="10" style="16" customWidth="1"/>
    <col min="7426" max="7426" width="0" style="16" hidden="1" customWidth="1"/>
    <col min="7427" max="7427" width="28.5703125" style="16" customWidth="1"/>
    <col min="7428" max="7428" width="11.85546875" style="16" bestFit="1" customWidth="1"/>
    <col min="7429" max="7429" width="11.28515625" style="16" bestFit="1" customWidth="1"/>
    <col min="7430" max="7431" width="10.85546875" style="16" bestFit="1" customWidth="1"/>
    <col min="7432" max="7432" width="10.28515625" style="16" bestFit="1" customWidth="1"/>
    <col min="7433" max="7433" width="11.28515625" style="16" bestFit="1" customWidth="1"/>
    <col min="7434" max="7437" width="10.28515625" style="16" customWidth="1"/>
    <col min="7438" max="7438" width="11.85546875" style="16" bestFit="1" customWidth="1"/>
    <col min="7439" max="7440" width="11.28515625" style="16" bestFit="1" customWidth="1"/>
    <col min="7441" max="7441" width="11.85546875" style="16" bestFit="1" customWidth="1"/>
    <col min="7442" max="7444" width="12.85546875" style="16" customWidth="1"/>
    <col min="7445" max="7446" width="11.28515625" style="16" bestFit="1" customWidth="1"/>
    <col min="7447" max="7447" width="1.7109375" style="16" customWidth="1"/>
    <col min="7448" max="7448" width="11.85546875" style="16" bestFit="1" customWidth="1"/>
    <col min="7449" max="7449" width="10.85546875" style="16" bestFit="1" customWidth="1"/>
    <col min="7450" max="7450" width="11.28515625" style="16" customWidth="1"/>
    <col min="7451" max="7451" width="10.5703125" style="16" bestFit="1" customWidth="1"/>
    <col min="7452" max="7452" width="12.85546875" style="16" bestFit="1" customWidth="1"/>
    <col min="7453" max="7680" width="9.140625" style="16"/>
    <col min="7681" max="7681" width="10" style="16" customWidth="1"/>
    <col min="7682" max="7682" width="0" style="16" hidden="1" customWidth="1"/>
    <col min="7683" max="7683" width="28.5703125" style="16" customWidth="1"/>
    <col min="7684" max="7684" width="11.85546875" style="16" bestFit="1" customWidth="1"/>
    <col min="7685" max="7685" width="11.28515625" style="16" bestFit="1" customWidth="1"/>
    <col min="7686" max="7687" width="10.85546875" style="16" bestFit="1" customWidth="1"/>
    <col min="7688" max="7688" width="10.28515625" style="16" bestFit="1" customWidth="1"/>
    <col min="7689" max="7689" width="11.28515625" style="16" bestFit="1" customWidth="1"/>
    <col min="7690" max="7693" width="10.28515625" style="16" customWidth="1"/>
    <col min="7694" max="7694" width="11.85546875" style="16" bestFit="1" customWidth="1"/>
    <col min="7695" max="7696" width="11.28515625" style="16" bestFit="1" customWidth="1"/>
    <col min="7697" max="7697" width="11.85546875" style="16" bestFit="1" customWidth="1"/>
    <col min="7698" max="7700" width="12.85546875" style="16" customWidth="1"/>
    <col min="7701" max="7702" width="11.28515625" style="16" bestFit="1" customWidth="1"/>
    <col min="7703" max="7703" width="1.7109375" style="16" customWidth="1"/>
    <col min="7704" max="7704" width="11.85546875" style="16" bestFit="1" customWidth="1"/>
    <col min="7705" max="7705" width="10.85546875" style="16" bestFit="1" customWidth="1"/>
    <col min="7706" max="7706" width="11.28515625" style="16" customWidth="1"/>
    <col min="7707" max="7707" width="10.5703125" style="16" bestFit="1" customWidth="1"/>
    <col min="7708" max="7708" width="12.85546875" style="16" bestFit="1" customWidth="1"/>
    <col min="7709" max="7936" width="9.140625" style="16"/>
    <col min="7937" max="7937" width="10" style="16" customWidth="1"/>
    <col min="7938" max="7938" width="0" style="16" hidden="1" customWidth="1"/>
    <col min="7939" max="7939" width="28.5703125" style="16" customWidth="1"/>
    <col min="7940" max="7940" width="11.85546875" style="16" bestFit="1" customWidth="1"/>
    <col min="7941" max="7941" width="11.28515625" style="16" bestFit="1" customWidth="1"/>
    <col min="7942" max="7943" width="10.85546875" style="16" bestFit="1" customWidth="1"/>
    <col min="7944" max="7944" width="10.28515625" style="16" bestFit="1" customWidth="1"/>
    <col min="7945" max="7945" width="11.28515625" style="16" bestFit="1" customWidth="1"/>
    <col min="7946" max="7949" width="10.28515625" style="16" customWidth="1"/>
    <col min="7950" max="7950" width="11.85546875" style="16" bestFit="1" customWidth="1"/>
    <col min="7951" max="7952" width="11.28515625" style="16" bestFit="1" customWidth="1"/>
    <col min="7953" max="7953" width="11.85546875" style="16" bestFit="1" customWidth="1"/>
    <col min="7954" max="7956" width="12.85546875" style="16" customWidth="1"/>
    <col min="7957" max="7958" width="11.28515625" style="16" bestFit="1" customWidth="1"/>
    <col min="7959" max="7959" width="1.7109375" style="16" customWidth="1"/>
    <col min="7960" max="7960" width="11.85546875" style="16" bestFit="1" customWidth="1"/>
    <col min="7961" max="7961" width="10.85546875" style="16" bestFit="1" customWidth="1"/>
    <col min="7962" max="7962" width="11.28515625" style="16" customWidth="1"/>
    <col min="7963" max="7963" width="10.5703125" style="16" bestFit="1" customWidth="1"/>
    <col min="7964" max="7964" width="12.85546875" style="16" bestFit="1" customWidth="1"/>
    <col min="7965" max="8192" width="9.140625" style="16"/>
    <col min="8193" max="8193" width="10" style="16" customWidth="1"/>
    <col min="8194" max="8194" width="0" style="16" hidden="1" customWidth="1"/>
    <col min="8195" max="8195" width="28.5703125" style="16" customWidth="1"/>
    <col min="8196" max="8196" width="11.85546875" style="16" bestFit="1" customWidth="1"/>
    <col min="8197" max="8197" width="11.28515625" style="16" bestFit="1" customWidth="1"/>
    <col min="8198" max="8199" width="10.85546875" style="16" bestFit="1" customWidth="1"/>
    <col min="8200" max="8200" width="10.28515625" style="16" bestFit="1" customWidth="1"/>
    <col min="8201" max="8201" width="11.28515625" style="16" bestFit="1" customWidth="1"/>
    <col min="8202" max="8205" width="10.28515625" style="16" customWidth="1"/>
    <col min="8206" max="8206" width="11.85546875" style="16" bestFit="1" customWidth="1"/>
    <col min="8207" max="8208" width="11.28515625" style="16" bestFit="1" customWidth="1"/>
    <col min="8209" max="8209" width="11.85546875" style="16" bestFit="1" customWidth="1"/>
    <col min="8210" max="8212" width="12.85546875" style="16" customWidth="1"/>
    <col min="8213" max="8214" width="11.28515625" style="16" bestFit="1" customWidth="1"/>
    <col min="8215" max="8215" width="1.7109375" style="16" customWidth="1"/>
    <col min="8216" max="8216" width="11.85546875" style="16" bestFit="1" customWidth="1"/>
    <col min="8217" max="8217" width="10.85546875" style="16" bestFit="1" customWidth="1"/>
    <col min="8218" max="8218" width="11.28515625" style="16" customWidth="1"/>
    <col min="8219" max="8219" width="10.5703125" style="16" bestFit="1" customWidth="1"/>
    <col min="8220" max="8220" width="12.85546875" style="16" bestFit="1" customWidth="1"/>
    <col min="8221" max="8448" width="9.140625" style="16"/>
    <col min="8449" max="8449" width="10" style="16" customWidth="1"/>
    <col min="8450" max="8450" width="0" style="16" hidden="1" customWidth="1"/>
    <col min="8451" max="8451" width="28.5703125" style="16" customWidth="1"/>
    <col min="8452" max="8452" width="11.85546875" style="16" bestFit="1" customWidth="1"/>
    <col min="8453" max="8453" width="11.28515625" style="16" bestFit="1" customWidth="1"/>
    <col min="8454" max="8455" width="10.85546875" style="16" bestFit="1" customWidth="1"/>
    <col min="8456" max="8456" width="10.28515625" style="16" bestFit="1" customWidth="1"/>
    <col min="8457" max="8457" width="11.28515625" style="16" bestFit="1" customWidth="1"/>
    <col min="8458" max="8461" width="10.28515625" style="16" customWidth="1"/>
    <col min="8462" max="8462" width="11.85546875" style="16" bestFit="1" customWidth="1"/>
    <col min="8463" max="8464" width="11.28515625" style="16" bestFit="1" customWidth="1"/>
    <col min="8465" max="8465" width="11.85546875" style="16" bestFit="1" customWidth="1"/>
    <col min="8466" max="8468" width="12.85546875" style="16" customWidth="1"/>
    <col min="8469" max="8470" width="11.28515625" style="16" bestFit="1" customWidth="1"/>
    <col min="8471" max="8471" width="1.7109375" style="16" customWidth="1"/>
    <col min="8472" max="8472" width="11.85546875" style="16" bestFit="1" customWidth="1"/>
    <col min="8473" max="8473" width="10.85546875" style="16" bestFit="1" customWidth="1"/>
    <col min="8474" max="8474" width="11.28515625" style="16" customWidth="1"/>
    <col min="8475" max="8475" width="10.5703125" style="16" bestFit="1" customWidth="1"/>
    <col min="8476" max="8476" width="12.85546875" style="16" bestFit="1" customWidth="1"/>
    <col min="8477" max="8704" width="9.140625" style="16"/>
    <col min="8705" max="8705" width="10" style="16" customWidth="1"/>
    <col min="8706" max="8706" width="0" style="16" hidden="1" customWidth="1"/>
    <col min="8707" max="8707" width="28.5703125" style="16" customWidth="1"/>
    <col min="8708" max="8708" width="11.85546875" style="16" bestFit="1" customWidth="1"/>
    <col min="8709" max="8709" width="11.28515625" style="16" bestFit="1" customWidth="1"/>
    <col min="8710" max="8711" width="10.85546875" style="16" bestFit="1" customWidth="1"/>
    <col min="8712" max="8712" width="10.28515625" style="16" bestFit="1" customWidth="1"/>
    <col min="8713" max="8713" width="11.28515625" style="16" bestFit="1" customWidth="1"/>
    <col min="8714" max="8717" width="10.28515625" style="16" customWidth="1"/>
    <col min="8718" max="8718" width="11.85546875" style="16" bestFit="1" customWidth="1"/>
    <col min="8719" max="8720" width="11.28515625" style="16" bestFit="1" customWidth="1"/>
    <col min="8721" max="8721" width="11.85546875" style="16" bestFit="1" customWidth="1"/>
    <col min="8722" max="8724" width="12.85546875" style="16" customWidth="1"/>
    <col min="8725" max="8726" width="11.28515625" style="16" bestFit="1" customWidth="1"/>
    <col min="8727" max="8727" width="1.7109375" style="16" customWidth="1"/>
    <col min="8728" max="8728" width="11.85546875" style="16" bestFit="1" customWidth="1"/>
    <col min="8729" max="8729" width="10.85546875" style="16" bestFit="1" customWidth="1"/>
    <col min="8730" max="8730" width="11.28515625" style="16" customWidth="1"/>
    <col min="8731" max="8731" width="10.5703125" style="16" bestFit="1" customWidth="1"/>
    <col min="8732" max="8732" width="12.85546875" style="16" bestFit="1" customWidth="1"/>
    <col min="8733" max="8960" width="9.140625" style="16"/>
    <col min="8961" max="8961" width="10" style="16" customWidth="1"/>
    <col min="8962" max="8962" width="0" style="16" hidden="1" customWidth="1"/>
    <col min="8963" max="8963" width="28.5703125" style="16" customWidth="1"/>
    <col min="8964" max="8964" width="11.85546875" style="16" bestFit="1" customWidth="1"/>
    <col min="8965" max="8965" width="11.28515625" style="16" bestFit="1" customWidth="1"/>
    <col min="8966" max="8967" width="10.85546875" style="16" bestFit="1" customWidth="1"/>
    <col min="8968" max="8968" width="10.28515625" style="16" bestFit="1" customWidth="1"/>
    <col min="8969" max="8969" width="11.28515625" style="16" bestFit="1" customWidth="1"/>
    <col min="8970" max="8973" width="10.28515625" style="16" customWidth="1"/>
    <col min="8974" max="8974" width="11.85546875" style="16" bestFit="1" customWidth="1"/>
    <col min="8975" max="8976" width="11.28515625" style="16" bestFit="1" customWidth="1"/>
    <col min="8977" max="8977" width="11.85546875" style="16" bestFit="1" customWidth="1"/>
    <col min="8978" max="8980" width="12.85546875" style="16" customWidth="1"/>
    <col min="8981" max="8982" width="11.28515625" style="16" bestFit="1" customWidth="1"/>
    <col min="8983" max="8983" width="1.7109375" style="16" customWidth="1"/>
    <col min="8984" max="8984" width="11.85546875" style="16" bestFit="1" customWidth="1"/>
    <col min="8985" max="8985" width="10.85546875" style="16" bestFit="1" customWidth="1"/>
    <col min="8986" max="8986" width="11.28515625" style="16" customWidth="1"/>
    <col min="8987" max="8987" width="10.5703125" style="16" bestFit="1" customWidth="1"/>
    <col min="8988" max="8988" width="12.85546875" style="16" bestFit="1" customWidth="1"/>
    <col min="8989" max="9216" width="9.140625" style="16"/>
    <col min="9217" max="9217" width="10" style="16" customWidth="1"/>
    <col min="9218" max="9218" width="0" style="16" hidden="1" customWidth="1"/>
    <col min="9219" max="9219" width="28.5703125" style="16" customWidth="1"/>
    <col min="9220" max="9220" width="11.85546875" style="16" bestFit="1" customWidth="1"/>
    <col min="9221" max="9221" width="11.28515625" style="16" bestFit="1" customWidth="1"/>
    <col min="9222" max="9223" width="10.85546875" style="16" bestFit="1" customWidth="1"/>
    <col min="9224" max="9224" width="10.28515625" style="16" bestFit="1" customWidth="1"/>
    <col min="9225" max="9225" width="11.28515625" style="16" bestFit="1" customWidth="1"/>
    <col min="9226" max="9229" width="10.28515625" style="16" customWidth="1"/>
    <col min="9230" max="9230" width="11.85546875" style="16" bestFit="1" customWidth="1"/>
    <col min="9231" max="9232" width="11.28515625" style="16" bestFit="1" customWidth="1"/>
    <col min="9233" max="9233" width="11.85546875" style="16" bestFit="1" customWidth="1"/>
    <col min="9234" max="9236" width="12.85546875" style="16" customWidth="1"/>
    <col min="9237" max="9238" width="11.28515625" style="16" bestFit="1" customWidth="1"/>
    <col min="9239" max="9239" width="1.7109375" style="16" customWidth="1"/>
    <col min="9240" max="9240" width="11.85546875" style="16" bestFit="1" customWidth="1"/>
    <col min="9241" max="9241" width="10.85546875" style="16" bestFit="1" customWidth="1"/>
    <col min="9242" max="9242" width="11.28515625" style="16" customWidth="1"/>
    <col min="9243" max="9243" width="10.5703125" style="16" bestFit="1" customWidth="1"/>
    <col min="9244" max="9244" width="12.85546875" style="16" bestFit="1" customWidth="1"/>
    <col min="9245" max="9472" width="9.140625" style="16"/>
    <col min="9473" max="9473" width="10" style="16" customWidth="1"/>
    <col min="9474" max="9474" width="0" style="16" hidden="1" customWidth="1"/>
    <col min="9475" max="9475" width="28.5703125" style="16" customWidth="1"/>
    <col min="9476" max="9476" width="11.85546875" style="16" bestFit="1" customWidth="1"/>
    <col min="9477" max="9477" width="11.28515625" style="16" bestFit="1" customWidth="1"/>
    <col min="9478" max="9479" width="10.85546875" style="16" bestFit="1" customWidth="1"/>
    <col min="9480" max="9480" width="10.28515625" style="16" bestFit="1" customWidth="1"/>
    <col min="9481" max="9481" width="11.28515625" style="16" bestFit="1" customWidth="1"/>
    <col min="9482" max="9485" width="10.28515625" style="16" customWidth="1"/>
    <col min="9486" max="9486" width="11.85546875" style="16" bestFit="1" customWidth="1"/>
    <col min="9487" max="9488" width="11.28515625" style="16" bestFit="1" customWidth="1"/>
    <col min="9489" max="9489" width="11.85546875" style="16" bestFit="1" customWidth="1"/>
    <col min="9490" max="9492" width="12.85546875" style="16" customWidth="1"/>
    <col min="9493" max="9494" width="11.28515625" style="16" bestFit="1" customWidth="1"/>
    <col min="9495" max="9495" width="1.7109375" style="16" customWidth="1"/>
    <col min="9496" max="9496" width="11.85546875" style="16" bestFit="1" customWidth="1"/>
    <col min="9497" max="9497" width="10.85546875" style="16" bestFit="1" customWidth="1"/>
    <col min="9498" max="9498" width="11.28515625" style="16" customWidth="1"/>
    <col min="9499" max="9499" width="10.5703125" style="16" bestFit="1" customWidth="1"/>
    <col min="9500" max="9500" width="12.85546875" style="16" bestFit="1" customWidth="1"/>
    <col min="9501" max="9728" width="9.140625" style="16"/>
    <col min="9729" max="9729" width="10" style="16" customWidth="1"/>
    <col min="9730" max="9730" width="0" style="16" hidden="1" customWidth="1"/>
    <col min="9731" max="9731" width="28.5703125" style="16" customWidth="1"/>
    <col min="9732" max="9732" width="11.85546875" style="16" bestFit="1" customWidth="1"/>
    <col min="9733" max="9733" width="11.28515625" style="16" bestFit="1" customWidth="1"/>
    <col min="9734" max="9735" width="10.85546875" style="16" bestFit="1" customWidth="1"/>
    <col min="9736" max="9736" width="10.28515625" style="16" bestFit="1" customWidth="1"/>
    <col min="9737" max="9737" width="11.28515625" style="16" bestFit="1" customWidth="1"/>
    <col min="9738" max="9741" width="10.28515625" style="16" customWidth="1"/>
    <col min="9742" max="9742" width="11.85546875" style="16" bestFit="1" customWidth="1"/>
    <col min="9743" max="9744" width="11.28515625" style="16" bestFit="1" customWidth="1"/>
    <col min="9745" max="9745" width="11.85546875" style="16" bestFit="1" customWidth="1"/>
    <col min="9746" max="9748" width="12.85546875" style="16" customWidth="1"/>
    <col min="9749" max="9750" width="11.28515625" style="16" bestFit="1" customWidth="1"/>
    <col min="9751" max="9751" width="1.7109375" style="16" customWidth="1"/>
    <col min="9752" max="9752" width="11.85546875" style="16" bestFit="1" customWidth="1"/>
    <col min="9753" max="9753" width="10.85546875" style="16" bestFit="1" customWidth="1"/>
    <col min="9754" max="9754" width="11.28515625" style="16" customWidth="1"/>
    <col min="9755" max="9755" width="10.5703125" style="16" bestFit="1" customWidth="1"/>
    <col min="9756" max="9756" width="12.85546875" style="16" bestFit="1" customWidth="1"/>
    <col min="9757" max="9984" width="9.140625" style="16"/>
    <col min="9985" max="9985" width="10" style="16" customWidth="1"/>
    <col min="9986" max="9986" width="0" style="16" hidden="1" customWidth="1"/>
    <col min="9987" max="9987" width="28.5703125" style="16" customWidth="1"/>
    <col min="9988" max="9988" width="11.85546875" style="16" bestFit="1" customWidth="1"/>
    <col min="9989" max="9989" width="11.28515625" style="16" bestFit="1" customWidth="1"/>
    <col min="9990" max="9991" width="10.85546875" style="16" bestFit="1" customWidth="1"/>
    <col min="9992" max="9992" width="10.28515625" style="16" bestFit="1" customWidth="1"/>
    <col min="9993" max="9993" width="11.28515625" style="16" bestFit="1" customWidth="1"/>
    <col min="9994" max="9997" width="10.28515625" style="16" customWidth="1"/>
    <col min="9998" max="9998" width="11.85546875" style="16" bestFit="1" customWidth="1"/>
    <col min="9999" max="10000" width="11.28515625" style="16" bestFit="1" customWidth="1"/>
    <col min="10001" max="10001" width="11.85546875" style="16" bestFit="1" customWidth="1"/>
    <col min="10002" max="10004" width="12.85546875" style="16" customWidth="1"/>
    <col min="10005" max="10006" width="11.28515625" style="16" bestFit="1" customWidth="1"/>
    <col min="10007" max="10007" width="1.7109375" style="16" customWidth="1"/>
    <col min="10008" max="10008" width="11.85546875" style="16" bestFit="1" customWidth="1"/>
    <col min="10009" max="10009" width="10.85546875" style="16" bestFit="1" customWidth="1"/>
    <col min="10010" max="10010" width="11.28515625" style="16" customWidth="1"/>
    <col min="10011" max="10011" width="10.5703125" style="16" bestFit="1" customWidth="1"/>
    <col min="10012" max="10012" width="12.85546875" style="16" bestFit="1" customWidth="1"/>
    <col min="10013" max="10240" width="9.140625" style="16"/>
    <col min="10241" max="10241" width="10" style="16" customWidth="1"/>
    <col min="10242" max="10242" width="0" style="16" hidden="1" customWidth="1"/>
    <col min="10243" max="10243" width="28.5703125" style="16" customWidth="1"/>
    <col min="10244" max="10244" width="11.85546875" style="16" bestFit="1" customWidth="1"/>
    <col min="10245" max="10245" width="11.28515625" style="16" bestFit="1" customWidth="1"/>
    <col min="10246" max="10247" width="10.85546875" style="16" bestFit="1" customWidth="1"/>
    <col min="10248" max="10248" width="10.28515625" style="16" bestFit="1" customWidth="1"/>
    <col min="10249" max="10249" width="11.28515625" style="16" bestFit="1" customWidth="1"/>
    <col min="10250" max="10253" width="10.28515625" style="16" customWidth="1"/>
    <col min="10254" max="10254" width="11.85546875" style="16" bestFit="1" customWidth="1"/>
    <col min="10255" max="10256" width="11.28515625" style="16" bestFit="1" customWidth="1"/>
    <col min="10257" max="10257" width="11.85546875" style="16" bestFit="1" customWidth="1"/>
    <col min="10258" max="10260" width="12.85546875" style="16" customWidth="1"/>
    <col min="10261" max="10262" width="11.28515625" style="16" bestFit="1" customWidth="1"/>
    <col min="10263" max="10263" width="1.7109375" style="16" customWidth="1"/>
    <col min="10264" max="10264" width="11.85546875" style="16" bestFit="1" customWidth="1"/>
    <col min="10265" max="10265" width="10.85546875" style="16" bestFit="1" customWidth="1"/>
    <col min="10266" max="10266" width="11.28515625" style="16" customWidth="1"/>
    <col min="10267" max="10267" width="10.5703125" style="16" bestFit="1" customWidth="1"/>
    <col min="10268" max="10268" width="12.85546875" style="16" bestFit="1" customWidth="1"/>
    <col min="10269" max="10496" width="9.140625" style="16"/>
    <col min="10497" max="10497" width="10" style="16" customWidth="1"/>
    <col min="10498" max="10498" width="0" style="16" hidden="1" customWidth="1"/>
    <col min="10499" max="10499" width="28.5703125" style="16" customWidth="1"/>
    <col min="10500" max="10500" width="11.85546875" style="16" bestFit="1" customWidth="1"/>
    <col min="10501" max="10501" width="11.28515625" style="16" bestFit="1" customWidth="1"/>
    <col min="10502" max="10503" width="10.85546875" style="16" bestFit="1" customWidth="1"/>
    <col min="10504" max="10504" width="10.28515625" style="16" bestFit="1" customWidth="1"/>
    <col min="10505" max="10505" width="11.28515625" style="16" bestFit="1" customWidth="1"/>
    <col min="10506" max="10509" width="10.28515625" style="16" customWidth="1"/>
    <col min="10510" max="10510" width="11.85546875" style="16" bestFit="1" customWidth="1"/>
    <col min="10511" max="10512" width="11.28515625" style="16" bestFit="1" customWidth="1"/>
    <col min="10513" max="10513" width="11.85546875" style="16" bestFit="1" customWidth="1"/>
    <col min="10514" max="10516" width="12.85546875" style="16" customWidth="1"/>
    <col min="10517" max="10518" width="11.28515625" style="16" bestFit="1" customWidth="1"/>
    <col min="10519" max="10519" width="1.7109375" style="16" customWidth="1"/>
    <col min="10520" max="10520" width="11.85546875" style="16" bestFit="1" customWidth="1"/>
    <col min="10521" max="10521" width="10.85546875" style="16" bestFit="1" customWidth="1"/>
    <col min="10522" max="10522" width="11.28515625" style="16" customWidth="1"/>
    <col min="10523" max="10523" width="10.5703125" style="16" bestFit="1" customWidth="1"/>
    <col min="10524" max="10524" width="12.85546875" style="16" bestFit="1" customWidth="1"/>
    <col min="10525" max="10752" width="9.140625" style="16"/>
    <col min="10753" max="10753" width="10" style="16" customWidth="1"/>
    <col min="10754" max="10754" width="0" style="16" hidden="1" customWidth="1"/>
    <col min="10755" max="10755" width="28.5703125" style="16" customWidth="1"/>
    <col min="10756" max="10756" width="11.85546875" style="16" bestFit="1" customWidth="1"/>
    <col min="10757" max="10757" width="11.28515625" style="16" bestFit="1" customWidth="1"/>
    <col min="10758" max="10759" width="10.85546875" style="16" bestFit="1" customWidth="1"/>
    <col min="10760" max="10760" width="10.28515625" style="16" bestFit="1" customWidth="1"/>
    <col min="10761" max="10761" width="11.28515625" style="16" bestFit="1" customWidth="1"/>
    <col min="10762" max="10765" width="10.28515625" style="16" customWidth="1"/>
    <col min="10766" max="10766" width="11.85546875" style="16" bestFit="1" customWidth="1"/>
    <col min="10767" max="10768" width="11.28515625" style="16" bestFit="1" customWidth="1"/>
    <col min="10769" max="10769" width="11.85546875" style="16" bestFit="1" customWidth="1"/>
    <col min="10770" max="10772" width="12.85546875" style="16" customWidth="1"/>
    <col min="10773" max="10774" width="11.28515625" style="16" bestFit="1" customWidth="1"/>
    <col min="10775" max="10775" width="1.7109375" style="16" customWidth="1"/>
    <col min="10776" max="10776" width="11.85546875" style="16" bestFit="1" customWidth="1"/>
    <col min="10777" max="10777" width="10.85546875" style="16" bestFit="1" customWidth="1"/>
    <col min="10778" max="10778" width="11.28515625" style="16" customWidth="1"/>
    <col min="10779" max="10779" width="10.5703125" style="16" bestFit="1" customWidth="1"/>
    <col min="10780" max="10780" width="12.85546875" style="16" bestFit="1" customWidth="1"/>
    <col min="10781" max="11008" width="9.140625" style="16"/>
    <col min="11009" max="11009" width="10" style="16" customWidth="1"/>
    <col min="11010" max="11010" width="0" style="16" hidden="1" customWidth="1"/>
    <col min="11011" max="11011" width="28.5703125" style="16" customWidth="1"/>
    <col min="11012" max="11012" width="11.85546875" style="16" bestFit="1" customWidth="1"/>
    <col min="11013" max="11013" width="11.28515625" style="16" bestFit="1" customWidth="1"/>
    <col min="11014" max="11015" width="10.85546875" style="16" bestFit="1" customWidth="1"/>
    <col min="11016" max="11016" width="10.28515625" style="16" bestFit="1" customWidth="1"/>
    <col min="11017" max="11017" width="11.28515625" style="16" bestFit="1" customWidth="1"/>
    <col min="11018" max="11021" width="10.28515625" style="16" customWidth="1"/>
    <col min="11022" max="11022" width="11.85546875" style="16" bestFit="1" customWidth="1"/>
    <col min="11023" max="11024" width="11.28515625" style="16" bestFit="1" customWidth="1"/>
    <col min="11025" max="11025" width="11.85546875" style="16" bestFit="1" customWidth="1"/>
    <col min="11026" max="11028" width="12.85546875" style="16" customWidth="1"/>
    <col min="11029" max="11030" width="11.28515625" style="16" bestFit="1" customWidth="1"/>
    <col min="11031" max="11031" width="1.7109375" style="16" customWidth="1"/>
    <col min="11032" max="11032" width="11.85546875" style="16" bestFit="1" customWidth="1"/>
    <col min="11033" max="11033" width="10.85546875" style="16" bestFit="1" customWidth="1"/>
    <col min="11034" max="11034" width="11.28515625" style="16" customWidth="1"/>
    <col min="11035" max="11035" width="10.5703125" style="16" bestFit="1" customWidth="1"/>
    <col min="11036" max="11036" width="12.85546875" style="16" bestFit="1" customWidth="1"/>
    <col min="11037" max="11264" width="9.140625" style="16"/>
    <col min="11265" max="11265" width="10" style="16" customWidth="1"/>
    <col min="11266" max="11266" width="0" style="16" hidden="1" customWidth="1"/>
    <col min="11267" max="11267" width="28.5703125" style="16" customWidth="1"/>
    <col min="11268" max="11268" width="11.85546875" style="16" bestFit="1" customWidth="1"/>
    <col min="11269" max="11269" width="11.28515625" style="16" bestFit="1" customWidth="1"/>
    <col min="11270" max="11271" width="10.85546875" style="16" bestFit="1" customWidth="1"/>
    <col min="11272" max="11272" width="10.28515625" style="16" bestFit="1" customWidth="1"/>
    <col min="11273" max="11273" width="11.28515625" style="16" bestFit="1" customWidth="1"/>
    <col min="11274" max="11277" width="10.28515625" style="16" customWidth="1"/>
    <col min="11278" max="11278" width="11.85546875" style="16" bestFit="1" customWidth="1"/>
    <col min="11279" max="11280" width="11.28515625" style="16" bestFit="1" customWidth="1"/>
    <col min="11281" max="11281" width="11.85546875" style="16" bestFit="1" customWidth="1"/>
    <col min="11282" max="11284" width="12.85546875" style="16" customWidth="1"/>
    <col min="11285" max="11286" width="11.28515625" style="16" bestFit="1" customWidth="1"/>
    <col min="11287" max="11287" width="1.7109375" style="16" customWidth="1"/>
    <col min="11288" max="11288" width="11.85546875" style="16" bestFit="1" customWidth="1"/>
    <col min="11289" max="11289" width="10.85546875" style="16" bestFit="1" customWidth="1"/>
    <col min="11290" max="11290" width="11.28515625" style="16" customWidth="1"/>
    <col min="11291" max="11291" width="10.5703125" style="16" bestFit="1" customWidth="1"/>
    <col min="11292" max="11292" width="12.85546875" style="16" bestFit="1" customWidth="1"/>
    <col min="11293" max="11520" width="9.140625" style="16"/>
    <col min="11521" max="11521" width="10" style="16" customWidth="1"/>
    <col min="11522" max="11522" width="0" style="16" hidden="1" customWidth="1"/>
    <col min="11523" max="11523" width="28.5703125" style="16" customWidth="1"/>
    <col min="11524" max="11524" width="11.85546875" style="16" bestFit="1" customWidth="1"/>
    <col min="11525" max="11525" width="11.28515625" style="16" bestFit="1" customWidth="1"/>
    <col min="11526" max="11527" width="10.85546875" style="16" bestFit="1" customWidth="1"/>
    <col min="11528" max="11528" width="10.28515625" style="16" bestFit="1" customWidth="1"/>
    <col min="11529" max="11529" width="11.28515625" style="16" bestFit="1" customWidth="1"/>
    <col min="11530" max="11533" width="10.28515625" style="16" customWidth="1"/>
    <col min="11534" max="11534" width="11.85546875" style="16" bestFit="1" customWidth="1"/>
    <col min="11535" max="11536" width="11.28515625" style="16" bestFit="1" customWidth="1"/>
    <col min="11537" max="11537" width="11.85546875" style="16" bestFit="1" customWidth="1"/>
    <col min="11538" max="11540" width="12.85546875" style="16" customWidth="1"/>
    <col min="11541" max="11542" width="11.28515625" style="16" bestFit="1" customWidth="1"/>
    <col min="11543" max="11543" width="1.7109375" style="16" customWidth="1"/>
    <col min="11544" max="11544" width="11.85546875" style="16" bestFit="1" customWidth="1"/>
    <col min="11545" max="11545" width="10.85546875" style="16" bestFit="1" customWidth="1"/>
    <col min="11546" max="11546" width="11.28515625" style="16" customWidth="1"/>
    <col min="11547" max="11547" width="10.5703125" style="16" bestFit="1" customWidth="1"/>
    <col min="11548" max="11548" width="12.85546875" style="16" bestFit="1" customWidth="1"/>
    <col min="11549" max="11776" width="9.140625" style="16"/>
    <col min="11777" max="11777" width="10" style="16" customWidth="1"/>
    <col min="11778" max="11778" width="0" style="16" hidden="1" customWidth="1"/>
    <col min="11779" max="11779" width="28.5703125" style="16" customWidth="1"/>
    <col min="11780" max="11780" width="11.85546875" style="16" bestFit="1" customWidth="1"/>
    <col min="11781" max="11781" width="11.28515625" style="16" bestFit="1" customWidth="1"/>
    <col min="11782" max="11783" width="10.85546875" style="16" bestFit="1" customWidth="1"/>
    <col min="11784" max="11784" width="10.28515625" style="16" bestFit="1" customWidth="1"/>
    <col min="11785" max="11785" width="11.28515625" style="16" bestFit="1" customWidth="1"/>
    <col min="11786" max="11789" width="10.28515625" style="16" customWidth="1"/>
    <col min="11790" max="11790" width="11.85546875" style="16" bestFit="1" customWidth="1"/>
    <col min="11791" max="11792" width="11.28515625" style="16" bestFit="1" customWidth="1"/>
    <col min="11793" max="11793" width="11.85546875" style="16" bestFit="1" customWidth="1"/>
    <col min="11794" max="11796" width="12.85546875" style="16" customWidth="1"/>
    <col min="11797" max="11798" width="11.28515625" style="16" bestFit="1" customWidth="1"/>
    <col min="11799" max="11799" width="1.7109375" style="16" customWidth="1"/>
    <col min="11800" max="11800" width="11.85546875" style="16" bestFit="1" customWidth="1"/>
    <col min="11801" max="11801" width="10.85546875" style="16" bestFit="1" customWidth="1"/>
    <col min="11802" max="11802" width="11.28515625" style="16" customWidth="1"/>
    <col min="11803" max="11803" width="10.5703125" style="16" bestFit="1" customWidth="1"/>
    <col min="11804" max="11804" width="12.85546875" style="16" bestFit="1" customWidth="1"/>
    <col min="11805" max="12032" width="9.140625" style="16"/>
    <col min="12033" max="12033" width="10" style="16" customWidth="1"/>
    <col min="12034" max="12034" width="0" style="16" hidden="1" customWidth="1"/>
    <col min="12035" max="12035" width="28.5703125" style="16" customWidth="1"/>
    <col min="12036" max="12036" width="11.85546875" style="16" bestFit="1" customWidth="1"/>
    <col min="12037" max="12037" width="11.28515625" style="16" bestFit="1" customWidth="1"/>
    <col min="12038" max="12039" width="10.85546875" style="16" bestFit="1" customWidth="1"/>
    <col min="12040" max="12040" width="10.28515625" style="16" bestFit="1" customWidth="1"/>
    <col min="12041" max="12041" width="11.28515625" style="16" bestFit="1" customWidth="1"/>
    <col min="12042" max="12045" width="10.28515625" style="16" customWidth="1"/>
    <col min="12046" max="12046" width="11.85546875" style="16" bestFit="1" customWidth="1"/>
    <col min="12047" max="12048" width="11.28515625" style="16" bestFit="1" customWidth="1"/>
    <col min="12049" max="12049" width="11.85546875" style="16" bestFit="1" customWidth="1"/>
    <col min="12050" max="12052" width="12.85546875" style="16" customWidth="1"/>
    <col min="12053" max="12054" width="11.28515625" style="16" bestFit="1" customWidth="1"/>
    <col min="12055" max="12055" width="1.7109375" style="16" customWidth="1"/>
    <col min="12056" max="12056" width="11.85546875" style="16" bestFit="1" customWidth="1"/>
    <col min="12057" max="12057" width="10.85546875" style="16" bestFit="1" customWidth="1"/>
    <col min="12058" max="12058" width="11.28515625" style="16" customWidth="1"/>
    <col min="12059" max="12059" width="10.5703125" style="16" bestFit="1" customWidth="1"/>
    <col min="12060" max="12060" width="12.85546875" style="16" bestFit="1" customWidth="1"/>
    <col min="12061" max="12288" width="9.140625" style="16"/>
    <col min="12289" max="12289" width="10" style="16" customWidth="1"/>
    <col min="12290" max="12290" width="0" style="16" hidden="1" customWidth="1"/>
    <col min="12291" max="12291" width="28.5703125" style="16" customWidth="1"/>
    <col min="12292" max="12292" width="11.85546875" style="16" bestFit="1" customWidth="1"/>
    <col min="12293" max="12293" width="11.28515625" style="16" bestFit="1" customWidth="1"/>
    <col min="12294" max="12295" width="10.85546875" style="16" bestFit="1" customWidth="1"/>
    <col min="12296" max="12296" width="10.28515625" style="16" bestFit="1" customWidth="1"/>
    <col min="12297" max="12297" width="11.28515625" style="16" bestFit="1" customWidth="1"/>
    <col min="12298" max="12301" width="10.28515625" style="16" customWidth="1"/>
    <col min="12302" max="12302" width="11.85546875" style="16" bestFit="1" customWidth="1"/>
    <col min="12303" max="12304" width="11.28515625" style="16" bestFit="1" customWidth="1"/>
    <col min="12305" max="12305" width="11.85546875" style="16" bestFit="1" customWidth="1"/>
    <col min="12306" max="12308" width="12.85546875" style="16" customWidth="1"/>
    <col min="12309" max="12310" width="11.28515625" style="16" bestFit="1" customWidth="1"/>
    <col min="12311" max="12311" width="1.7109375" style="16" customWidth="1"/>
    <col min="12312" max="12312" width="11.85546875" style="16" bestFit="1" customWidth="1"/>
    <col min="12313" max="12313" width="10.85546875" style="16" bestFit="1" customWidth="1"/>
    <col min="12314" max="12314" width="11.28515625" style="16" customWidth="1"/>
    <col min="12315" max="12315" width="10.5703125" style="16" bestFit="1" customWidth="1"/>
    <col min="12316" max="12316" width="12.85546875" style="16" bestFit="1" customWidth="1"/>
    <col min="12317" max="12544" width="9.140625" style="16"/>
    <col min="12545" max="12545" width="10" style="16" customWidth="1"/>
    <col min="12546" max="12546" width="0" style="16" hidden="1" customWidth="1"/>
    <col min="12547" max="12547" width="28.5703125" style="16" customWidth="1"/>
    <col min="12548" max="12548" width="11.85546875" style="16" bestFit="1" customWidth="1"/>
    <col min="12549" max="12549" width="11.28515625" style="16" bestFit="1" customWidth="1"/>
    <col min="12550" max="12551" width="10.85546875" style="16" bestFit="1" customWidth="1"/>
    <col min="12552" max="12552" width="10.28515625" style="16" bestFit="1" customWidth="1"/>
    <col min="12553" max="12553" width="11.28515625" style="16" bestFit="1" customWidth="1"/>
    <col min="12554" max="12557" width="10.28515625" style="16" customWidth="1"/>
    <col min="12558" max="12558" width="11.85546875" style="16" bestFit="1" customWidth="1"/>
    <col min="12559" max="12560" width="11.28515625" style="16" bestFit="1" customWidth="1"/>
    <col min="12561" max="12561" width="11.85546875" style="16" bestFit="1" customWidth="1"/>
    <col min="12562" max="12564" width="12.85546875" style="16" customWidth="1"/>
    <col min="12565" max="12566" width="11.28515625" style="16" bestFit="1" customWidth="1"/>
    <col min="12567" max="12567" width="1.7109375" style="16" customWidth="1"/>
    <col min="12568" max="12568" width="11.85546875" style="16" bestFit="1" customWidth="1"/>
    <col min="12569" max="12569" width="10.85546875" style="16" bestFit="1" customWidth="1"/>
    <col min="12570" max="12570" width="11.28515625" style="16" customWidth="1"/>
    <col min="12571" max="12571" width="10.5703125" style="16" bestFit="1" customWidth="1"/>
    <col min="12572" max="12572" width="12.85546875" style="16" bestFit="1" customWidth="1"/>
    <col min="12573" max="12800" width="9.140625" style="16"/>
    <col min="12801" max="12801" width="10" style="16" customWidth="1"/>
    <col min="12802" max="12802" width="0" style="16" hidden="1" customWidth="1"/>
    <col min="12803" max="12803" width="28.5703125" style="16" customWidth="1"/>
    <col min="12804" max="12804" width="11.85546875" style="16" bestFit="1" customWidth="1"/>
    <col min="12805" max="12805" width="11.28515625" style="16" bestFit="1" customWidth="1"/>
    <col min="12806" max="12807" width="10.85546875" style="16" bestFit="1" customWidth="1"/>
    <col min="12808" max="12808" width="10.28515625" style="16" bestFit="1" customWidth="1"/>
    <col min="12809" max="12809" width="11.28515625" style="16" bestFit="1" customWidth="1"/>
    <col min="12810" max="12813" width="10.28515625" style="16" customWidth="1"/>
    <col min="12814" max="12814" width="11.85546875" style="16" bestFit="1" customWidth="1"/>
    <col min="12815" max="12816" width="11.28515625" style="16" bestFit="1" customWidth="1"/>
    <col min="12817" max="12817" width="11.85546875" style="16" bestFit="1" customWidth="1"/>
    <col min="12818" max="12820" width="12.85546875" style="16" customWidth="1"/>
    <col min="12821" max="12822" width="11.28515625" style="16" bestFit="1" customWidth="1"/>
    <col min="12823" max="12823" width="1.7109375" style="16" customWidth="1"/>
    <col min="12824" max="12824" width="11.85546875" style="16" bestFit="1" customWidth="1"/>
    <col min="12825" max="12825" width="10.85546875" style="16" bestFit="1" customWidth="1"/>
    <col min="12826" max="12826" width="11.28515625" style="16" customWidth="1"/>
    <col min="12827" max="12827" width="10.5703125" style="16" bestFit="1" customWidth="1"/>
    <col min="12828" max="12828" width="12.85546875" style="16" bestFit="1" customWidth="1"/>
    <col min="12829" max="13056" width="9.140625" style="16"/>
    <col min="13057" max="13057" width="10" style="16" customWidth="1"/>
    <col min="13058" max="13058" width="0" style="16" hidden="1" customWidth="1"/>
    <col min="13059" max="13059" width="28.5703125" style="16" customWidth="1"/>
    <col min="13060" max="13060" width="11.85546875" style="16" bestFit="1" customWidth="1"/>
    <col min="13061" max="13061" width="11.28515625" style="16" bestFit="1" customWidth="1"/>
    <col min="13062" max="13063" width="10.85546875" style="16" bestFit="1" customWidth="1"/>
    <col min="13064" max="13064" width="10.28515625" style="16" bestFit="1" customWidth="1"/>
    <col min="13065" max="13065" width="11.28515625" style="16" bestFit="1" customWidth="1"/>
    <col min="13066" max="13069" width="10.28515625" style="16" customWidth="1"/>
    <col min="13070" max="13070" width="11.85546875" style="16" bestFit="1" customWidth="1"/>
    <col min="13071" max="13072" width="11.28515625" style="16" bestFit="1" customWidth="1"/>
    <col min="13073" max="13073" width="11.85546875" style="16" bestFit="1" customWidth="1"/>
    <col min="13074" max="13076" width="12.85546875" style="16" customWidth="1"/>
    <col min="13077" max="13078" width="11.28515625" style="16" bestFit="1" customWidth="1"/>
    <col min="13079" max="13079" width="1.7109375" style="16" customWidth="1"/>
    <col min="13080" max="13080" width="11.85546875" style="16" bestFit="1" customWidth="1"/>
    <col min="13081" max="13081" width="10.85546875" style="16" bestFit="1" customWidth="1"/>
    <col min="13082" max="13082" width="11.28515625" style="16" customWidth="1"/>
    <col min="13083" max="13083" width="10.5703125" style="16" bestFit="1" customWidth="1"/>
    <col min="13084" max="13084" width="12.85546875" style="16" bestFit="1" customWidth="1"/>
    <col min="13085" max="13312" width="9.140625" style="16"/>
    <col min="13313" max="13313" width="10" style="16" customWidth="1"/>
    <col min="13314" max="13314" width="0" style="16" hidden="1" customWidth="1"/>
    <col min="13315" max="13315" width="28.5703125" style="16" customWidth="1"/>
    <col min="13316" max="13316" width="11.85546875" style="16" bestFit="1" customWidth="1"/>
    <col min="13317" max="13317" width="11.28515625" style="16" bestFit="1" customWidth="1"/>
    <col min="13318" max="13319" width="10.85546875" style="16" bestFit="1" customWidth="1"/>
    <col min="13320" max="13320" width="10.28515625" style="16" bestFit="1" customWidth="1"/>
    <col min="13321" max="13321" width="11.28515625" style="16" bestFit="1" customWidth="1"/>
    <col min="13322" max="13325" width="10.28515625" style="16" customWidth="1"/>
    <col min="13326" max="13326" width="11.85546875" style="16" bestFit="1" customWidth="1"/>
    <col min="13327" max="13328" width="11.28515625" style="16" bestFit="1" customWidth="1"/>
    <col min="13329" max="13329" width="11.85546875" style="16" bestFit="1" customWidth="1"/>
    <col min="13330" max="13332" width="12.85546875" style="16" customWidth="1"/>
    <col min="13333" max="13334" width="11.28515625" style="16" bestFit="1" customWidth="1"/>
    <col min="13335" max="13335" width="1.7109375" style="16" customWidth="1"/>
    <col min="13336" max="13336" width="11.85546875" style="16" bestFit="1" customWidth="1"/>
    <col min="13337" max="13337" width="10.85546875" style="16" bestFit="1" customWidth="1"/>
    <col min="13338" max="13338" width="11.28515625" style="16" customWidth="1"/>
    <col min="13339" max="13339" width="10.5703125" style="16" bestFit="1" customWidth="1"/>
    <col min="13340" max="13340" width="12.85546875" style="16" bestFit="1" customWidth="1"/>
    <col min="13341" max="13568" width="9.140625" style="16"/>
    <col min="13569" max="13569" width="10" style="16" customWidth="1"/>
    <col min="13570" max="13570" width="0" style="16" hidden="1" customWidth="1"/>
    <col min="13571" max="13571" width="28.5703125" style="16" customWidth="1"/>
    <col min="13572" max="13572" width="11.85546875" style="16" bestFit="1" customWidth="1"/>
    <col min="13573" max="13573" width="11.28515625" style="16" bestFit="1" customWidth="1"/>
    <col min="13574" max="13575" width="10.85546875" style="16" bestFit="1" customWidth="1"/>
    <col min="13576" max="13576" width="10.28515625" style="16" bestFit="1" customWidth="1"/>
    <col min="13577" max="13577" width="11.28515625" style="16" bestFit="1" customWidth="1"/>
    <col min="13578" max="13581" width="10.28515625" style="16" customWidth="1"/>
    <col min="13582" max="13582" width="11.85546875" style="16" bestFit="1" customWidth="1"/>
    <col min="13583" max="13584" width="11.28515625" style="16" bestFit="1" customWidth="1"/>
    <col min="13585" max="13585" width="11.85546875" style="16" bestFit="1" customWidth="1"/>
    <col min="13586" max="13588" width="12.85546875" style="16" customWidth="1"/>
    <col min="13589" max="13590" width="11.28515625" style="16" bestFit="1" customWidth="1"/>
    <col min="13591" max="13591" width="1.7109375" style="16" customWidth="1"/>
    <col min="13592" max="13592" width="11.85546875" style="16" bestFit="1" customWidth="1"/>
    <col min="13593" max="13593" width="10.85546875" style="16" bestFit="1" customWidth="1"/>
    <col min="13594" max="13594" width="11.28515625" style="16" customWidth="1"/>
    <col min="13595" max="13595" width="10.5703125" style="16" bestFit="1" customWidth="1"/>
    <col min="13596" max="13596" width="12.85546875" style="16" bestFit="1" customWidth="1"/>
    <col min="13597" max="13824" width="9.140625" style="16"/>
    <col min="13825" max="13825" width="10" style="16" customWidth="1"/>
    <col min="13826" max="13826" width="0" style="16" hidden="1" customWidth="1"/>
    <col min="13827" max="13827" width="28.5703125" style="16" customWidth="1"/>
    <col min="13828" max="13828" width="11.85546875" style="16" bestFit="1" customWidth="1"/>
    <col min="13829" max="13829" width="11.28515625" style="16" bestFit="1" customWidth="1"/>
    <col min="13830" max="13831" width="10.85546875" style="16" bestFit="1" customWidth="1"/>
    <col min="13832" max="13832" width="10.28515625" style="16" bestFit="1" customWidth="1"/>
    <col min="13833" max="13833" width="11.28515625" style="16" bestFit="1" customWidth="1"/>
    <col min="13834" max="13837" width="10.28515625" style="16" customWidth="1"/>
    <col min="13838" max="13838" width="11.85546875" style="16" bestFit="1" customWidth="1"/>
    <col min="13839" max="13840" width="11.28515625" style="16" bestFit="1" customWidth="1"/>
    <col min="13841" max="13841" width="11.85546875" style="16" bestFit="1" customWidth="1"/>
    <col min="13842" max="13844" width="12.85546875" style="16" customWidth="1"/>
    <col min="13845" max="13846" width="11.28515625" style="16" bestFit="1" customWidth="1"/>
    <col min="13847" max="13847" width="1.7109375" style="16" customWidth="1"/>
    <col min="13848" max="13848" width="11.85546875" style="16" bestFit="1" customWidth="1"/>
    <col min="13849" max="13849" width="10.85546875" style="16" bestFit="1" customWidth="1"/>
    <col min="13850" max="13850" width="11.28515625" style="16" customWidth="1"/>
    <col min="13851" max="13851" width="10.5703125" style="16" bestFit="1" customWidth="1"/>
    <col min="13852" max="13852" width="12.85546875" style="16" bestFit="1" customWidth="1"/>
    <col min="13853" max="14080" width="9.140625" style="16"/>
    <col min="14081" max="14081" width="10" style="16" customWidth="1"/>
    <col min="14082" max="14082" width="0" style="16" hidden="1" customWidth="1"/>
    <col min="14083" max="14083" width="28.5703125" style="16" customWidth="1"/>
    <col min="14084" max="14084" width="11.85546875" style="16" bestFit="1" customWidth="1"/>
    <col min="14085" max="14085" width="11.28515625" style="16" bestFit="1" customWidth="1"/>
    <col min="14086" max="14087" width="10.85546875" style="16" bestFit="1" customWidth="1"/>
    <col min="14088" max="14088" width="10.28515625" style="16" bestFit="1" customWidth="1"/>
    <col min="14089" max="14089" width="11.28515625" style="16" bestFit="1" customWidth="1"/>
    <col min="14090" max="14093" width="10.28515625" style="16" customWidth="1"/>
    <col min="14094" max="14094" width="11.85546875" style="16" bestFit="1" customWidth="1"/>
    <col min="14095" max="14096" width="11.28515625" style="16" bestFit="1" customWidth="1"/>
    <col min="14097" max="14097" width="11.85546875" style="16" bestFit="1" customWidth="1"/>
    <col min="14098" max="14100" width="12.85546875" style="16" customWidth="1"/>
    <col min="14101" max="14102" width="11.28515625" style="16" bestFit="1" customWidth="1"/>
    <col min="14103" max="14103" width="1.7109375" style="16" customWidth="1"/>
    <col min="14104" max="14104" width="11.85546875" style="16" bestFit="1" customWidth="1"/>
    <col min="14105" max="14105" width="10.85546875" style="16" bestFit="1" customWidth="1"/>
    <col min="14106" max="14106" width="11.28515625" style="16" customWidth="1"/>
    <col min="14107" max="14107" width="10.5703125" style="16" bestFit="1" customWidth="1"/>
    <col min="14108" max="14108" width="12.85546875" style="16" bestFit="1" customWidth="1"/>
    <col min="14109" max="14336" width="9.140625" style="16"/>
    <col min="14337" max="14337" width="10" style="16" customWidth="1"/>
    <col min="14338" max="14338" width="0" style="16" hidden="1" customWidth="1"/>
    <col min="14339" max="14339" width="28.5703125" style="16" customWidth="1"/>
    <col min="14340" max="14340" width="11.85546875" style="16" bestFit="1" customWidth="1"/>
    <col min="14341" max="14341" width="11.28515625" style="16" bestFit="1" customWidth="1"/>
    <col min="14342" max="14343" width="10.85546875" style="16" bestFit="1" customWidth="1"/>
    <col min="14344" max="14344" width="10.28515625" style="16" bestFit="1" customWidth="1"/>
    <col min="14345" max="14345" width="11.28515625" style="16" bestFit="1" customWidth="1"/>
    <col min="14346" max="14349" width="10.28515625" style="16" customWidth="1"/>
    <col min="14350" max="14350" width="11.85546875" style="16" bestFit="1" customWidth="1"/>
    <col min="14351" max="14352" width="11.28515625" style="16" bestFit="1" customWidth="1"/>
    <col min="14353" max="14353" width="11.85546875" style="16" bestFit="1" customWidth="1"/>
    <col min="14354" max="14356" width="12.85546875" style="16" customWidth="1"/>
    <col min="14357" max="14358" width="11.28515625" style="16" bestFit="1" customWidth="1"/>
    <col min="14359" max="14359" width="1.7109375" style="16" customWidth="1"/>
    <col min="14360" max="14360" width="11.85546875" style="16" bestFit="1" customWidth="1"/>
    <col min="14361" max="14361" width="10.85546875" style="16" bestFit="1" customWidth="1"/>
    <col min="14362" max="14362" width="11.28515625" style="16" customWidth="1"/>
    <col min="14363" max="14363" width="10.5703125" style="16" bestFit="1" customWidth="1"/>
    <col min="14364" max="14364" width="12.85546875" style="16" bestFit="1" customWidth="1"/>
    <col min="14365" max="14592" width="9.140625" style="16"/>
    <col min="14593" max="14593" width="10" style="16" customWidth="1"/>
    <col min="14594" max="14594" width="0" style="16" hidden="1" customWidth="1"/>
    <col min="14595" max="14595" width="28.5703125" style="16" customWidth="1"/>
    <col min="14596" max="14596" width="11.85546875" style="16" bestFit="1" customWidth="1"/>
    <col min="14597" max="14597" width="11.28515625" style="16" bestFit="1" customWidth="1"/>
    <col min="14598" max="14599" width="10.85546875" style="16" bestFit="1" customWidth="1"/>
    <col min="14600" max="14600" width="10.28515625" style="16" bestFit="1" customWidth="1"/>
    <col min="14601" max="14601" width="11.28515625" style="16" bestFit="1" customWidth="1"/>
    <col min="14602" max="14605" width="10.28515625" style="16" customWidth="1"/>
    <col min="14606" max="14606" width="11.85546875" style="16" bestFit="1" customWidth="1"/>
    <col min="14607" max="14608" width="11.28515625" style="16" bestFit="1" customWidth="1"/>
    <col min="14609" max="14609" width="11.85546875" style="16" bestFit="1" customWidth="1"/>
    <col min="14610" max="14612" width="12.85546875" style="16" customWidth="1"/>
    <col min="14613" max="14614" width="11.28515625" style="16" bestFit="1" customWidth="1"/>
    <col min="14615" max="14615" width="1.7109375" style="16" customWidth="1"/>
    <col min="14616" max="14616" width="11.85546875" style="16" bestFit="1" customWidth="1"/>
    <col min="14617" max="14617" width="10.85546875" style="16" bestFit="1" customWidth="1"/>
    <col min="14618" max="14618" width="11.28515625" style="16" customWidth="1"/>
    <col min="14619" max="14619" width="10.5703125" style="16" bestFit="1" customWidth="1"/>
    <col min="14620" max="14620" width="12.85546875" style="16" bestFit="1" customWidth="1"/>
    <col min="14621" max="14848" width="9.140625" style="16"/>
    <col min="14849" max="14849" width="10" style="16" customWidth="1"/>
    <col min="14850" max="14850" width="0" style="16" hidden="1" customWidth="1"/>
    <col min="14851" max="14851" width="28.5703125" style="16" customWidth="1"/>
    <col min="14852" max="14852" width="11.85546875" style="16" bestFit="1" customWidth="1"/>
    <col min="14853" max="14853" width="11.28515625" style="16" bestFit="1" customWidth="1"/>
    <col min="14854" max="14855" width="10.85546875" style="16" bestFit="1" customWidth="1"/>
    <col min="14856" max="14856" width="10.28515625" style="16" bestFit="1" customWidth="1"/>
    <col min="14857" max="14857" width="11.28515625" style="16" bestFit="1" customWidth="1"/>
    <col min="14858" max="14861" width="10.28515625" style="16" customWidth="1"/>
    <col min="14862" max="14862" width="11.85546875" style="16" bestFit="1" customWidth="1"/>
    <col min="14863" max="14864" width="11.28515625" style="16" bestFit="1" customWidth="1"/>
    <col min="14865" max="14865" width="11.85546875" style="16" bestFit="1" customWidth="1"/>
    <col min="14866" max="14868" width="12.85546875" style="16" customWidth="1"/>
    <col min="14869" max="14870" width="11.28515625" style="16" bestFit="1" customWidth="1"/>
    <col min="14871" max="14871" width="1.7109375" style="16" customWidth="1"/>
    <col min="14872" max="14872" width="11.85546875" style="16" bestFit="1" customWidth="1"/>
    <col min="14873" max="14873" width="10.85546875" style="16" bestFit="1" customWidth="1"/>
    <col min="14874" max="14874" width="11.28515625" style="16" customWidth="1"/>
    <col min="14875" max="14875" width="10.5703125" style="16" bestFit="1" customWidth="1"/>
    <col min="14876" max="14876" width="12.85546875" style="16" bestFit="1" customWidth="1"/>
    <col min="14877" max="15104" width="9.140625" style="16"/>
    <col min="15105" max="15105" width="10" style="16" customWidth="1"/>
    <col min="15106" max="15106" width="0" style="16" hidden="1" customWidth="1"/>
    <col min="15107" max="15107" width="28.5703125" style="16" customWidth="1"/>
    <col min="15108" max="15108" width="11.85546875" style="16" bestFit="1" customWidth="1"/>
    <col min="15109" max="15109" width="11.28515625" style="16" bestFit="1" customWidth="1"/>
    <col min="15110" max="15111" width="10.85546875" style="16" bestFit="1" customWidth="1"/>
    <col min="15112" max="15112" width="10.28515625" style="16" bestFit="1" customWidth="1"/>
    <col min="15113" max="15113" width="11.28515625" style="16" bestFit="1" customWidth="1"/>
    <col min="15114" max="15117" width="10.28515625" style="16" customWidth="1"/>
    <col min="15118" max="15118" width="11.85546875" style="16" bestFit="1" customWidth="1"/>
    <col min="15119" max="15120" width="11.28515625" style="16" bestFit="1" customWidth="1"/>
    <col min="15121" max="15121" width="11.85546875" style="16" bestFit="1" customWidth="1"/>
    <col min="15122" max="15124" width="12.85546875" style="16" customWidth="1"/>
    <col min="15125" max="15126" width="11.28515625" style="16" bestFit="1" customWidth="1"/>
    <col min="15127" max="15127" width="1.7109375" style="16" customWidth="1"/>
    <col min="15128" max="15128" width="11.85546875" style="16" bestFit="1" customWidth="1"/>
    <col min="15129" max="15129" width="10.85546875" style="16" bestFit="1" customWidth="1"/>
    <col min="15130" max="15130" width="11.28515625" style="16" customWidth="1"/>
    <col min="15131" max="15131" width="10.5703125" style="16" bestFit="1" customWidth="1"/>
    <col min="15132" max="15132" width="12.85546875" style="16" bestFit="1" customWidth="1"/>
    <col min="15133" max="15360" width="9.140625" style="16"/>
    <col min="15361" max="15361" width="10" style="16" customWidth="1"/>
    <col min="15362" max="15362" width="0" style="16" hidden="1" customWidth="1"/>
    <col min="15363" max="15363" width="28.5703125" style="16" customWidth="1"/>
    <col min="15364" max="15364" width="11.85546875" style="16" bestFit="1" customWidth="1"/>
    <col min="15365" max="15365" width="11.28515625" style="16" bestFit="1" customWidth="1"/>
    <col min="15366" max="15367" width="10.85546875" style="16" bestFit="1" customWidth="1"/>
    <col min="15368" max="15368" width="10.28515625" style="16" bestFit="1" customWidth="1"/>
    <col min="15369" max="15369" width="11.28515625" style="16" bestFit="1" customWidth="1"/>
    <col min="15370" max="15373" width="10.28515625" style="16" customWidth="1"/>
    <col min="15374" max="15374" width="11.85546875" style="16" bestFit="1" customWidth="1"/>
    <col min="15375" max="15376" width="11.28515625" style="16" bestFit="1" customWidth="1"/>
    <col min="15377" max="15377" width="11.85546875" style="16" bestFit="1" customWidth="1"/>
    <col min="15378" max="15380" width="12.85546875" style="16" customWidth="1"/>
    <col min="15381" max="15382" width="11.28515625" style="16" bestFit="1" customWidth="1"/>
    <col min="15383" max="15383" width="1.7109375" style="16" customWidth="1"/>
    <col min="15384" max="15384" width="11.85546875" style="16" bestFit="1" customWidth="1"/>
    <col min="15385" max="15385" width="10.85546875" style="16" bestFit="1" customWidth="1"/>
    <col min="15386" max="15386" width="11.28515625" style="16" customWidth="1"/>
    <col min="15387" max="15387" width="10.5703125" style="16" bestFit="1" customWidth="1"/>
    <col min="15388" max="15388" width="12.85546875" style="16" bestFit="1" customWidth="1"/>
    <col min="15389" max="15616" width="9.140625" style="16"/>
    <col min="15617" max="15617" width="10" style="16" customWidth="1"/>
    <col min="15618" max="15618" width="0" style="16" hidden="1" customWidth="1"/>
    <col min="15619" max="15619" width="28.5703125" style="16" customWidth="1"/>
    <col min="15620" max="15620" width="11.85546875" style="16" bestFit="1" customWidth="1"/>
    <col min="15621" max="15621" width="11.28515625" style="16" bestFit="1" customWidth="1"/>
    <col min="15622" max="15623" width="10.85546875" style="16" bestFit="1" customWidth="1"/>
    <col min="15624" max="15624" width="10.28515625" style="16" bestFit="1" customWidth="1"/>
    <col min="15625" max="15625" width="11.28515625" style="16" bestFit="1" customWidth="1"/>
    <col min="15626" max="15629" width="10.28515625" style="16" customWidth="1"/>
    <col min="15630" max="15630" width="11.85546875" style="16" bestFit="1" customWidth="1"/>
    <col min="15631" max="15632" width="11.28515625" style="16" bestFit="1" customWidth="1"/>
    <col min="15633" max="15633" width="11.85546875" style="16" bestFit="1" customWidth="1"/>
    <col min="15634" max="15636" width="12.85546875" style="16" customWidth="1"/>
    <col min="15637" max="15638" width="11.28515625" style="16" bestFit="1" customWidth="1"/>
    <col min="15639" max="15639" width="1.7109375" style="16" customWidth="1"/>
    <col min="15640" max="15640" width="11.85546875" style="16" bestFit="1" customWidth="1"/>
    <col min="15641" max="15641" width="10.85546875" style="16" bestFit="1" customWidth="1"/>
    <col min="15642" max="15642" width="11.28515625" style="16" customWidth="1"/>
    <col min="15643" max="15643" width="10.5703125" style="16" bestFit="1" customWidth="1"/>
    <col min="15644" max="15644" width="12.85546875" style="16" bestFit="1" customWidth="1"/>
    <col min="15645" max="15872" width="9.140625" style="16"/>
    <col min="15873" max="15873" width="10" style="16" customWidth="1"/>
    <col min="15874" max="15874" width="0" style="16" hidden="1" customWidth="1"/>
    <col min="15875" max="15875" width="28.5703125" style="16" customWidth="1"/>
    <col min="15876" max="15876" width="11.85546875" style="16" bestFit="1" customWidth="1"/>
    <col min="15877" max="15877" width="11.28515625" style="16" bestFit="1" customWidth="1"/>
    <col min="15878" max="15879" width="10.85546875" style="16" bestFit="1" customWidth="1"/>
    <col min="15880" max="15880" width="10.28515625" style="16" bestFit="1" customWidth="1"/>
    <col min="15881" max="15881" width="11.28515625" style="16" bestFit="1" customWidth="1"/>
    <col min="15882" max="15885" width="10.28515625" style="16" customWidth="1"/>
    <col min="15886" max="15886" width="11.85546875" style="16" bestFit="1" customWidth="1"/>
    <col min="15887" max="15888" width="11.28515625" style="16" bestFit="1" customWidth="1"/>
    <col min="15889" max="15889" width="11.85546875" style="16" bestFit="1" customWidth="1"/>
    <col min="15890" max="15892" width="12.85546875" style="16" customWidth="1"/>
    <col min="15893" max="15894" width="11.28515625" style="16" bestFit="1" customWidth="1"/>
    <col min="15895" max="15895" width="1.7109375" style="16" customWidth="1"/>
    <col min="15896" max="15896" width="11.85546875" style="16" bestFit="1" customWidth="1"/>
    <col min="15897" max="15897" width="10.85546875" style="16" bestFit="1" customWidth="1"/>
    <col min="15898" max="15898" width="11.28515625" style="16" customWidth="1"/>
    <col min="15899" max="15899" width="10.5703125" style="16" bestFit="1" customWidth="1"/>
    <col min="15900" max="15900" width="12.85546875" style="16" bestFit="1" customWidth="1"/>
    <col min="15901" max="16128" width="9.140625" style="16"/>
    <col min="16129" max="16129" width="10" style="16" customWidth="1"/>
    <col min="16130" max="16130" width="0" style="16" hidden="1" customWidth="1"/>
    <col min="16131" max="16131" width="28.5703125" style="16" customWidth="1"/>
    <col min="16132" max="16132" width="11.85546875" style="16" bestFit="1" customWidth="1"/>
    <col min="16133" max="16133" width="11.28515625" style="16" bestFit="1" customWidth="1"/>
    <col min="16134" max="16135" width="10.85546875" style="16" bestFit="1" customWidth="1"/>
    <col min="16136" max="16136" width="10.28515625" style="16" bestFit="1" customWidth="1"/>
    <col min="16137" max="16137" width="11.28515625" style="16" bestFit="1" customWidth="1"/>
    <col min="16138" max="16141" width="10.28515625" style="16" customWidth="1"/>
    <col min="16142" max="16142" width="11.85546875" style="16" bestFit="1" customWidth="1"/>
    <col min="16143" max="16144" width="11.28515625" style="16" bestFit="1" customWidth="1"/>
    <col min="16145" max="16145" width="11.85546875" style="16" bestFit="1" customWidth="1"/>
    <col min="16146" max="16148" width="12.85546875" style="16" customWidth="1"/>
    <col min="16149" max="16150" width="11.28515625" style="16" bestFit="1" customWidth="1"/>
    <col min="16151" max="16151" width="1.7109375" style="16" customWidth="1"/>
    <col min="16152" max="16152" width="11.85546875" style="16" bestFit="1" customWidth="1"/>
    <col min="16153" max="16153" width="10.85546875" style="16" bestFit="1" customWidth="1"/>
    <col min="16154" max="16154" width="11.28515625" style="16" customWidth="1"/>
    <col min="16155" max="16155" width="10.5703125" style="16" bestFit="1" customWidth="1"/>
    <col min="16156" max="16156" width="12.85546875" style="16" bestFit="1" customWidth="1"/>
    <col min="16157" max="16384" width="9.140625" style="16"/>
  </cols>
  <sheetData>
    <row r="1" spans="1:28" ht="13.5" customHeight="1" x14ac:dyDescent="0.2">
      <c r="A1" s="17" t="s">
        <v>10</v>
      </c>
      <c r="B1" s="17"/>
      <c r="C1" s="15"/>
      <c r="D1" s="15"/>
      <c r="E1" s="15"/>
    </row>
    <row r="2" spans="1:28" ht="13.5" customHeight="1" x14ac:dyDescent="0.2">
      <c r="A2" s="17"/>
      <c r="B2" s="17"/>
      <c r="C2" s="15"/>
      <c r="D2" s="15"/>
      <c r="E2" s="15"/>
    </row>
    <row r="3" spans="1:28" ht="13.5" customHeight="1" x14ac:dyDescent="0.2">
      <c r="A3" s="17" t="s">
        <v>24</v>
      </c>
      <c r="B3" s="17"/>
      <c r="C3" s="15"/>
      <c r="D3" s="15"/>
      <c r="E3" s="15"/>
      <c r="Z3" s="40"/>
    </row>
    <row r="4" spans="1:28" ht="13.5" customHeight="1" x14ac:dyDescent="0.2">
      <c r="A4" s="19"/>
      <c r="B4" s="19"/>
      <c r="C4" s="15"/>
      <c r="D4" s="15"/>
      <c r="E4" s="41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8" ht="13.5" customHeight="1" x14ac:dyDescent="0.2">
      <c r="F5" s="18"/>
      <c r="G5" s="18"/>
      <c r="H5" s="18"/>
      <c r="I5" s="18"/>
      <c r="J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8" ht="42" customHeight="1" x14ac:dyDescent="0.2">
      <c r="A6" s="21" t="s">
        <v>25</v>
      </c>
      <c r="B6" s="21" t="s">
        <v>72</v>
      </c>
      <c r="C6" s="22" t="s">
        <v>21</v>
      </c>
      <c r="D6" s="32" t="s">
        <v>27</v>
      </c>
      <c r="E6" s="86" t="s">
        <v>29</v>
      </c>
      <c r="F6" s="86"/>
      <c r="G6" s="32" t="s">
        <v>26</v>
      </c>
      <c r="H6" s="32" t="s">
        <v>107</v>
      </c>
      <c r="I6" s="32" t="s">
        <v>60</v>
      </c>
      <c r="J6" s="32" t="s">
        <v>61</v>
      </c>
      <c r="K6" s="32" t="s">
        <v>85</v>
      </c>
      <c r="L6" s="32"/>
      <c r="M6" s="32" t="s">
        <v>108</v>
      </c>
      <c r="N6" s="32"/>
      <c r="O6" s="32"/>
      <c r="P6" s="34"/>
      <c r="Q6" s="51" t="s">
        <v>62</v>
      </c>
      <c r="R6" s="32" t="s">
        <v>30</v>
      </c>
      <c r="S6" s="32" t="s">
        <v>42</v>
      </c>
      <c r="T6" s="32" t="s">
        <v>51</v>
      </c>
      <c r="U6" s="32" t="s">
        <v>49</v>
      </c>
      <c r="V6" s="32" t="s">
        <v>63</v>
      </c>
      <c r="W6" s="32" t="s">
        <v>64</v>
      </c>
      <c r="X6" s="32" t="s">
        <v>65</v>
      </c>
      <c r="Y6" s="32" t="s">
        <v>66</v>
      </c>
      <c r="Z6" s="32" t="s">
        <v>53</v>
      </c>
      <c r="AA6" s="32"/>
      <c r="AB6" s="23" t="s">
        <v>22</v>
      </c>
    </row>
    <row r="7" spans="1:28" ht="13.5" customHeight="1" x14ac:dyDescent="0.2">
      <c r="D7" s="18" t="s">
        <v>23</v>
      </c>
      <c r="E7" s="18" t="s">
        <v>28</v>
      </c>
      <c r="F7" s="18" t="s">
        <v>23</v>
      </c>
      <c r="G7" s="18" t="s">
        <v>23</v>
      </c>
      <c r="H7" s="18" t="s">
        <v>23</v>
      </c>
      <c r="I7" s="18" t="s">
        <v>23</v>
      </c>
      <c r="J7" s="18" t="s">
        <v>23</v>
      </c>
      <c r="K7" s="18" t="s">
        <v>23</v>
      </c>
      <c r="L7" s="18" t="s">
        <v>23</v>
      </c>
      <c r="M7" s="18" t="s">
        <v>23</v>
      </c>
      <c r="N7" s="18" t="s">
        <v>23</v>
      </c>
      <c r="O7" s="18" t="s">
        <v>23</v>
      </c>
      <c r="P7" s="35"/>
      <c r="Q7" s="18" t="s">
        <v>23</v>
      </c>
      <c r="R7" s="18" t="s">
        <v>23</v>
      </c>
      <c r="S7" s="18" t="s">
        <v>23</v>
      </c>
      <c r="T7" s="18" t="s">
        <v>23</v>
      </c>
      <c r="U7" s="18" t="s">
        <v>23</v>
      </c>
      <c r="V7" s="18" t="s">
        <v>23</v>
      </c>
      <c r="W7" s="18" t="s">
        <v>23</v>
      </c>
      <c r="X7" s="18" t="s">
        <v>23</v>
      </c>
      <c r="Y7" s="18" t="s">
        <v>23</v>
      </c>
      <c r="Z7" s="18" t="s">
        <v>23</v>
      </c>
      <c r="AA7" s="18" t="s">
        <v>23</v>
      </c>
      <c r="AB7" s="18" t="s">
        <v>23</v>
      </c>
    </row>
    <row r="8" spans="1:28" ht="13.5" customHeight="1" x14ac:dyDescent="0.2">
      <c r="D8" s="26"/>
      <c r="E8" s="26"/>
      <c r="F8" s="26"/>
      <c r="P8" s="36"/>
    </row>
    <row r="9" spans="1:28" ht="13.5" customHeight="1" x14ac:dyDescent="0.2">
      <c r="A9" s="24"/>
      <c r="B9" s="24"/>
      <c r="C9" s="16" t="s">
        <v>26</v>
      </c>
      <c r="D9" s="26">
        <v>10000</v>
      </c>
      <c r="E9" s="26"/>
      <c r="F9" s="26"/>
      <c r="G9" s="26">
        <f>-D9</f>
        <v>-10000</v>
      </c>
      <c r="H9" s="26"/>
      <c r="I9" s="25"/>
      <c r="J9" s="25"/>
      <c r="K9" s="25"/>
      <c r="L9" s="25"/>
      <c r="M9" s="25"/>
      <c r="N9" s="25"/>
      <c r="O9" s="25"/>
      <c r="P9" s="37"/>
      <c r="Q9" s="25"/>
      <c r="R9" s="25"/>
      <c r="S9" s="25"/>
      <c r="T9" s="25"/>
      <c r="U9" s="25"/>
      <c r="V9" s="25"/>
      <c r="W9" s="25"/>
      <c r="X9" s="25"/>
      <c r="Y9" s="25"/>
      <c r="Z9" s="26"/>
      <c r="AA9" s="26"/>
      <c r="AB9" s="26">
        <f>SUM(D9:AA9)</f>
        <v>0</v>
      </c>
    </row>
    <row r="10" spans="1:28" ht="13.5" customHeight="1" x14ac:dyDescent="0.2">
      <c r="A10" s="24">
        <v>44452</v>
      </c>
      <c r="B10" s="24"/>
      <c r="C10" s="20" t="s">
        <v>52</v>
      </c>
      <c r="D10" s="26">
        <v>61.79</v>
      </c>
      <c r="E10" s="26"/>
      <c r="F10" s="26"/>
      <c r="G10" s="26"/>
      <c r="H10" s="26"/>
      <c r="I10" s="25"/>
      <c r="J10" s="25"/>
      <c r="K10" s="25"/>
      <c r="L10" s="25"/>
      <c r="M10" s="25"/>
      <c r="N10" s="25"/>
      <c r="O10" s="25"/>
      <c r="P10" s="37"/>
      <c r="Q10" s="25"/>
      <c r="R10" s="25">
        <f>-D10</f>
        <v>-61.79</v>
      </c>
      <c r="S10" s="25"/>
      <c r="T10" s="25"/>
      <c r="U10" s="25"/>
      <c r="V10" s="25"/>
      <c r="W10" s="25"/>
      <c r="X10" s="25"/>
      <c r="Y10" s="25"/>
      <c r="Z10" s="26"/>
      <c r="AB10" s="26">
        <f>SUM(D10:AA10)</f>
        <v>0</v>
      </c>
    </row>
    <row r="11" spans="1:28" ht="13.5" customHeight="1" x14ac:dyDescent="0.2">
      <c r="A11" s="24">
        <v>44468</v>
      </c>
      <c r="B11" s="24"/>
      <c r="C11" s="16" t="s">
        <v>44</v>
      </c>
      <c r="D11" s="26"/>
      <c r="E11" s="26">
        <v>105000</v>
      </c>
      <c r="F11" s="26">
        <f>E11*1.3611</f>
        <v>142915.5</v>
      </c>
      <c r="G11" s="25"/>
      <c r="H11" s="25"/>
      <c r="I11" s="25"/>
      <c r="J11" s="25"/>
      <c r="K11" s="25"/>
      <c r="L11" s="25"/>
      <c r="M11" s="25">
        <f>-F11</f>
        <v>-142915.5</v>
      </c>
      <c r="N11" s="25"/>
      <c r="O11" s="25"/>
      <c r="P11" s="37"/>
      <c r="Q11" s="25"/>
      <c r="R11" s="25"/>
      <c r="S11" s="25"/>
      <c r="T11" s="25"/>
      <c r="U11" s="25"/>
      <c r="V11" s="25"/>
      <c r="W11" s="25"/>
      <c r="X11" s="25"/>
      <c r="Y11" s="25"/>
      <c r="Z11" s="25"/>
      <c r="AB11" s="26">
        <f>SUM(F11:AA11)</f>
        <v>0</v>
      </c>
    </row>
    <row r="12" spans="1:28" ht="13.5" customHeight="1" x14ac:dyDescent="0.2">
      <c r="A12" s="24">
        <v>44468</v>
      </c>
      <c r="B12" s="24"/>
      <c r="C12" s="16" t="s">
        <v>42</v>
      </c>
      <c r="D12" s="26"/>
      <c r="E12" s="26">
        <v>-7.32</v>
      </c>
      <c r="F12" s="26">
        <f>E12*1.3611</f>
        <v>-9.9632520000000007</v>
      </c>
      <c r="G12" s="25"/>
      <c r="H12" s="25"/>
      <c r="I12" s="25"/>
      <c r="J12" s="25"/>
      <c r="K12" s="25"/>
      <c r="L12" s="25"/>
      <c r="M12" s="25"/>
      <c r="N12" s="25"/>
      <c r="O12" s="25"/>
      <c r="P12" s="37"/>
      <c r="Q12" s="25"/>
      <c r="R12" s="25"/>
      <c r="S12" s="25">
        <f>-F12</f>
        <v>9.9632520000000007</v>
      </c>
      <c r="T12" s="25"/>
      <c r="U12" s="25"/>
      <c r="V12" s="25"/>
      <c r="W12" s="25"/>
      <c r="X12" s="25"/>
      <c r="Y12" s="25"/>
      <c r="Z12" s="25"/>
      <c r="AB12" s="26">
        <f>SUM(F12:AA12)</f>
        <v>0</v>
      </c>
    </row>
    <row r="13" spans="1:28" ht="13.5" customHeight="1" x14ac:dyDescent="0.2">
      <c r="A13" s="24">
        <v>44473</v>
      </c>
      <c r="B13" s="24"/>
      <c r="C13" s="16" t="s">
        <v>42</v>
      </c>
      <c r="D13" s="26">
        <v>-10</v>
      </c>
      <c r="E13" s="26"/>
      <c r="F13" s="26"/>
      <c r="G13" s="25"/>
      <c r="H13" s="25"/>
      <c r="I13" s="25"/>
      <c r="J13" s="25"/>
      <c r="K13" s="25"/>
      <c r="L13" s="25"/>
      <c r="M13" s="25"/>
      <c r="N13" s="25"/>
      <c r="O13" s="25"/>
      <c r="P13" s="37"/>
      <c r="Q13" s="25"/>
      <c r="R13" s="25"/>
      <c r="S13" s="25">
        <f>-D13</f>
        <v>10</v>
      </c>
      <c r="T13" s="25"/>
      <c r="U13" s="25"/>
      <c r="V13" s="25"/>
      <c r="W13" s="25"/>
      <c r="X13" s="25"/>
      <c r="Y13" s="25"/>
      <c r="Z13" s="25"/>
      <c r="AB13" s="26">
        <f>SUM(D13:AA13)</f>
        <v>0</v>
      </c>
    </row>
    <row r="14" spans="1:28" ht="13.5" customHeight="1" x14ac:dyDescent="0.2">
      <c r="A14" s="24">
        <v>44470</v>
      </c>
      <c r="B14" s="24"/>
      <c r="C14" s="16" t="s">
        <v>45</v>
      </c>
      <c r="D14" s="26"/>
      <c r="E14" s="26">
        <v>130000</v>
      </c>
      <c r="F14" s="26">
        <f t="shared" ref="F14:F19" si="0">E14*1.3646</f>
        <v>177398</v>
      </c>
      <c r="G14" s="25"/>
      <c r="H14" s="25"/>
      <c r="I14" s="25"/>
      <c r="J14" s="25"/>
      <c r="K14" s="25"/>
      <c r="L14" s="25"/>
      <c r="M14" s="25">
        <f t="shared" ref="M14:M19" si="1">-F14</f>
        <v>-177398</v>
      </c>
      <c r="N14" s="25"/>
      <c r="O14" s="25"/>
      <c r="P14" s="37"/>
      <c r="Q14" s="25"/>
      <c r="R14" s="25"/>
      <c r="S14" s="25"/>
      <c r="T14" s="25"/>
      <c r="U14" s="25"/>
      <c r="V14" s="25"/>
      <c r="W14" s="25"/>
      <c r="X14" s="25"/>
      <c r="Y14" s="25"/>
      <c r="Z14" s="25"/>
      <c r="AB14" s="26">
        <f t="shared" ref="AB14:AB19" si="2">SUM(F14:AA14)</f>
        <v>0</v>
      </c>
    </row>
    <row r="15" spans="1:28" ht="13.5" customHeight="1" x14ac:dyDescent="0.2">
      <c r="A15" s="24">
        <v>44470</v>
      </c>
      <c r="B15" s="24"/>
      <c r="C15" s="16" t="s">
        <v>46</v>
      </c>
      <c r="D15" s="26"/>
      <c r="E15" s="26">
        <v>120000</v>
      </c>
      <c r="F15" s="26">
        <f t="shared" si="0"/>
        <v>163752</v>
      </c>
      <c r="G15" s="25"/>
      <c r="H15" s="25"/>
      <c r="I15" s="25"/>
      <c r="J15" s="25"/>
      <c r="K15" s="25"/>
      <c r="L15" s="25"/>
      <c r="M15" s="25">
        <f t="shared" si="1"/>
        <v>-163752</v>
      </c>
      <c r="N15" s="25"/>
      <c r="O15" s="25"/>
      <c r="P15" s="37"/>
      <c r="Q15" s="25"/>
      <c r="R15" s="25"/>
      <c r="S15" s="25"/>
      <c r="T15" s="25"/>
      <c r="U15" s="25"/>
      <c r="V15" s="25"/>
      <c r="W15" s="25"/>
      <c r="X15" s="25"/>
      <c r="Y15" s="25"/>
      <c r="Z15" s="25"/>
      <c r="AB15" s="26">
        <f t="shared" si="2"/>
        <v>0</v>
      </c>
    </row>
    <row r="16" spans="1:28" ht="13.5" customHeight="1" x14ac:dyDescent="0.2">
      <c r="A16" s="24">
        <v>44473</v>
      </c>
      <c r="B16" s="24"/>
      <c r="C16" s="16" t="s">
        <v>43</v>
      </c>
      <c r="D16" s="26"/>
      <c r="E16" s="26">
        <v>105000</v>
      </c>
      <c r="F16" s="26">
        <f t="shared" si="0"/>
        <v>143283</v>
      </c>
      <c r="G16" s="25"/>
      <c r="H16" s="25"/>
      <c r="I16" s="25"/>
      <c r="J16" s="25"/>
      <c r="K16" s="25"/>
      <c r="L16" s="25"/>
      <c r="M16" s="25">
        <f t="shared" si="1"/>
        <v>-143283</v>
      </c>
      <c r="N16" s="25"/>
      <c r="O16" s="25"/>
      <c r="P16" s="37"/>
      <c r="Q16" s="25"/>
      <c r="R16" s="25"/>
      <c r="S16" s="25"/>
      <c r="T16" s="25"/>
      <c r="U16" s="25"/>
      <c r="V16" s="25"/>
      <c r="W16" s="25"/>
      <c r="X16" s="25"/>
      <c r="Y16" s="25"/>
      <c r="Z16" s="25"/>
      <c r="AB16" s="26">
        <f t="shared" si="2"/>
        <v>0</v>
      </c>
    </row>
    <row r="17" spans="1:28" ht="13.5" customHeight="1" x14ac:dyDescent="0.2">
      <c r="A17" s="24">
        <v>44473</v>
      </c>
      <c r="B17" s="24"/>
      <c r="C17" s="16" t="s">
        <v>42</v>
      </c>
      <c r="D17" s="26"/>
      <c r="E17" s="26">
        <v>-7.32</v>
      </c>
      <c r="F17" s="26">
        <f t="shared" si="0"/>
        <v>-9.9888720000000006</v>
      </c>
      <c r="G17" s="25"/>
      <c r="H17" s="25"/>
      <c r="I17" s="25"/>
      <c r="J17" s="25"/>
      <c r="K17" s="25"/>
      <c r="L17" s="25"/>
      <c r="M17" s="25"/>
      <c r="N17" s="25"/>
      <c r="O17" s="25"/>
      <c r="P17" s="37"/>
      <c r="Q17" s="25"/>
      <c r="R17" s="25"/>
      <c r="S17" s="25">
        <f>-F17</f>
        <v>9.9888720000000006</v>
      </c>
      <c r="T17" s="25"/>
      <c r="U17" s="25"/>
      <c r="V17" s="25"/>
      <c r="W17" s="25"/>
      <c r="X17" s="25"/>
      <c r="Y17" s="25"/>
      <c r="Z17" s="25"/>
      <c r="AB17" s="26">
        <f t="shared" si="2"/>
        <v>0</v>
      </c>
    </row>
    <row r="18" spans="1:28" ht="13.5" customHeight="1" x14ac:dyDescent="0.2">
      <c r="A18" s="24">
        <v>44473</v>
      </c>
      <c r="B18" s="24"/>
      <c r="C18" s="16" t="s">
        <v>45</v>
      </c>
      <c r="D18" s="26"/>
      <c r="E18" s="26">
        <v>125000</v>
      </c>
      <c r="F18" s="26">
        <f t="shared" si="0"/>
        <v>170575</v>
      </c>
      <c r="G18" s="25"/>
      <c r="H18" s="25"/>
      <c r="I18" s="25"/>
      <c r="J18" s="25"/>
      <c r="K18" s="25"/>
      <c r="L18" s="25"/>
      <c r="M18" s="25">
        <f t="shared" si="1"/>
        <v>-170575</v>
      </c>
      <c r="N18" s="25"/>
      <c r="O18" s="25"/>
      <c r="P18" s="37"/>
      <c r="Q18" s="25"/>
      <c r="R18" s="25"/>
      <c r="S18" s="25"/>
      <c r="T18" s="25"/>
      <c r="U18" s="25"/>
      <c r="V18" s="25"/>
      <c r="W18" s="25"/>
      <c r="X18" s="25"/>
      <c r="Y18" s="25"/>
      <c r="Z18" s="25"/>
      <c r="AB18" s="26">
        <f t="shared" si="2"/>
        <v>0</v>
      </c>
    </row>
    <row r="19" spans="1:28" ht="13.5" customHeight="1" x14ac:dyDescent="0.2">
      <c r="A19" s="24">
        <v>44474</v>
      </c>
      <c r="B19" s="24"/>
      <c r="C19" s="16" t="s">
        <v>46</v>
      </c>
      <c r="D19" s="26"/>
      <c r="E19" s="26">
        <v>45000</v>
      </c>
      <c r="F19" s="26">
        <f t="shared" si="0"/>
        <v>61407</v>
      </c>
      <c r="G19" s="25"/>
      <c r="H19" s="25"/>
      <c r="I19" s="25"/>
      <c r="J19" s="25"/>
      <c r="K19" s="25"/>
      <c r="L19" s="25"/>
      <c r="M19" s="25">
        <f t="shared" si="1"/>
        <v>-61407</v>
      </c>
      <c r="N19" s="25"/>
      <c r="O19" s="25"/>
      <c r="P19" s="37"/>
      <c r="Q19" s="25"/>
      <c r="R19" s="25"/>
      <c r="S19" s="25"/>
      <c r="T19" s="25"/>
      <c r="U19" s="25"/>
      <c r="V19" s="25"/>
      <c r="W19" s="25"/>
      <c r="X19" s="25"/>
      <c r="Y19" s="25"/>
      <c r="Z19" s="25"/>
      <c r="AB19" s="26">
        <f t="shared" si="2"/>
        <v>0</v>
      </c>
    </row>
    <row r="20" spans="1:28" ht="13.5" customHeight="1" x14ac:dyDescent="0.2">
      <c r="A20" s="24">
        <v>44476</v>
      </c>
      <c r="B20" s="24"/>
      <c r="C20" s="16" t="s">
        <v>43</v>
      </c>
      <c r="D20" s="26">
        <v>61470</v>
      </c>
      <c r="E20" s="26"/>
      <c r="F20" s="26"/>
      <c r="G20" s="25"/>
      <c r="H20" s="25"/>
      <c r="I20" s="25"/>
      <c r="J20" s="25"/>
      <c r="K20" s="25"/>
      <c r="L20" s="25"/>
      <c r="M20" s="25">
        <f>-D20</f>
        <v>-61470</v>
      </c>
      <c r="N20" s="25"/>
      <c r="O20" s="25"/>
      <c r="P20" s="37"/>
      <c r="Q20" s="25"/>
      <c r="R20" s="25"/>
      <c r="S20" s="25"/>
      <c r="T20" s="25"/>
      <c r="U20" s="25"/>
      <c r="V20" s="25"/>
      <c r="W20" s="25"/>
      <c r="X20" s="25"/>
      <c r="Y20" s="25"/>
      <c r="Z20" s="25"/>
      <c r="AB20" s="26">
        <f>SUM(D20:AA20)</f>
        <v>0</v>
      </c>
    </row>
    <row r="21" spans="1:28" ht="13.5" customHeight="1" x14ac:dyDescent="0.2">
      <c r="A21" s="24">
        <v>44476</v>
      </c>
      <c r="B21" s="24"/>
      <c r="C21" s="16" t="s">
        <v>45</v>
      </c>
      <c r="D21" s="26">
        <v>83430</v>
      </c>
      <c r="E21" s="26"/>
      <c r="F21" s="26"/>
      <c r="G21" s="25"/>
      <c r="H21" s="25"/>
      <c r="I21" s="25"/>
      <c r="J21" s="25"/>
      <c r="K21" s="25"/>
      <c r="L21" s="25"/>
      <c r="M21" s="25">
        <f>-D21</f>
        <v>-83430</v>
      </c>
      <c r="N21" s="25"/>
      <c r="O21" s="25"/>
      <c r="P21" s="37"/>
      <c r="Q21" s="25"/>
      <c r="R21" s="25"/>
      <c r="S21" s="25"/>
      <c r="T21" s="25"/>
      <c r="U21" s="25"/>
      <c r="V21" s="25"/>
      <c r="W21" s="25"/>
      <c r="X21" s="25"/>
      <c r="Y21" s="25"/>
      <c r="Z21" s="25"/>
      <c r="AB21" s="26">
        <f>SUM(D21:AA21)</f>
        <v>0</v>
      </c>
    </row>
    <row r="22" spans="1:28" ht="13.5" customHeight="1" x14ac:dyDescent="0.2">
      <c r="A22" s="24">
        <v>44476</v>
      </c>
      <c r="B22" s="24"/>
      <c r="C22" s="16" t="s">
        <v>47</v>
      </c>
      <c r="D22" s="26">
        <f>-D20-D21</f>
        <v>-144900</v>
      </c>
      <c r="E22" s="40">
        <f>F22/1.3646</f>
        <v>106184.96262641066</v>
      </c>
      <c r="F22" s="26">
        <f>-D22</f>
        <v>144900</v>
      </c>
      <c r="G22" s="25"/>
      <c r="H22" s="25"/>
      <c r="I22" s="25"/>
      <c r="J22" s="25"/>
      <c r="K22" s="25"/>
      <c r="L22" s="25"/>
      <c r="M22" s="25">
        <v>0</v>
      </c>
      <c r="N22" s="25"/>
      <c r="O22" s="25"/>
      <c r="P22" s="37"/>
      <c r="Q22" s="25"/>
      <c r="R22" s="25"/>
      <c r="S22" s="25"/>
      <c r="T22" s="25"/>
      <c r="U22" s="25"/>
      <c r="V22" s="25"/>
      <c r="W22" s="25"/>
      <c r="X22" s="25"/>
      <c r="Y22" s="25"/>
      <c r="Z22" s="25"/>
      <c r="AB22" s="26">
        <f t="shared" ref="AB22:AB54" si="3">SUM(D22:AA22)-E22</f>
        <v>0</v>
      </c>
    </row>
    <row r="23" spans="1:28" ht="13.5" customHeight="1" x14ac:dyDescent="0.2">
      <c r="A23" s="24">
        <v>44476</v>
      </c>
      <c r="B23" s="24"/>
      <c r="C23" s="16" t="s">
        <v>45</v>
      </c>
      <c r="D23" s="26"/>
      <c r="E23" s="26">
        <f>F23/1.3656</f>
        <v>43936.731107205625</v>
      </c>
      <c r="F23" s="26">
        <v>60000</v>
      </c>
      <c r="G23" s="25"/>
      <c r="H23" s="25"/>
      <c r="I23" s="25"/>
      <c r="J23" s="25"/>
      <c r="K23" s="25"/>
      <c r="L23" s="25"/>
      <c r="M23" s="25">
        <f>-F23</f>
        <v>-60000</v>
      </c>
      <c r="N23" s="25"/>
      <c r="O23" s="25"/>
      <c r="P23" s="37"/>
      <c r="Q23" s="25"/>
      <c r="R23" s="25"/>
      <c r="S23" s="25"/>
      <c r="T23" s="25"/>
      <c r="U23" s="25"/>
      <c r="V23" s="25"/>
      <c r="W23" s="25"/>
      <c r="X23" s="25"/>
      <c r="Y23" s="25"/>
      <c r="Z23" s="25"/>
      <c r="AB23" s="26">
        <f t="shared" si="3"/>
        <v>0</v>
      </c>
    </row>
    <row r="24" spans="1:28" ht="13.5" customHeight="1" x14ac:dyDescent="0.2">
      <c r="A24" s="24">
        <v>44476</v>
      </c>
      <c r="B24" s="24"/>
      <c r="C24" s="16" t="s">
        <v>46</v>
      </c>
      <c r="D24" s="26"/>
      <c r="E24" s="26">
        <f>F24/1.3651</f>
        <v>75049.446926965058</v>
      </c>
      <c r="F24" s="26">
        <v>102450</v>
      </c>
      <c r="G24" s="25"/>
      <c r="H24" s="25"/>
      <c r="I24" s="25"/>
      <c r="J24" s="25"/>
      <c r="K24" s="25"/>
      <c r="L24" s="25"/>
      <c r="M24" s="25">
        <f>-F24</f>
        <v>-102450</v>
      </c>
      <c r="N24" s="25"/>
      <c r="O24" s="25"/>
      <c r="P24" s="37"/>
      <c r="Q24" s="25"/>
      <c r="R24" s="25"/>
      <c r="S24" s="25"/>
      <c r="T24" s="25"/>
      <c r="U24" s="25"/>
      <c r="V24" s="25"/>
      <c r="W24" s="25"/>
      <c r="X24" s="25"/>
      <c r="Y24" s="25"/>
      <c r="Z24" s="25"/>
      <c r="AB24" s="26">
        <f t="shared" si="3"/>
        <v>0</v>
      </c>
    </row>
    <row r="25" spans="1:28" ht="13.5" customHeight="1" x14ac:dyDescent="0.2">
      <c r="A25" s="24">
        <v>44477</v>
      </c>
      <c r="B25" s="24"/>
      <c r="C25" s="16" t="s">
        <v>48</v>
      </c>
      <c r="D25" s="26">
        <v>-273.2</v>
      </c>
      <c r="E25" s="26">
        <v>200</v>
      </c>
      <c r="F25" s="26">
        <f>-D25</f>
        <v>273.2</v>
      </c>
      <c r="G25" s="25"/>
      <c r="H25" s="25"/>
      <c r="I25" s="25"/>
      <c r="J25" s="25"/>
      <c r="K25" s="25"/>
      <c r="L25" s="25"/>
      <c r="M25" s="25">
        <v>0</v>
      </c>
      <c r="N25" s="25"/>
      <c r="O25" s="25"/>
      <c r="P25" s="37"/>
      <c r="Q25" s="25"/>
      <c r="R25" s="25"/>
      <c r="S25" s="25"/>
      <c r="T25" s="25"/>
      <c r="U25" s="25"/>
      <c r="V25" s="25"/>
      <c r="W25" s="25"/>
      <c r="X25" s="25"/>
      <c r="Y25" s="25"/>
      <c r="Z25" s="25"/>
      <c r="AB25" s="26">
        <f t="shared" si="3"/>
        <v>0</v>
      </c>
    </row>
    <row r="26" spans="1:28" ht="13.5" customHeight="1" x14ac:dyDescent="0.2">
      <c r="A26" s="24">
        <v>44477</v>
      </c>
      <c r="B26" s="24"/>
      <c r="C26" s="16" t="s">
        <v>48</v>
      </c>
      <c r="D26" s="26"/>
      <c r="E26" s="26">
        <v>-855000</v>
      </c>
      <c r="F26" s="26">
        <f>SUM(M11:M24)</f>
        <v>-1166680.5</v>
      </c>
      <c r="G26" s="25"/>
      <c r="H26" s="25">
        <f>-F26</f>
        <v>1166680.5</v>
      </c>
      <c r="I26" s="25"/>
      <c r="J26" s="25"/>
      <c r="K26" s="25"/>
      <c r="L26" s="25"/>
      <c r="N26" s="25"/>
      <c r="O26" s="25"/>
      <c r="P26" s="37"/>
      <c r="Q26" s="25"/>
      <c r="R26" s="25"/>
      <c r="S26" s="25"/>
      <c r="T26" s="25"/>
      <c r="U26" s="25"/>
      <c r="V26" s="25"/>
      <c r="W26" s="25"/>
      <c r="X26" s="25"/>
      <c r="Y26" s="25"/>
      <c r="Z26" s="25"/>
      <c r="AB26" s="26">
        <f t="shared" si="3"/>
        <v>0</v>
      </c>
    </row>
    <row r="27" spans="1:28" ht="13.5" customHeight="1" x14ac:dyDescent="0.2">
      <c r="A27" s="24">
        <v>44477</v>
      </c>
      <c r="B27" s="24"/>
      <c r="C27" s="16" t="s">
        <v>42</v>
      </c>
      <c r="D27" s="26"/>
      <c r="E27" s="26">
        <v>-43</v>
      </c>
      <c r="F27" s="26">
        <f>E27*1.366</f>
        <v>-58.738000000000007</v>
      </c>
      <c r="G27" s="25"/>
      <c r="H27" s="25"/>
      <c r="I27" s="25"/>
      <c r="J27" s="25"/>
      <c r="K27" s="25"/>
      <c r="L27" s="25"/>
      <c r="M27" s="25"/>
      <c r="N27" s="25"/>
      <c r="O27" s="25"/>
      <c r="P27" s="37"/>
      <c r="Q27" s="25"/>
      <c r="R27" s="25"/>
      <c r="S27" s="25">
        <f>-F27</f>
        <v>58.738000000000007</v>
      </c>
      <c r="T27" s="25"/>
      <c r="U27" s="25"/>
      <c r="V27" s="25"/>
      <c r="W27" s="25"/>
      <c r="X27" s="25"/>
      <c r="Y27" s="25"/>
      <c r="Z27" s="25"/>
      <c r="AB27" s="26">
        <f t="shared" si="3"/>
        <v>0</v>
      </c>
    </row>
    <row r="28" spans="1:28" ht="13.5" customHeight="1" x14ac:dyDescent="0.2">
      <c r="A28" s="24">
        <v>44477</v>
      </c>
      <c r="B28" s="24"/>
      <c r="C28" s="16" t="s">
        <v>42</v>
      </c>
      <c r="D28" s="26"/>
      <c r="E28" s="26">
        <v>-15</v>
      </c>
      <c r="F28" s="26">
        <f>E28*1.366</f>
        <v>-20.490000000000002</v>
      </c>
      <c r="G28" s="25"/>
      <c r="H28" s="25"/>
      <c r="I28" s="25"/>
      <c r="J28" s="25"/>
      <c r="K28" s="25"/>
      <c r="L28" s="25"/>
      <c r="M28" s="25"/>
      <c r="N28" s="25"/>
      <c r="O28" s="25"/>
      <c r="P28" s="37"/>
      <c r="Q28" s="25"/>
      <c r="R28" s="25"/>
      <c r="S28" s="25">
        <f>-F28</f>
        <v>20.490000000000002</v>
      </c>
      <c r="T28" s="25"/>
      <c r="U28" s="25"/>
      <c r="V28" s="25"/>
      <c r="W28" s="25"/>
      <c r="X28" s="25"/>
      <c r="Y28" s="25"/>
      <c r="Z28" s="25"/>
      <c r="AB28" s="26">
        <f t="shared" si="3"/>
        <v>0</v>
      </c>
    </row>
    <row r="29" spans="1:28" ht="13.5" customHeight="1" x14ac:dyDescent="0.2">
      <c r="A29" s="24">
        <v>44488</v>
      </c>
      <c r="B29" s="24"/>
      <c r="C29" s="16" t="s">
        <v>50</v>
      </c>
      <c r="D29" s="26">
        <v>-934</v>
      </c>
      <c r="E29" s="26"/>
      <c r="F29" s="26"/>
      <c r="G29" s="25"/>
      <c r="H29" s="25"/>
      <c r="I29" s="25"/>
      <c r="J29" s="25"/>
      <c r="K29" s="25"/>
      <c r="L29" s="25"/>
      <c r="M29" s="25"/>
      <c r="N29" s="25"/>
      <c r="O29" s="25"/>
      <c r="P29" s="37"/>
      <c r="Q29" s="25"/>
      <c r="R29" s="25"/>
      <c r="S29" s="25"/>
      <c r="T29" s="25">
        <v>915</v>
      </c>
      <c r="U29" s="33">
        <v>19</v>
      </c>
      <c r="V29" s="33"/>
      <c r="W29" s="33"/>
      <c r="X29" s="33"/>
      <c r="Y29" s="33"/>
      <c r="Z29" s="25"/>
      <c r="AB29" s="26">
        <f t="shared" si="3"/>
        <v>0</v>
      </c>
    </row>
    <row r="30" spans="1:28" ht="13.5" customHeight="1" x14ac:dyDescent="0.2">
      <c r="A30" s="24">
        <v>44489</v>
      </c>
      <c r="B30" s="24"/>
      <c r="C30" s="20" t="s">
        <v>52</v>
      </c>
      <c r="D30" s="26">
        <v>99.84</v>
      </c>
      <c r="E30" s="26"/>
      <c r="F30" s="26"/>
      <c r="G30" s="25"/>
      <c r="H30" s="25"/>
      <c r="I30" s="25"/>
      <c r="J30" s="25"/>
      <c r="K30" s="25"/>
      <c r="L30" s="25"/>
      <c r="M30" s="25"/>
      <c r="N30" s="25"/>
      <c r="O30" s="25"/>
      <c r="P30" s="37"/>
      <c r="Q30" s="25"/>
      <c r="R30" s="25">
        <f>-D30</f>
        <v>-99.84</v>
      </c>
      <c r="S30" s="25"/>
      <c r="T30" s="25"/>
      <c r="U30" s="25"/>
      <c r="V30" s="25"/>
      <c r="W30" s="25"/>
      <c r="X30" s="25"/>
      <c r="Y30" s="25"/>
      <c r="Z30" s="25"/>
      <c r="AB30" s="26">
        <f t="shared" si="3"/>
        <v>0</v>
      </c>
    </row>
    <row r="31" spans="1:28" ht="13.5" customHeight="1" x14ac:dyDescent="0.2">
      <c r="A31" s="24">
        <v>44505</v>
      </c>
      <c r="B31" s="24"/>
      <c r="C31" s="16" t="s">
        <v>42</v>
      </c>
      <c r="D31" s="26">
        <v>-10</v>
      </c>
      <c r="E31" s="26"/>
      <c r="F31" s="26"/>
      <c r="G31" s="25"/>
      <c r="H31" s="25"/>
      <c r="I31" s="25"/>
      <c r="J31" s="25"/>
      <c r="K31" s="25"/>
      <c r="L31" s="25"/>
      <c r="M31" s="25"/>
      <c r="N31" s="25"/>
      <c r="O31" s="25"/>
      <c r="P31" s="37"/>
      <c r="Q31" s="25"/>
      <c r="R31" s="25"/>
      <c r="S31" s="25">
        <f>-D31</f>
        <v>10</v>
      </c>
      <c r="T31" s="25"/>
      <c r="U31" s="25"/>
      <c r="V31" s="25"/>
      <c r="W31" s="25"/>
      <c r="X31" s="25"/>
      <c r="Y31" s="25"/>
      <c r="Z31" s="25"/>
      <c r="AB31" s="26">
        <f t="shared" si="3"/>
        <v>0</v>
      </c>
    </row>
    <row r="32" spans="1:28" ht="13.5" customHeight="1" x14ac:dyDescent="0.2">
      <c r="A32" s="24">
        <v>44530</v>
      </c>
      <c r="B32" s="24"/>
      <c r="C32" s="16" t="s">
        <v>54</v>
      </c>
      <c r="D32" s="26"/>
      <c r="E32" s="26"/>
      <c r="F32" s="26">
        <f>298.5*1.3686-174.02</f>
        <v>234.50710000000001</v>
      </c>
      <c r="G32" s="25"/>
      <c r="H32" s="25"/>
      <c r="J32" s="25"/>
      <c r="K32" s="25"/>
      <c r="L32" s="25"/>
      <c r="M32" s="25"/>
      <c r="N32" s="25"/>
      <c r="O32" s="25"/>
      <c r="P32" s="37"/>
      <c r="Q32" s="25"/>
      <c r="R32" s="25"/>
      <c r="S32" s="25"/>
      <c r="T32" s="25"/>
      <c r="U32" s="25"/>
      <c r="V32" s="25"/>
      <c r="W32" s="25"/>
      <c r="X32" s="25"/>
      <c r="Y32" s="25"/>
      <c r="Z32" s="25">
        <f>-F32</f>
        <v>-234.50710000000001</v>
      </c>
      <c r="AB32" s="26">
        <f t="shared" si="3"/>
        <v>0</v>
      </c>
    </row>
    <row r="33" spans="1:28" ht="13.5" customHeight="1" x14ac:dyDescent="0.2">
      <c r="A33" s="24">
        <v>44533</v>
      </c>
      <c r="B33" s="24"/>
      <c r="C33" s="16" t="s">
        <v>42</v>
      </c>
      <c r="D33" s="26">
        <v>-10</v>
      </c>
      <c r="E33" s="26"/>
      <c r="F33" s="26"/>
      <c r="G33" s="25"/>
      <c r="H33" s="25"/>
      <c r="I33" s="25"/>
      <c r="J33" s="25"/>
      <c r="K33" s="25"/>
      <c r="L33" s="25"/>
      <c r="M33" s="25"/>
      <c r="N33" s="25"/>
      <c r="O33" s="25"/>
      <c r="P33" s="37"/>
      <c r="Q33" s="25"/>
      <c r="R33" s="25"/>
      <c r="S33" s="25">
        <f>-D33</f>
        <v>10</v>
      </c>
      <c r="T33" s="25"/>
      <c r="U33" s="25"/>
      <c r="V33" s="25"/>
      <c r="W33" s="25"/>
      <c r="X33" s="25"/>
      <c r="Y33" s="25"/>
      <c r="Z33" s="25"/>
      <c r="AB33" s="26">
        <f t="shared" si="3"/>
        <v>0</v>
      </c>
    </row>
    <row r="34" spans="1:28" ht="13.5" customHeight="1" x14ac:dyDescent="0.2">
      <c r="A34" s="24">
        <v>44540</v>
      </c>
      <c r="B34" s="24"/>
      <c r="C34" s="20" t="s">
        <v>52</v>
      </c>
      <c r="D34" s="26">
        <v>49.79</v>
      </c>
      <c r="E34" s="26"/>
      <c r="F34" s="26"/>
      <c r="G34" s="25"/>
      <c r="H34" s="25"/>
      <c r="I34" s="25"/>
      <c r="J34" s="25"/>
      <c r="K34" s="25"/>
      <c r="L34" s="25"/>
      <c r="M34" s="25"/>
      <c r="N34" s="25"/>
      <c r="O34" s="25"/>
      <c r="P34" s="37"/>
      <c r="Q34" s="25"/>
      <c r="R34" s="25">
        <f>-D34</f>
        <v>-49.79</v>
      </c>
      <c r="S34" s="25"/>
      <c r="T34" s="25"/>
      <c r="U34" s="25"/>
      <c r="V34" s="25"/>
      <c r="W34" s="25"/>
      <c r="X34" s="25"/>
      <c r="Y34" s="25"/>
      <c r="Z34" s="25"/>
      <c r="AB34" s="26">
        <f t="shared" si="3"/>
        <v>0</v>
      </c>
    </row>
    <row r="35" spans="1:28" ht="13.5" customHeight="1" x14ac:dyDescent="0.2">
      <c r="A35" s="24">
        <v>44558</v>
      </c>
      <c r="B35" s="24"/>
      <c r="C35" s="20" t="s">
        <v>52</v>
      </c>
      <c r="D35" s="26">
        <v>107.06</v>
      </c>
      <c r="E35" s="26"/>
      <c r="F35" s="26"/>
      <c r="G35" s="25"/>
      <c r="H35" s="25"/>
      <c r="I35" s="25"/>
      <c r="J35" s="25"/>
      <c r="K35" s="25"/>
      <c r="L35" s="25"/>
      <c r="M35" s="25"/>
      <c r="N35" s="25"/>
      <c r="O35" s="25"/>
      <c r="P35" s="37"/>
      <c r="Q35" s="25"/>
      <c r="R35" s="25">
        <f>-D35</f>
        <v>-107.06</v>
      </c>
      <c r="S35" s="25"/>
      <c r="T35" s="25"/>
      <c r="U35" s="25"/>
      <c r="V35" s="25"/>
      <c r="W35" s="25"/>
      <c r="X35" s="25"/>
      <c r="Y35" s="25"/>
      <c r="Z35" s="25"/>
      <c r="AB35" s="26">
        <f t="shared" si="3"/>
        <v>0</v>
      </c>
    </row>
    <row r="36" spans="1:28" ht="13.5" customHeight="1" x14ac:dyDescent="0.2">
      <c r="A36" s="24">
        <v>44564</v>
      </c>
      <c r="B36" s="24"/>
      <c r="C36" s="16" t="s">
        <v>42</v>
      </c>
      <c r="D36" s="26">
        <v>-10</v>
      </c>
      <c r="E36" s="26"/>
      <c r="F36" s="26"/>
      <c r="G36" s="25"/>
      <c r="H36" s="25"/>
      <c r="I36" s="25"/>
      <c r="J36" s="25"/>
      <c r="K36" s="25"/>
      <c r="L36" s="25"/>
      <c r="M36" s="25"/>
      <c r="N36" s="25"/>
      <c r="O36" s="25"/>
      <c r="P36" s="37"/>
      <c r="Q36" s="25"/>
      <c r="R36" s="25"/>
      <c r="S36" s="25">
        <f>-D36</f>
        <v>10</v>
      </c>
      <c r="T36" s="25"/>
      <c r="U36" s="25"/>
      <c r="V36" s="25"/>
      <c r="W36" s="25"/>
      <c r="X36" s="25"/>
      <c r="Y36" s="25"/>
      <c r="Z36" s="25"/>
      <c r="AB36" s="26">
        <f t="shared" si="3"/>
        <v>0</v>
      </c>
    </row>
    <row r="37" spans="1:28" ht="13.5" customHeight="1" x14ac:dyDescent="0.2">
      <c r="A37" s="24">
        <v>44578</v>
      </c>
      <c r="B37" s="24"/>
      <c r="C37" s="20" t="s">
        <v>52</v>
      </c>
      <c r="D37" s="26">
        <v>24.25</v>
      </c>
      <c r="E37" s="26"/>
      <c r="F37" s="26"/>
      <c r="G37" s="25"/>
      <c r="H37" s="25"/>
      <c r="I37" s="25"/>
      <c r="J37" s="25"/>
      <c r="K37" s="25"/>
      <c r="L37" s="25"/>
      <c r="M37" s="25"/>
      <c r="N37" s="25"/>
      <c r="O37" s="25"/>
      <c r="P37" s="37"/>
      <c r="Q37" s="25"/>
      <c r="R37" s="25">
        <f>-D37</f>
        <v>-24.25</v>
      </c>
      <c r="S37" s="25"/>
      <c r="T37" s="25"/>
      <c r="U37" s="25"/>
      <c r="V37" s="25"/>
      <c r="W37" s="25"/>
      <c r="X37" s="25"/>
      <c r="Y37" s="25"/>
      <c r="Z37" s="25"/>
      <c r="AB37" s="26">
        <f t="shared" si="3"/>
        <v>0</v>
      </c>
    </row>
    <row r="38" spans="1:28" ht="13.5" customHeight="1" x14ac:dyDescent="0.2">
      <c r="A38" s="24">
        <v>44562</v>
      </c>
      <c r="B38" s="24" t="s">
        <v>73</v>
      </c>
      <c r="C38" s="20" t="s">
        <v>78</v>
      </c>
      <c r="D38" s="26"/>
      <c r="E38" s="26"/>
      <c r="F38" s="26"/>
      <c r="G38" s="25"/>
      <c r="H38" s="25"/>
      <c r="I38" s="25">
        <v>1650</v>
      </c>
      <c r="J38" s="25">
        <v>-1650</v>
      </c>
      <c r="K38" s="25"/>
      <c r="L38" s="25"/>
      <c r="M38" s="25"/>
      <c r="N38" s="25"/>
      <c r="O38" s="25"/>
      <c r="P38" s="37"/>
      <c r="Q38" s="25">
        <f>1650-3023.29</f>
        <v>-1373.29</v>
      </c>
      <c r="R38" s="25"/>
      <c r="S38" s="25"/>
      <c r="T38" s="25"/>
      <c r="U38" s="25"/>
      <c r="V38" s="25"/>
      <c r="W38" s="25"/>
      <c r="X38" s="25"/>
      <c r="Y38" s="25">
        <f>-Q38</f>
        <v>1373.29</v>
      </c>
      <c r="Z38" s="25"/>
      <c r="AB38" s="26">
        <f t="shared" si="3"/>
        <v>0</v>
      </c>
    </row>
    <row r="39" spans="1:28" ht="13.5" customHeight="1" x14ac:dyDescent="0.2">
      <c r="A39" s="24">
        <v>44593</v>
      </c>
      <c r="B39" s="24" t="s">
        <v>74</v>
      </c>
      <c r="C39" s="20" t="s">
        <v>77</v>
      </c>
      <c r="D39" s="26"/>
      <c r="E39" s="26"/>
      <c r="F39" s="26"/>
      <c r="G39" s="25"/>
      <c r="H39" s="25"/>
      <c r="I39" s="25"/>
      <c r="J39" s="25"/>
      <c r="K39" s="25"/>
      <c r="L39" s="25"/>
      <c r="M39" s="25"/>
      <c r="N39" s="25"/>
      <c r="O39" s="25"/>
      <c r="P39" s="37"/>
      <c r="Q39" s="25">
        <v>-1400</v>
      </c>
      <c r="R39" s="25"/>
      <c r="S39" s="25"/>
      <c r="T39" s="25"/>
      <c r="U39" s="25"/>
      <c r="V39" s="25"/>
      <c r="W39" s="25"/>
      <c r="X39" s="25">
        <f>-Q39</f>
        <v>1400</v>
      </c>
      <c r="Y39" s="25"/>
      <c r="Z39" s="25"/>
      <c r="AB39" s="26">
        <f t="shared" si="3"/>
        <v>0</v>
      </c>
    </row>
    <row r="40" spans="1:28" ht="13.5" customHeight="1" x14ac:dyDescent="0.2">
      <c r="A40" s="24">
        <v>44607</v>
      </c>
      <c r="B40" s="24" t="s">
        <v>75</v>
      </c>
      <c r="C40" s="20" t="s">
        <v>79</v>
      </c>
      <c r="D40" s="26"/>
      <c r="E40" s="26"/>
      <c r="F40" s="26"/>
      <c r="G40" s="25"/>
      <c r="H40" s="25"/>
      <c r="I40" s="25">
        <v>4400</v>
      </c>
      <c r="J40" s="25">
        <f>-I40</f>
        <v>-4400</v>
      </c>
      <c r="K40" s="25"/>
      <c r="L40" s="25"/>
      <c r="M40" s="25"/>
      <c r="N40" s="25"/>
      <c r="O40" s="25"/>
      <c r="P40" s="37"/>
      <c r="Q40" s="25">
        <f>4400-25586</f>
        <v>-21186</v>
      </c>
      <c r="R40" s="25"/>
      <c r="S40" s="25"/>
      <c r="T40" s="25"/>
      <c r="U40" s="25"/>
      <c r="V40" s="25">
        <f>-Q40</f>
        <v>21186</v>
      </c>
      <c r="W40" s="25"/>
      <c r="X40" s="25"/>
      <c r="Y40" s="25"/>
      <c r="Z40" s="25"/>
      <c r="AB40" s="26">
        <f t="shared" si="3"/>
        <v>0</v>
      </c>
    </row>
    <row r="41" spans="1:28" ht="13.5" customHeight="1" x14ac:dyDescent="0.2">
      <c r="A41" s="24">
        <v>44593</v>
      </c>
      <c r="B41" s="24" t="s">
        <v>76</v>
      </c>
      <c r="C41" s="20" t="s">
        <v>67</v>
      </c>
      <c r="D41" s="26"/>
      <c r="E41" s="26"/>
      <c r="F41" s="26"/>
      <c r="G41" s="25"/>
      <c r="H41" s="25"/>
      <c r="I41" s="25"/>
      <c r="J41" s="25"/>
      <c r="K41" s="25"/>
      <c r="L41" s="25"/>
      <c r="M41" s="25"/>
      <c r="N41" s="25"/>
      <c r="O41" s="25"/>
      <c r="P41" s="37"/>
      <c r="Q41" s="25">
        <v>-1307</v>
      </c>
      <c r="R41" s="25"/>
      <c r="S41" s="25"/>
      <c r="T41" s="25"/>
      <c r="U41" s="25"/>
      <c r="V41" s="25"/>
      <c r="W41" s="25">
        <f>-Q41</f>
        <v>1307</v>
      </c>
      <c r="X41" s="25"/>
      <c r="Y41" s="25"/>
      <c r="Z41" s="25"/>
      <c r="AB41" s="26">
        <f t="shared" si="3"/>
        <v>0</v>
      </c>
    </row>
    <row r="42" spans="1:28" ht="13.5" customHeight="1" x14ac:dyDescent="0.2">
      <c r="A42" s="24">
        <v>44595</v>
      </c>
      <c r="B42" s="24"/>
      <c r="C42" s="16" t="s">
        <v>42</v>
      </c>
      <c r="D42" s="26">
        <v>-10</v>
      </c>
      <c r="E42" s="26"/>
      <c r="F42" s="26"/>
      <c r="G42" s="25"/>
      <c r="H42" s="25"/>
      <c r="I42" s="25"/>
      <c r="J42" s="25"/>
      <c r="K42" s="25"/>
      <c r="L42" s="25"/>
      <c r="M42" s="25"/>
      <c r="N42" s="25"/>
      <c r="O42" s="25"/>
      <c r="P42" s="37"/>
      <c r="Q42" s="25"/>
      <c r="R42" s="25"/>
      <c r="S42" s="25">
        <f>-D42</f>
        <v>10</v>
      </c>
      <c r="T42" s="25"/>
      <c r="U42" s="25"/>
      <c r="V42" s="25"/>
      <c r="W42" s="25"/>
      <c r="X42" s="25"/>
      <c r="Y42" s="25"/>
      <c r="Z42" s="25"/>
      <c r="AB42" s="26">
        <f t="shared" si="3"/>
        <v>0</v>
      </c>
    </row>
    <row r="43" spans="1:28" ht="13.5" customHeight="1" x14ac:dyDescent="0.2">
      <c r="A43" s="24">
        <v>44623</v>
      </c>
      <c r="B43" s="24"/>
      <c r="C43" s="16" t="s">
        <v>42</v>
      </c>
      <c r="D43" s="26">
        <v>-10</v>
      </c>
      <c r="E43" s="26"/>
      <c r="F43" s="26"/>
      <c r="G43" s="25"/>
      <c r="H43" s="25"/>
      <c r="I43" s="25"/>
      <c r="J43" s="25"/>
      <c r="K43" s="25"/>
      <c r="L43" s="25"/>
      <c r="M43" s="25"/>
      <c r="N43" s="25"/>
      <c r="O43" s="25"/>
      <c r="P43" s="37"/>
      <c r="Q43" s="25"/>
      <c r="R43" s="25"/>
      <c r="S43" s="25">
        <f>-D43</f>
        <v>10</v>
      </c>
      <c r="T43" s="25"/>
      <c r="U43" s="25"/>
      <c r="V43" s="25"/>
      <c r="W43" s="25"/>
      <c r="X43" s="25"/>
      <c r="Y43" s="25"/>
      <c r="Z43" s="25"/>
      <c r="AB43" s="26">
        <f t="shared" si="3"/>
        <v>0</v>
      </c>
    </row>
    <row r="44" spans="1:28" ht="13.5" customHeight="1" x14ac:dyDescent="0.2">
      <c r="A44" s="24">
        <v>44630</v>
      </c>
      <c r="B44" s="24"/>
      <c r="C44" s="20" t="s">
        <v>52</v>
      </c>
      <c r="D44" s="26">
        <v>89.28</v>
      </c>
      <c r="E44" s="26"/>
      <c r="F44" s="26"/>
      <c r="G44" s="25"/>
      <c r="H44" s="25"/>
      <c r="I44" s="25"/>
      <c r="J44" s="25"/>
      <c r="K44" s="25"/>
      <c r="L44" s="25"/>
      <c r="M44" s="25"/>
      <c r="N44" s="25"/>
      <c r="O44" s="25"/>
      <c r="P44" s="37"/>
      <c r="Q44" s="25"/>
      <c r="R44" s="25">
        <f>-D44</f>
        <v>-89.28</v>
      </c>
      <c r="S44" s="25"/>
      <c r="T44" s="25"/>
      <c r="U44" s="25"/>
      <c r="V44" s="25"/>
      <c r="W44" s="25"/>
      <c r="X44" s="25"/>
      <c r="Y44" s="25"/>
      <c r="Z44" s="25"/>
      <c r="AB44" s="26">
        <f t="shared" si="3"/>
        <v>0</v>
      </c>
    </row>
    <row r="45" spans="1:28" ht="13.5" customHeight="1" x14ac:dyDescent="0.2">
      <c r="A45" s="24">
        <v>44649</v>
      </c>
      <c r="B45" s="24"/>
      <c r="C45" s="16" t="s">
        <v>55</v>
      </c>
      <c r="D45" s="26">
        <v>-164</v>
      </c>
      <c r="E45" s="26"/>
      <c r="F45" s="26"/>
      <c r="G45" s="25"/>
      <c r="H45" s="25"/>
      <c r="I45" s="25"/>
      <c r="J45" s="25"/>
      <c r="K45" s="25"/>
      <c r="L45" s="25"/>
      <c r="M45" s="25"/>
      <c r="N45" s="25"/>
      <c r="O45" s="25"/>
      <c r="P45" s="37"/>
      <c r="Q45" s="25"/>
      <c r="R45" s="25"/>
      <c r="S45" s="25">
        <f>-D45</f>
        <v>164</v>
      </c>
      <c r="T45" s="25"/>
      <c r="U45" s="25"/>
      <c r="V45" s="25"/>
      <c r="W45" s="25"/>
      <c r="X45" s="25"/>
      <c r="Y45" s="25"/>
      <c r="Z45" s="25"/>
      <c r="AB45" s="26">
        <f t="shared" si="3"/>
        <v>0</v>
      </c>
    </row>
    <row r="46" spans="1:28" ht="13.5" customHeight="1" x14ac:dyDescent="0.2">
      <c r="A46" s="24">
        <v>44650</v>
      </c>
      <c r="B46" s="24"/>
      <c r="C46" s="20" t="s">
        <v>52</v>
      </c>
      <c r="D46" s="26">
        <v>32.119999999999997</v>
      </c>
      <c r="E46" s="26"/>
      <c r="F46" s="26"/>
      <c r="G46" s="25"/>
      <c r="H46" s="25"/>
      <c r="I46" s="25"/>
      <c r="J46" s="25"/>
      <c r="K46" s="25"/>
      <c r="L46" s="25"/>
      <c r="M46" s="25"/>
      <c r="N46" s="25"/>
      <c r="O46" s="25"/>
      <c r="P46" s="37"/>
      <c r="Q46" s="25"/>
      <c r="R46" s="25">
        <f>-D46</f>
        <v>-32.119999999999997</v>
      </c>
      <c r="S46" s="25"/>
      <c r="T46" s="25"/>
      <c r="U46" s="25"/>
      <c r="V46" s="25"/>
      <c r="W46" s="25"/>
      <c r="X46" s="25"/>
      <c r="Y46" s="25"/>
      <c r="Z46" s="25"/>
      <c r="AB46" s="26">
        <f t="shared" si="3"/>
        <v>0</v>
      </c>
    </row>
    <row r="47" spans="1:28" ht="13.5" customHeight="1" x14ac:dyDescent="0.2">
      <c r="A47" s="24">
        <v>44651</v>
      </c>
      <c r="B47" s="24"/>
      <c r="C47" s="20" t="s">
        <v>108</v>
      </c>
      <c r="D47" s="26"/>
      <c r="E47" s="26">
        <v>855000</v>
      </c>
      <c r="F47" s="26">
        <v>1145699.5</v>
      </c>
      <c r="G47" s="25"/>
      <c r="H47" s="25"/>
      <c r="I47" s="25"/>
      <c r="J47" s="25"/>
      <c r="K47" s="25"/>
      <c r="L47" s="25"/>
      <c r="M47" s="25">
        <f>-F47</f>
        <v>-1145699.5</v>
      </c>
      <c r="N47" s="25"/>
      <c r="O47" s="25"/>
      <c r="P47" s="37"/>
      <c r="Q47" s="25"/>
      <c r="R47" s="25"/>
      <c r="S47" s="25"/>
      <c r="T47" s="25"/>
      <c r="U47" s="25"/>
      <c r="V47" s="25"/>
      <c r="W47" s="25"/>
      <c r="X47" s="25"/>
      <c r="Y47" s="25"/>
      <c r="Z47" s="25"/>
      <c r="AB47" s="26"/>
    </row>
    <row r="48" spans="1:28" ht="13.5" customHeight="1" x14ac:dyDescent="0.2">
      <c r="A48" s="24">
        <v>44655</v>
      </c>
      <c r="B48" s="24"/>
      <c r="C48" s="16" t="s">
        <v>42</v>
      </c>
      <c r="D48" s="26">
        <v>-10</v>
      </c>
      <c r="E48" s="26"/>
      <c r="F48" s="26"/>
      <c r="G48" s="25"/>
      <c r="H48" s="25"/>
      <c r="I48" s="25"/>
      <c r="J48" s="25"/>
      <c r="K48" s="25"/>
      <c r="L48" s="25"/>
      <c r="M48" s="25"/>
      <c r="N48" s="25"/>
      <c r="O48" s="25"/>
      <c r="P48" s="37"/>
      <c r="Q48" s="25"/>
      <c r="R48" s="25"/>
      <c r="S48" s="25">
        <f>-D48</f>
        <v>10</v>
      </c>
      <c r="T48" s="25"/>
      <c r="U48" s="25"/>
      <c r="V48" s="25"/>
      <c r="W48" s="25"/>
      <c r="X48" s="25"/>
      <c r="Y48" s="25"/>
      <c r="Z48" s="25"/>
      <c r="AB48" s="26">
        <f t="shared" si="3"/>
        <v>0</v>
      </c>
    </row>
    <row r="49" spans="1:28" ht="13.5" customHeight="1" x14ac:dyDescent="0.2">
      <c r="A49" s="24">
        <v>44671</v>
      </c>
      <c r="B49" s="24"/>
      <c r="C49" s="20" t="s">
        <v>52</v>
      </c>
      <c r="D49" s="26">
        <v>34.299999999999997</v>
      </c>
      <c r="E49" s="26"/>
      <c r="F49" s="26"/>
      <c r="G49" s="25"/>
      <c r="H49" s="25"/>
      <c r="I49" s="25"/>
      <c r="J49" s="25"/>
      <c r="K49" s="25"/>
      <c r="L49" s="25"/>
      <c r="M49" s="25"/>
      <c r="N49" s="25"/>
      <c r="O49" s="25"/>
      <c r="P49" s="37"/>
      <c r="Q49" s="25"/>
      <c r="R49" s="25">
        <f>-D49</f>
        <v>-34.299999999999997</v>
      </c>
      <c r="S49" s="25"/>
      <c r="T49" s="25"/>
      <c r="U49" s="25"/>
      <c r="V49" s="25"/>
      <c r="W49" s="25"/>
      <c r="X49" s="25"/>
      <c r="Y49" s="25"/>
      <c r="Z49" s="25"/>
      <c r="AB49" s="26">
        <f t="shared" si="3"/>
        <v>0</v>
      </c>
    </row>
    <row r="50" spans="1:28" ht="13.5" customHeight="1" x14ac:dyDescent="0.2">
      <c r="A50" s="24">
        <v>44666</v>
      </c>
      <c r="B50" s="24" t="s">
        <v>80</v>
      </c>
      <c r="C50" s="20" t="s">
        <v>68</v>
      </c>
      <c r="D50" s="26"/>
      <c r="E50" s="26"/>
      <c r="F50" s="26"/>
      <c r="G50" s="25"/>
      <c r="H50" s="25"/>
      <c r="I50" s="25"/>
      <c r="J50" s="25"/>
      <c r="K50" s="25"/>
      <c r="L50" s="25"/>
      <c r="M50" s="25"/>
      <c r="N50" s="25"/>
      <c r="O50" s="25"/>
      <c r="P50" s="37"/>
      <c r="Q50" s="25">
        <v>-2354</v>
      </c>
      <c r="R50" s="25"/>
      <c r="S50" s="25"/>
      <c r="T50" s="25"/>
      <c r="U50" s="25"/>
      <c r="V50" s="25">
        <f>-Q50</f>
        <v>2354</v>
      </c>
      <c r="W50" s="25"/>
      <c r="X50" s="25"/>
      <c r="Y50" s="25"/>
      <c r="Z50" s="25"/>
      <c r="AB50" s="26">
        <f t="shared" si="3"/>
        <v>0</v>
      </c>
    </row>
    <row r="51" spans="1:28" ht="13.5" customHeight="1" x14ac:dyDescent="0.2">
      <c r="A51" s="24">
        <v>44685</v>
      </c>
      <c r="B51" s="24"/>
      <c r="C51" s="16" t="s">
        <v>42</v>
      </c>
      <c r="D51" s="26">
        <v>-10</v>
      </c>
      <c r="E51" s="26"/>
      <c r="F51" s="26"/>
      <c r="G51" s="25"/>
      <c r="H51" s="25"/>
      <c r="I51" s="25"/>
      <c r="J51" s="25"/>
      <c r="K51" s="25"/>
      <c r="L51" s="25"/>
      <c r="M51" s="25"/>
      <c r="N51" s="25"/>
      <c r="O51" s="25"/>
      <c r="P51" s="37"/>
      <c r="Q51" s="25"/>
      <c r="R51" s="25"/>
      <c r="S51" s="25">
        <f>-D51</f>
        <v>10</v>
      </c>
      <c r="T51" s="25"/>
      <c r="U51" s="25"/>
      <c r="V51" s="25"/>
      <c r="W51" s="25"/>
      <c r="X51" s="25"/>
      <c r="Y51" s="25"/>
      <c r="Z51" s="25"/>
      <c r="AB51" s="26">
        <f t="shared" si="3"/>
        <v>0</v>
      </c>
    </row>
    <row r="52" spans="1:28" ht="13.5" customHeight="1" x14ac:dyDescent="0.2">
      <c r="A52" s="24">
        <v>44694</v>
      </c>
      <c r="B52" s="24"/>
      <c r="C52" s="16" t="s">
        <v>70</v>
      </c>
      <c r="D52" s="26">
        <v>-2354</v>
      </c>
      <c r="E52" s="26"/>
      <c r="F52" s="26"/>
      <c r="G52" s="25"/>
      <c r="H52" s="25"/>
      <c r="I52" s="25"/>
      <c r="J52" s="25"/>
      <c r="K52" s="25"/>
      <c r="L52" s="25"/>
      <c r="M52" s="25"/>
      <c r="N52" s="25"/>
      <c r="O52" s="25"/>
      <c r="P52" s="37"/>
      <c r="Q52" s="25"/>
      <c r="R52" s="25"/>
      <c r="S52" s="25"/>
      <c r="T52" s="25"/>
      <c r="U52" s="25"/>
      <c r="V52" s="25">
        <f>-D52</f>
        <v>2354</v>
      </c>
      <c r="W52" s="25"/>
      <c r="X52" s="25"/>
      <c r="Y52" s="25"/>
      <c r="Z52" s="25"/>
      <c r="AB52" s="26">
        <f t="shared" si="3"/>
        <v>0</v>
      </c>
    </row>
    <row r="53" spans="1:28" ht="13.5" customHeight="1" x14ac:dyDescent="0.2">
      <c r="A53" s="24">
        <v>44694</v>
      </c>
      <c r="B53" s="24" t="s">
        <v>81</v>
      </c>
      <c r="C53" s="20" t="s">
        <v>69</v>
      </c>
      <c r="D53" s="26">
        <v>2800</v>
      </c>
      <c r="E53" s="26"/>
      <c r="F53" s="26"/>
      <c r="G53" s="25"/>
      <c r="H53" s="25"/>
      <c r="I53" s="25"/>
      <c r="J53" s="25"/>
      <c r="K53" s="25"/>
      <c r="L53" s="25"/>
      <c r="M53" s="25"/>
      <c r="N53" s="25"/>
      <c r="O53" s="25"/>
      <c r="P53" s="37"/>
      <c r="Q53" s="25">
        <f>-D53</f>
        <v>-2800</v>
      </c>
      <c r="R53" s="25"/>
      <c r="S53" s="25"/>
      <c r="T53" s="25"/>
      <c r="U53" s="25"/>
      <c r="V53" s="25"/>
      <c r="W53" s="25"/>
      <c r="X53" s="25"/>
      <c r="Y53" s="25"/>
      <c r="Z53" s="25"/>
      <c r="AB53" s="26">
        <f t="shared" si="3"/>
        <v>0</v>
      </c>
    </row>
    <row r="54" spans="1:28" ht="13.5" customHeight="1" x14ac:dyDescent="0.2">
      <c r="A54" s="24">
        <v>44701</v>
      </c>
      <c r="B54" s="24"/>
      <c r="C54" s="20" t="s">
        <v>52</v>
      </c>
      <c r="D54" s="26">
        <v>66.37</v>
      </c>
      <c r="E54" s="26"/>
      <c r="F54" s="26"/>
      <c r="G54" s="25"/>
      <c r="H54" s="25"/>
      <c r="I54" s="25"/>
      <c r="J54" s="25"/>
      <c r="K54" s="25"/>
      <c r="L54" s="25"/>
      <c r="M54" s="25"/>
      <c r="N54" s="25"/>
      <c r="O54" s="25"/>
      <c r="P54" s="37"/>
      <c r="Q54" s="25"/>
      <c r="R54" s="25">
        <f>-D54</f>
        <v>-66.37</v>
      </c>
      <c r="S54" s="25"/>
      <c r="T54" s="25"/>
      <c r="U54" s="25"/>
      <c r="V54" s="25"/>
      <c r="W54" s="25"/>
      <c r="X54" s="25"/>
      <c r="Y54" s="25"/>
      <c r="Z54" s="25"/>
      <c r="AB54" s="26">
        <f t="shared" si="3"/>
        <v>0</v>
      </c>
    </row>
    <row r="55" spans="1:28" ht="13.5" customHeight="1" x14ac:dyDescent="0.2">
      <c r="A55" s="24">
        <v>44712</v>
      </c>
      <c r="B55" s="24"/>
      <c r="C55" s="20" t="s">
        <v>107</v>
      </c>
      <c r="D55" s="26"/>
      <c r="E55" s="26">
        <v>-855000</v>
      </c>
      <c r="F55" s="26">
        <f>-F47</f>
        <v>-1145699.5</v>
      </c>
      <c r="G55" s="25"/>
      <c r="H55" s="25">
        <f>-F55</f>
        <v>1145699.5</v>
      </c>
      <c r="I55" s="25"/>
      <c r="J55" s="25"/>
      <c r="K55" s="25"/>
      <c r="L55" s="25"/>
      <c r="M55" s="25"/>
      <c r="N55" s="25"/>
      <c r="O55" s="25"/>
      <c r="P55" s="37"/>
      <c r="Q55" s="25"/>
      <c r="R55" s="25"/>
      <c r="S55" s="25"/>
      <c r="T55" s="25"/>
      <c r="U55" s="25"/>
      <c r="V55" s="25"/>
      <c r="W55" s="25"/>
      <c r="X55" s="25"/>
      <c r="Y55" s="25"/>
      <c r="Z55" s="25"/>
      <c r="AB55" s="26"/>
    </row>
    <row r="56" spans="1:28" ht="13.5" customHeight="1" x14ac:dyDescent="0.2">
      <c r="A56" s="24">
        <v>44712</v>
      </c>
      <c r="B56" s="24" t="s">
        <v>82</v>
      </c>
      <c r="C56" s="16" t="s">
        <v>84</v>
      </c>
      <c r="D56" s="26"/>
      <c r="E56" s="26"/>
      <c r="F56" s="26"/>
      <c r="G56" s="25"/>
      <c r="H56" s="25"/>
      <c r="I56" s="25">
        <f>-Y56</f>
        <v>-566.53</v>
      </c>
      <c r="J56" s="25"/>
      <c r="K56" s="25"/>
      <c r="L56" s="25"/>
      <c r="M56" s="25"/>
      <c r="N56" s="25"/>
      <c r="O56" s="25"/>
      <c r="P56" s="37"/>
      <c r="Q56" s="25"/>
      <c r="R56" s="25"/>
      <c r="S56" s="25"/>
      <c r="T56" s="25"/>
      <c r="U56" s="25"/>
      <c r="V56" s="25"/>
      <c r="W56" s="25"/>
      <c r="X56" s="25"/>
      <c r="Y56" s="25">
        <f>Y75</f>
        <v>566.53</v>
      </c>
      <c r="Z56" s="25"/>
      <c r="AB56" s="26">
        <f t="shared" ref="AB56:AB59" si="4">SUM(F56:AA56)</f>
        <v>0</v>
      </c>
    </row>
    <row r="57" spans="1:28" ht="13.5" customHeight="1" x14ac:dyDescent="0.2">
      <c r="A57" s="24">
        <v>44712</v>
      </c>
      <c r="B57" s="24" t="s">
        <v>88</v>
      </c>
      <c r="C57" s="16" t="s">
        <v>87</v>
      </c>
      <c r="D57" s="26"/>
      <c r="E57" s="26"/>
      <c r="F57" s="26"/>
      <c r="G57" s="25"/>
      <c r="H57" s="25"/>
      <c r="I57" s="25"/>
      <c r="J57" s="25"/>
      <c r="K57" s="25">
        <v>-216</v>
      </c>
      <c r="L57" s="25"/>
      <c r="M57" s="25"/>
      <c r="N57" s="25"/>
      <c r="O57" s="25"/>
      <c r="P57" s="37"/>
      <c r="Q57" s="25"/>
      <c r="R57" s="25"/>
      <c r="S57" s="25"/>
      <c r="T57" s="25"/>
      <c r="U57" s="25"/>
      <c r="V57" s="25"/>
      <c r="W57" s="25">
        <v>216</v>
      </c>
      <c r="X57" s="25"/>
      <c r="Y57" s="25"/>
      <c r="Z57" s="25"/>
      <c r="AB57" s="26">
        <f t="shared" si="4"/>
        <v>0</v>
      </c>
    </row>
    <row r="58" spans="1:28" ht="13.5" customHeight="1" x14ac:dyDescent="0.2">
      <c r="A58" s="24"/>
      <c r="B58" s="24"/>
      <c r="D58" s="26"/>
      <c r="E58" s="26"/>
      <c r="F58" s="26"/>
      <c r="G58" s="25"/>
      <c r="H58" s="25"/>
      <c r="I58" s="25"/>
      <c r="J58" s="25"/>
      <c r="K58" s="25"/>
      <c r="L58" s="25"/>
      <c r="M58" s="25"/>
      <c r="N58" s="25"/>
      <c r="O58" s="25"/>
      <c r="P58" s="37"/>
      <c r="Q58" s="25"/>
      <c r="R58" s="25"/>
      <c r="S58" s="25"/>
      <c r="T58" s="25"/>
      <c r="U58" s="25"/>
      <c r="V58" s="25"/>
      <c r="W58" s="25"/>
      <c r="X58" s="25"/>
      <c r="Y58" s="25"/>
      <c r="Z58" s="25"/>
      <c r="AB58" s="26">
        <f t="shared" si="4"/>
        <v>0</v>
      </c>
    </row>
    <row r="59" spans="1:28" ht="13.5" customHeight="1" x14ac:dyDescent="0.2">
      <c r="A59" s="24"/>
      <c r="B59" s="24"/>
      <c r="D59" s="26"/>
      <c r="E59" s="26"/>
      <c r="F59" s="26"/>
      <c r="G59" s="25"/>
      <c r="H59" s="25"/>
      <c r="I59" s="25"/>
      <c r="J59" s="25"/>
      <c r="K59" s="25"/>
      <c r="L59" s="25"/>
      <c r="M59" s="25"/>
      <c r="N59" s="25"/>
      <c r="O59" s="25"/>
      <c r="P59" s="37"/>
      <c r="Q59" s="25"/>
      <c r="R59" s="25"/>
      <c r="S59" s="25"/>
      <c r="T59" s="25"/>
      <c r="U59" s="25"/>
      <c r="V59" s="25"/>
      <c r="W59" s="25"/>
      <c r="X59" s="25"/>
      <c r="Y59" s="25"/>
      <c r="Z59" s="25"/>
      <c r="AB59" s="26">
        <f t="shared" si="4"/>
        <v>0</v>
      </c>
    </row>
    <row r="60" spans="1:28" ht="15.75" customHeight="1" thickBot="1" x14ac:dyDescent="0.25">
      <c r="D60" s="27">
        <f>SUM(D9:D59)</f>
        <v>9559.6000000000095</v>
      </c>
      <c r="E60" s="27">
        <f>SUM(E9:E59)</f>
        <v>298.50066058128141</v>
      </c>
      <c r="F60" s="27">
        <f>SUM(F9:F59)</f>
        <v>408.52697599981911</v>
      </c>
      <c r="G60" s="28">
        <f>SUM(G9:G59)</f>
        <v>-10000</v>
      </c>
      <c r="H60" s="28">
        <f>SUM(H9:H59)</f>
        <v>2312380</v>
      </c>
      <c r="I60" s="27">
        <f>SUM(I9:I59)</f>
        <v>5483.47</v>
      </c>
      <c r="J60" s="27">
        <f>SUM(J9:J59)</f>
        <v>-6050</v>
      </c>
      <c r="K60" s="27">
        <f>SUM(K9:K59)</f>
        <v>-216</v>
      </c>
      <c r="L60" s="27">
        <f>SUM(L9:L59)</f>
        <v>0</v>
      </c>
      <c r="M60" s="27">
        <f>SUM(M9:M59)</f>
        <v>-2312380</v>
      </c>
      <c r="N60" s="27">
        <f>SUM(N9:N59)</f>
        <v>0</v>
      </c>
      <c r="O60" s="27">
        <f>SUM(O9:O59)</f>
        <v>0</v>
      </c>
      <c r="P60" s="38"/>
      <c r="Q60" s="27">
        <f>SUM(Q9:Q59)</f>
        <v>-30420.29</v>
      </c>
      <c r="R60" s="27">
        <f>SUM(R9:R59)</f>
        <v>-564.79999999999995</v>
      </c>
      <c r="S60" s="27">
        <f>SUM(S9:S59)</f>
        <v>343.18012399999998</v>
      </c>
      <c r="T60" s="27">
        <f>SUM(T9:T59)</f>
        <v>915</v>
      </c>
      <c r="U60" s="27">
        <f>SUM(U9:U59)</f>
        <v>19</v>
      </c>
      <c r="V60" s="27">
        <f>SUM(V9:V59)</f>
        <v>25894</v>
      </c>
      <c r="W60" s="27">
        <f>SUM(W9:W59)</f>
        <v>1523</v>
      </c>
      <c r="X60" s="27">
        <f>SUM(X9:X59)</f>
        <v>1400</v>
      </c>
      <c r="Y60" s="27">
        <f>SUM(Y9:Y59)</f>
        <v>1939.82</v>
      </c>
      <c r="Z60" s="28">
        <f>SUM(Z9:Z59)</f>
        <v>-234.50710000000001</v>
      </c>
      <c r="AA60" s="28">
        <f>SUM(AA9:AA59)</f>
        <v>0</v>
      </c>
      <c r="AB60" s="26">
        <f>SUM(F60:AA60)+D60</f>
        <v>-2.0554580260068178E-10</v>
      </c>
    </row>
    <row r="61" spans="1:28" ht="15.75" customHeight="1" thickTop="1" x14ac:dyDescent="0.2">
      <c r="F61" s="29"/>
      <c r="G61" s="30"/>
      <c r="H61" s="30"/>
      <c r="I61" s="29"/>
      <c r="J61" s="29"/>
      <c r="K61" s="29"/>
      <c r="L61" s="29"/>
      <c r="M61" s="29"/>
      <c r="N61" s="29"/>
      <c r="O61" s="29"/>
      <c r="P61" s="39"/>
      <c r="Q61" s="29"/>
      <c r="R61" s="29"/>
      <c r="S61" s="29"/>
      <c r="T61" s="29"/>
      <c r="U61" s="29"/>
      <c r="V61" s="29"/>
      <c r="W61" s="29"/>
      <c r="X61" s="29"/>
      <c r="Y61" s="29"/>
      <c r="Z61" s="30"/>
      <c r="AA61" s="30"/>
      <c r="AB61" s="31"/>
    </row>
    <row r="62" spans="1:28" ht="13.5" customHeight="1" x14ac:dyDescent="0.2">
      <c r="F62" s="25"/>
      <c r="G62" s="26"/>
      <c r="H62" s="26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>
        <v>31.77</v>
      </c>
      <c r="Z62" s="26"/>
      <c r="AA62" s="26"/>
      <c r="AB62" s="26">
        <f>SUM(Q60:Z60)+SUM(G60:M60)</f>
        <v>-9968.1269759997958</v>
      </c>
    </row>
    <row r="63" spans="1:28" ht="13.5" customHeight="1" x14ac:dyDescent="0.2">
      <c r="F63" s="25"/>
      <c r="G63" s="26"/>
      <c r="H63" s="26"/>
      <c r="I63" s="25"/>
      <c r="J63" s="25"/>
      <c r="K63" s="25"/>
      <c r="L63" s="25"/>
      <c r="M63" s="42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>
        <v>183.96</v>
      </c>
      <c r="Z63" s="26"/>
      <c r="AA63" s="26"/>
    </row>
    <row r="64" spans="1:28" ht="13.5" customHeight="1" x14ac:dyDescent="0.2">
      <c r="F64" s="25"/>
      <c r="G64" s="26"/>
      <c r="H64" s="26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>
        <v>256.95999999999998</v>
      </c>
      <c r="Z64" s="26"/>
      <c r="AA64" s="26"/>
    </row>
    <row r="65" spans="3:16156" ht="13.5" customHeight="1" x14ac:dyDescent="0.2">
      <c r="F65" s="25"/>
      <c r="G65" s="26"/>
      <c r="H65" s="26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>
        <v>273.29000000000002</v>
      </c>
      <c r="Z65" s="26"/>
      <c r="AA65" s="26"/>
    </row>
    <row r="66" spans="3:16156" ht="13.5" customHeight="1" x14ac:dyDescent="0.2">
      <c r="F66" s="25"/>
      <c r="G66" s="26"/>
      <c r="H66" s="26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>
        <v>224.41</v>
      </c>
      <c r="Z66" s="26"/>
      <c r="AA66" s="26"/>
    </row>
    <row r="67" spans="3:16156" ht="13.5" customHeight="1" x14ac:dyDescent="0.2">
      <c r="F67" s="25"/>
      <c r="G67" s="26"/>
      <c r="H67" s="26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>
        <v>215.16</v>
      </c>
      <c r="Z67" s="26"/>
      <c r="AA67" s="26"/>
    </row>
    <row r="68" spans="3:16156" ht="13.5" customHeight="1" x14ac:dyDescent="0.2">
      <c r="F68" s="25"/>
      <c r="G68" s="26"/>
      <c r="H68" s="26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52">
        <v>187.74</v>
      </c>
      <c r="Z68" s="26"/>
      <c r="AA68" s="26"/>
    </row>
    <row r="69" spans="3:16156" ht="13.5" customHeight="1" x14ac:dyDescent="0.2">
      <c r="Y69" s="31">
        <f>SUM(Y62:Y68)</f>
        <v>1373.29</v>
      </c>
    </row>
    <row r="70" spans="3:16156" ht="13.5" customHeight="1" x14ac:dyDescent="0.2">
      <c r="Z70" s="25">
        <v>-1310</v>
      </c>
    </row>
    <row r="71" spans="3:16156" s="20" customFormat="1" ht="13.5" customHeight="1" x14ac:dyDescent="0.2"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Y71" s="33">
        <f>169.94+0.27+11.96+0.5</f>
        <v>182.67000000000002</v>
      </c>
      <c r="Z71" s="25">
        <f>Z70+Y71</f>
        <v>-1127.33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  <c r="IY71" s="16"/>
      <c r="IZ71" s="16"/>
      <c r="JA71" s="16"/>
      <c r="JB71" s="16"/>
      <c r="JC71" s="16"/>
      <c r="JD71" s="16"/>
      <c r="JE71" s="16"/>
      <c r="JF71" s="16"/>
      <c r="JG71" s="16"/>
      <c r="JH71" s="16"/>
      <c r="JI71" s="16"/>
      <c r="JJ71" s="16"/>
      <c r="JK71" s="16"/>
      <c r="JL71" s="16"/>
      <c r="JM71" s="16"/>
      <c r="JN71" s="16"/>
      <c r="JO71" s="16"/>
      <c r="JP71" s="16"/>
      <c r="JQ71" s="16"/>
      <c r="JR71" s="16"/>
      <c r="JS71" s="16"/>
      <c r="JT71" s="16"/>
      <c r="JU71" s="16"/>
      <c r="JV71" s="16"/>
      <c r="JW71" s="16"/>
      <c r="JX71" s="16"/>
      <c r="JY71" s="16"/>
      <c r="JZ71" s="16"/>
      <c r="KA71" s="16"/>
      <c r="KB71" s="16"/>
      <c r="KC71" s="16"/>
      <c r="KD71" s="16"/>
      <c r="KE71" s="16"/>
      <c r="KF71" s="16"/>
      <c r="KG71" s="16"/>
      <c r="KH71" s="16"/>
      <c r="KI71" s="16"/>
      <c r="KJ71" s="16"/>
      <c r="KK71" s="16"/>
      <c r="KL71" s="16"/>
      <c r="KM71" s="16"/>
      <c r="KN71" s="16"/>
      <c r="KO71" s="16"/>
      <c r="KP71" s="16"/>
      <c r="KQ71" s="16"/>
      <c r="KR71" s="16"/>
      <c r="KS71" s="16"/>
      <c r="KT71" s="16"/>
      <c r="KU71" s="16"/>
      <c r="KV71" s="16"/>
      <c r="KW71" s="16"/>
      <c r="KX71" s="16"/>
      <c r="KY71" s="16"/>
      <c r="KZ71" s="16"/>
      <c r="LA71" s="16"/>
      <c r="LB71" s="16"/>
      <c r="LC71" s="16"/>
      <c r="LD71" s="16"/>
      <c r="LE71" s="16"/>
      <c r="LF71" s="16"/>
      <c r="LG71" s="16"/>
      <c r="LH71" s="16"/>
      <c r="LI71" s="16"/>
      <c r="LJ71" s="16"/>
      <c r="LK71" s="16"/>
      <c r="LL71" s="16"/>
      <c r="LM71" s="16"/>
      <c r="LN71" s="16"/>
      <c r="LO71" s="16"/>
      <c r="LP71" s="16"/>
      <c r="LQ71" s="16"/>
      <c r="LR71" s="16"/>
      <c r="LS71" s="16"/>
      <c r="LT71" s="16"/>
      <c r="LU71" s="16"/>
      <c r="LV71" s="16"/>
      <c r="LW71" s="16"/>
      <c r="LX71" s="16"/>
      <c r="LY71" s="16"/>
      <c r="LZ71" s="16"/>
      <c r="MA71" s="16"/>
      <c r="MB71" s="16"/>
      <c r="MC71" s="16"/>
      <c r="MD71" s="16"/>
      <c r="ME71" s="16"/>
      <c r="MF71" s="16"/>
      <c r="MG71" s="16"/>
      <c r="MH71" s="16"/>
      <c r="MI71" s="16"/>
      <c r="MJ71" s="16"/>
      <c r="MK71" s="16"/>
      <c r="ML71" s="16"/>
      <c r="MM71" s="16"/>
      <c r="MN71" s="16"/>
      <c r="MO71" s="16"/>
      <c r="MP71" s="16"/>
      <c r="MQ71" s="16"/>
      <c r="MR71" s="16"/>
      <c r="MS71" s="16"/>
      <c r="MT71" s="16"/>
      <c r="MU71" s="16"/>
      <c r="MV71" s="16"/>
      <c r="MW71" s="16"/>
      <c r="MX71" s="16"/>
      <c r="MY71" s="16"/>
      <c r="MZ71" s="16"/>
      <c r="NA71" s="16"/>
      <c r="NB71" s="16"/>
      <c r="NC71" s="16"/>
      <c r="ND71" s="16"/>
      <c r="NE71" s="16"/>
      <c r="NF71" s="16"/>
      <c r="NG71" s="16"/>
      <c r="NH71" s="16"/>
      <c r="NI71" s="16"/>
      <c r="NJ71" s="16"/>
      <c r="NK71" s="16"/>
      <c r="NL71" s="16"/>
      <c r="NM71" s="16"/>
      <c r="NN71" s="16"/>
      <c r="NO71" s="16"/>
      <c r="NP71" s="16"/>
      <c r="NQ71" s="16"/>
      <c r="NR71" s="16"/>
      <c r="NS71" s="16"/>
      <c r="NT71" s="16"/>
      <c r="NU71" s="16"/>
      <c r="NV71" s="16"/>
      <c r="NW71" s="16"/>
      <c r="NX71" s="16"/>
      <c r="NY71" s="16"/>
      <c r="NZ71" s="16"/>
      <c r="OA71" s="16"/>
      <c r="OB71" s="16"/>
      <c r="OC71" s="16"/>
      <c r="OD71" s="16"/>
      <c r="OE71" s="16"/>
      <c r="OF71" s="16"/>
      <c r="OG71" s="16"/>
      <c r="OH71" s="16"/>
      <c r="OI71" s="16"/>
      <c r="OJ71" s="16"/>
      <c r="OK71" s="16"/>
      <c r="OL71" s="16"/>
      <c r="OM71" s="16"/>
      <c r="ON71" s="16"/>
      <c r="OO71" s="16"/>
      <c r="OP71" s="16"/>
      <c r="OQ71" s="16"/>
      <c r="OR71" s="16"/>
      <c r="OS71" s="16"/>
      <c r="OT71" s="16"/>
      <c r="OU71" s="16"/>
      <c r="OV71" s="16"/>
      <c r="OW71" s="16"/>
      <c r="OX71" s="16"/>
      <c r="OY71" s="16"/>
      <c r="OZ71" s="16"/>
      <c r="PA71" s="16"/>
      <c r="PB71" s="16"/>
      <c r="PC71" s="16"/>
      <c r="PD71" s="16"/>
      <c r="PE71" s="16"/>
      <c r="PF71" s="16"/>
      <c r="PG71" s="16"/>
      <c r="PH71" s="16"/>
      <c r="PI71" s="16"/>
      <c r="PJ71" s="16"/>
      <c r="PK71" s="16"/>
      <c r="PL71" s="16"/>
      <c r="PM71" s="16"/>
      <c r="PN71" s="16"/>
      <c r="PO71" s="16"/>
      <c r="PP71" s="16"/>
      <c r="PQ71" s="16"/>
      <c r="PR71" s="16"/>
      <c r="PS71" s="16"/>
      <c r="PT71" s="16"/>
      <c r="PU71" s="16"/>
      <c r="PV71" s="16"/>
      <c r="PW71" s="16"/>
      <c r="PX71" s="16"/>
      <c r="PY71" s="16"/>
      <c r="PZ71" s="16"/>
      <c r="QA71" s="16"/>
      <c r="QB71" s="16"/>
      <c r="QC71" s="16"/>
      <c r="QD71" s="16"/>
      <c r="QE71" s="16"/>
      <c r="QF71" s="16"/>
      <c r="QG71" s="16"/>
      <c r="QH71" s="16"/>
      <c r="QI71" s="16"/>
      <c r="QJ71" s="16"/>
      <c r="QK71" s="16"/>
      <c r="QL71" s="16"/>
      <c r="QM71" s="16"/>
      <c r="QN71" s="16"/>
      <c r="QO71" s="16"/>
      <c r="QP71" s="16"/>
      <c r="QQ71" s="16"/>
      <c r="QR71" s="16"/>
      <c r="QS71" s="16"/>
      <c r="QT71" s="16"/>
      <c r="QU71" s="16"/>
      <c r="QV71" s="16"/>
      <c r="QW71" s="16"/>
      <c r="QX71" s="16"/>
      <c r="QY71" s="16"/>
      <c r="QZ71" s="16"/>
      <c r="RA71" s="16"/>
      <c r="RB71" s="16"/>
      <c r="RC71" s="16"/>
      <c r="RD71" s="16"/>
      <c r="RE71" s="16"/>
      <c r="RF71" s="16"/>
      <c r="RG71" s="16"/>
      <c r="RH71" s="16"/>
      <c r="RI71" s="16"/>
      <c r="RJ71" s="16"/>
      <c r="RK71" s="16"/>
      <c r="RL71" s="16"/>
      <c r="RM71" s="16"/>
      <c r="RN71" s="16"/>
      <c r="RO71" s="16"/>
      <c r="RP71" s="16"/>
      <c r="RQ71" s="16"/>
      <c r="RR71" s="16"/>
      <c r="RS71" s="16"/>
      <c r="RT71" s="16"/>
      <c r="RU71" s="16"/>
      <c r="RV71" s="16"/>
      <c r="RW71" s="16"/>
      <c r="RX71" s="16"/>
      <c r="RY71" s="16"/>
      <c r="RZ71" s="16"/>
      <c r="SA71" s="16"/>
      <c r="SB71" s="16"/>
      <c r="SC71" s="16"/>
      <c r="SD71" s="16"/>
      <c r="SE71" s="16"/>
      <c r="SF71" s="16"/>
      <c r="SG71" s="16"/>
      <c r="SH71" s="16"/>
      <c r="SI71" s="16"/>
      <c r="SJ71" s="16"/>
      <c r="SK71" s="16"/>
      <c r="SL71" s="16"/>
      <c r="SM71" s="16"/>
      <c r="SN71" s="16"/>
      <c r="SO71" s="16"/>
      <c r="SP71" s="16"/>
      <c r="SQ71" s="16"/>
      <c r="SR71" s="16"/>
      <c r="SS71" s="16"/>
      <c r="ST71" s="16"/>
      <c r="SU71" s="16"/>
      <c r="SV71" s="16"/>
      <c r="SW71" s="16"/>
      <c r="SX71" s="16"/>
      <c r="SY71" s="16"/>
      <c r="SZ71" s="16"/>
      <c r="TA71" s="16"/>
      <c r="TB71" s="16"/>
      <c r="TC71" s="16"/>
      <c r="TD71" s="16"/>
      <c r="TE71" s="16"/>
      <c r="TF71" s="16"/>
      <c r="TG71" s="16"/>
      <c r="TH71" s="16"/>
      <c r="TI71" s="16"/>
      <c r="TJ71" s="16"/>
      <c r="TK71" s="16"/>
      <c r="TL71" s="16"/>
      <c r="TM71" s="16"/>
      <c r="TN71" s="16"/>
      <c r="TO71" s="16"/>
      <c r="TP71" s="16"/>
      <c r="TQ71" s="16"/>
      <c r="TR71" s="16"/>
      <c r="TS71" s="16"/>
      <c r="TT71" s="16"/>
      <c r="TU71" s="16"/>
      <c r="TV71" s="16"/>
      <c r="TW71" s="16"/>
      <c r="TX71" s="16"/>
      <c r="TY71" s="16"/>
      <c r="TZ71" s="16"/>
      <c r="UA71" s="16"/>
      <c r="UB71" s="16"/>
      <c r="UC71" s="16"/>
      <c r="UD71" s="16"/>
      <c r="UE71" s="16"/>
      <c r="UF71" s="16"/>
      <c r="UG71" s="16"/>
      <c r="UH71" s="16"/>
      <c r="UI71" s="16"/>
      <c r="UJ71" s="16"/>
      <c r="UK71" s="16"/>
      <c r="UL71" s="16"/>
      <c r="UM71" s="16"/>
      <c r="UN71" s="16"/>
      <c r="UO71" s="16"/>
      <c r="UP71" s="16"/>
      <c r="UQ71" s="16"/>
      <c r="UR71" s="16"/>
      <c r="US71" s="16"/>
      <c r="UT71" s="16"/>
      <c r="UU71" s="16"/>
      <c r="UV71" s="16"/>
      <c r="UW71" s="16"/>
      <c r="UX71" s="16"/>
      <c r="UY71" s="16"/>
      <c r="UZ71" s="16"/>
      <c r="VA71" s="16"/>
      <c r="VB71" s="16"/>
      <c r="VC71" s="16"/>
      <c r="VD71" s="16"/>
      <c r="VE71" s="16"/>
      <c r="VF71" s="16"/>
      <c r="VG71" s="16"/>
      <c r="VH71" s="16"/>
      <c r="VI71" s="16"/>
      <c r="VJ71" s="16"/>
      <c r="VK71" s="16"/>
      <c r="VL71" s="16"/>
      <c r="VM71" s="16"/>
      <c r="VN71" s="16"/>
      <c r="VO71" s="16"/>
      <c r="VP71" s="16"/>
      <c r="VQ71" s="16"/>
      <c r="VR71" s="16"/>
      <c r="VS71" s="16"/>
      <c r="VT71" s="16"/>
      <c r="VU71" s="16"/>
      <c r="VV71" s="16"/>
      <c r="VW71" s="16"/>
      <c r="VX71" s="16"/>
      <c r="VY71" s="16"/>
      <c r="VZ71" s="16"/>
      <c r="WA71" s="16"/>
      <c r="WB71" s="16"/>
      <c r="WC71" s="16"/>
      <c r="WD71" s="16"/>
      <c r="WE71" s="16"/>
      <c r="WF71" s="16"/>
      <c r="WG71" s="16"/>
      <c r="WH71" s="16"/>
      <c r="WI71" s="16"/>
      <c r="WJ71" s="16"/>
      <c r="WK71" s="16"/>
      <c r="WL71" s="16"/>
      <c r="WM71" s="16"/>
      <c r="WN71" s="16"/>
      <c r="WO71" s="16"/>
      <c r="WP71" s="16"/>
      <c r="WQ71" s="16"/>
      <c r="WR71" s="16"/>
      <c r="WS71" s="16"/>
      <c r="WT71" s="16"/>
      <c r="WU71" s="16"/>
      <c r="WV71" s="16"/>
      <c r="WW71" s="16"/>
      <c r="WX71" s="16"/>
      <c r="WY71" s="16"/>
      <c r="WZ71" s="16"/>
      <c r="XA71" s="16"/>
      <c r="XB71" s="16"/>
      <c r="XC71" s="16"/>
      <c r="XD71" s="16"/>
      <c r="XE71" s="16"/>
      <c r="XF71" s="16"/>
      <c r="XG71" s="16"/>
      <c r="XH71" s="16"/>
      <c r="XI71" s="16"/>
      <c r="XJ71" s="16"/>
      <c r="XK71" s="16"/>
      <c r="XL71" s="16"/>
      <c r="XM71" s="16"/>
      <c r="XN71" s="16"/>
      <c r="XO71" s="16"/>
      <c r="XP71" s="16"/>
      <c r="XQ71" s="16"/>
      <c r="XR71" s="16"/>
      <c r="XS71" s="16"/>
      <c r="XT71" s="16"/>
      <c r="XU71" s="16"/>
      <c r="XV71" s="16"/>
      <c r="XW71" s="16"/>
      <c r="XX71" s="16"/>
      <c r="XY71" s="16"/>
      <c r="XZ71" s="16"/>
      <c r="YA71" s="16"/>
      <c r="YB71" s="16"/>
      <c r="YC71" s="16"/>
      <c r="YD71" s="16"/>
      <c r="YE71" s="16"/>
      <c r="YF71" s="16"/>
      <c r="YG71" s="16"/>
      <c r="YH71" s="16"/>
      <c r="YI71" s="16"/>
      <c r="YJ71" s="16"/>
      <c r="YK71" s="16"/>
      <c r="YL71" s="16"/>
      <c r="YM71" s="16"/>
      <c r="YN71" s="16"/>
      <c r="YO71" s="16"/>
      <c r="YP71" s="16"/>
      <c r="YQ71" s="16"/>
      <c r="YR71" s="16"/>
      <c r="YS71" s="16"/>
      <c r="YT71" s="16"/>
      <c r="YU71" s="16"/>
      <c r="YV71" s="16"/>
      <c r="YW71" s="16"/>
      <c r="YX71" s="16"/>
      <c r="YY71" s="16"/>
      <c r="YZ71" s="16"/>
      <c r="ZA71" s="16"/>
      <c r="ZB71" s="16"/>
      <c r="ZC71" s="16"/>
      <c r="ZD71" s="16"/>
      <c r="ZE71" s="16"/>
      <c r="ZF71" s="16"/>
      <c r="ZG71" s="16"/>
      <c r="ZH71" s="16"/>
      <c r="ZI71" s="16"/>
      <c r="ZJ71" s="16"/>
      <c r="ZK71" s="16"/>
      <c r="ZL71" s="16"/>
      <c r="ZM71" s="16"/>
      <c r="ZN71" s="16"/>
      <c r="ZO71" s="16"/>
      <c r="ZP71" s="16"/>
      <c r="ZQ71" s="16"/>
      <c r="ZR71" s="16"/>
      <c r="ZS71" s="16"/>
      <c r="ZT71" s="16"/>
      <c r="ZU71" s="16"/>
      <c r="ZV71" s="16"/>
      <c r="ZW71" s="16"/>
      <c r="ZX71" s="16"/>
      <c r="ZY71" s="16"/>
      <c r="ZZ71" s="16"/>
      <c r="AAA71" s="16"/>
      <c r="AAB71" s="16"/>
      <c r="AAC71" s="16"/>
      <c r="AAD71" s="16"/>
      <c r="AAE71" s="16"/>
      <c r="AAF71" s="16"/>
      <c r="AAG71" s="16"/>
      <c r="AAH71" s="16"/>
      <c r="AAI71" s="16"/>
      <c r="AAJ71" s="16"/>
      <c r="AAK71" s="16"/>
      <c r="AAL71" s="16"/>
      <c r="AAM71" s="16"/>
      <c r="AAN71" s="16"/>
      <c r="AAO71" s="16"/>
      <c r="AAP71" s="16"/>
      <c r="AAQ71" s="16"/>
      <c r="AAR71" s="16"/>
      <c r="AAS71" s="16"/>
      <c r="AAT71" s="16"/>
      <c r="AAU71" s="16"/>
      <c r="AAV71" s="16"/>
      <c r="AAW71" s="16"/>
      <c r="AAX71" s="16"/>
      <c r="AAY71" s="16"/>
      <c r="AAZ71" s="16"/>
      <c r="ABA71" s="16"/>
      <c r="ABB71" s="16"/>
      <c r="ABC71" s="16"/>
      <c r="ABD71" s="16"/>
      <c r="ABE71" s="16"/>
      <c r="ABF71" s="16"/>
      <c r="ABG71" s="16"/>
      <c r="ABH71" s="16"/>
      <c r="ABI71" s="16"/>
      <c r="ABJ71" s="16"/>
      <c r="ABK71" s="16"/>
      <c r="ABL71" s="16"/>
      <c r="ABM71" s="16"/>
      <c r="ABN71" s="16"/>
      <c r="ABO71" s="16"/>
      <c r="ABP71" s="16"/>
      <c r="ABQ71" s="16"/>
      <c r="ABR71" s="16"/>
      <c r="ABS71" s="16"/>
      <c r="ABT71" s="16"/>
      <c r="ABU71" s="16"/>
      <c r="ABV71" s="16"/>
      <c r="ABW71" s="16"/>
      <c r="ABX71" s="16"/>
      <c r="ABY71" s="16"/>
      <c r="ABZ71" s="16"/>
      <c r="ACA71" s="16"/>
      <c r="ACB71" s="16"/>
      <c r="ACC71" s="16"/>
      <c r="ACD71" s="16"/>
      <c r="ACE71" s="16"/>
      <c r="ACF71" s="16"/>
      <c r="ACG71" s="16"/>
      <c r="ACH71" s="16"/>
      <c r="ACI71" s="16"/>
      <c r="ACJ71" s="16"/>
      <c r="ACK71" s="16"/>
      <c r="ACL71" s="16"/>
      <c r="ACM71" s="16"/>
      <c r="ACN71" s="16"/>
      <c r="ACO71" s="16"/>
      <c r="ACP71" s="16"/>
      <c r="ACQ71" s="16"/>
      <c r="ACR71" s="16"/>
      <c r="ACS71" s="16"/>
      <c r="ACT71" s="16"/>
      <c r="ACU71" s="16"/>
      <c r="ACV71" s="16"/>
      <c r="ACW71" s="16"/>
      <c r="ACX71" s="16"/>
      <c r="ACY71" s="16"/>
      <c r="ACZ71" s="16"/>
      <c r="ADA71" s="16"/>
      <c r="ADB71" s="16"/>
      <c r="ADC71" s="16"/>
      <c r="ADD71" s="16"/>
      <c r="ADE71" s="16"/>
      <c r="ADF71" s="16"/>
      <c r="ADG71" s="16"/>
      <c r="ADH71" s="16"/>
      <c r="ADI71" s="16"/>
      <c r="ADJ71" s="16"/>
      <c r="ADK71" s="16"/>
      <c r="ADL71" s="16"/>
      <c r="ADM71" s="16"/>
      <c r="ADN71" s="16"/>
      <c r="ADO71" s="16"/>
      <c r="ADP71" s="16"/>
      <c r="ADQ71" s="16"/>
      <c r="ADR71" s="16"/>
      <c r="ADS71" s="16"/>
      <c r="ADT71" s="16"/>
      <c r="ADU71" s="16"/>
      <c r="ADV71" s="16"/>
      <c r="ADW71" s="16"/>
      <c r="ADX71" s="16"/>
      <c r="ADY71" s="16"/>
      <c r="ADZ71" s="16"/>
      <c r="AEA71" s="16"/>
      <c r="AEB71" s="16"/>
      <c r="AEC71" s="16"/>
      <c r="AED71" s="16"/>
      <c r="AEE71" s="16"/>
      <c r="AEF71" s="16"/>
      <c r="AEG71" s="16"/>
      <c r="AEH71" s="16"/>
      <c r="AEI71" s="16"/>
      <c r="AEJ71" s="16"/>
      <c r="AEK71" s="16"/>
      <c r="AEL71" s="16"/>
      <c r="AEM71" s="16"/>
      <c r="AEN71" s="16"/>
      <c r="AEO71" s="16"/>
      <c r="AEP71" s="16"/>
      <c r="AEQ71" s="16"/>
      <c r="AER71" s="16"/>
      <c r="AES71" s="16"/>
      <c r="AET71" s="16"/>
      <c r="AEU71" s="16"/>
      <c r="AEV71" s="16"/>
      <c r="AEW71" s="16"/>
      <c r="AEX71" s="16"/>
      <c r="AEY71" s="16"/>
      <c r="AEZ71" s="16"/>
      <c r="AFA71" s="16"/>
      <c r="AFB71" s="16"/>
      <c r="AFC71" s="16"/>
      <c r="AFD71" s="16"/>
      <c r="AFE71" s="16"/>
      <c r="AFF71" s="16"/>
      <c r="AFG71" s="16"/>
      <c r="AFH71" s="16"/>
      <c r="AFI71" s="16"/>
      <c r="AFJ71" s="16"/>
      <c r="AFK71" s="16"/>
      <c r="AFL71" s="16"/>
      <c r="AFM71" s="16"/>
      <c r="AFN71" s="16"/>
      <c r="AFO71" s="16"/>
      <c r="AFP71" s="16"/>
      <c r="AFQ71" s="16"/>
      <c r="AFR71" s="16"/>
      <c r="AFS71" s="16"/>
      <c r="AFT71" s="16"/>
      <c r="AFU71" s="16"/>
      <c r="AFV71" s="16"/>
      <c r="AFW71" s="16"/>
      <c r="AFX71" s="16"/>
      <c r="AFY71" s="16"/>
      <c r="AFZ71" s="16"/>
      <c r="AGA71" s="16"/>
      <c r="AGB71" s="16"/>
      <c r="AGC71" s="16"/>
      <c r="AGD71" s="16"/>
      <c r="AGE71" s="16"/>
      <c r="AGF71" s="16"/>
      <c r="AGG71" s="16"/>
      <c r="AGH71" s="16"/>
      <c r="AGI71" s="16"/>
      <c r="AGJ71" s="16"/>
      <c r="AGK71" s="16"/>
      <c r="AGL71" s="16"/>
      <c r="AGM71" s="16"/>
      <c r="AGN71" s="16"/>
      <c r="AGO71" s="16"/>
      <c r="AGP71" s="16"/>
      <c r="AGQ71" s="16"/>
      <c r="AGR71" s="16"/>
      <c r="AGS71" s="16"/>
      <c r="AGT71" s="16"/>
      <c r="AGU71" s="16"/>
      <c r="AGV71" s="16"/>
      <c r="AGW71" s="16"/>
      <c r="AGX71" s="16"/>
      <c r="AGY71" s="16"/>
      <c r="AGZ71" s="16"/>
      <c r="AHA71" s="16"/>
      <c r="AHB71" s="16"/>
      <c r="AHC71" s="16"/>
      <c r="AHD71" s="16"/>
      <c r="AHE71" s="16"/>
      <c r="AHF71" s="16"/>
      <c r="AHG71" s="16"/>
      <c r="AHH71" s="16"/>
      <c r="AHI71" s="16"/>
      <c r="AHJ71" s="16"/>
      <c r="AHK71" s="16"/>
      <c r="AHL71" s="16"/>
      <c r="AHM71" s="16"/>
      <c r="AHN71" s="16"/>
      <c r="AHO71" s="16"/>
      <c r="AHP71" s="16"/>
      <c r="AHQ71" s="16"/>
      <c r="AHR71" s="16"/>
      <c r="AHS71" s="16"/>
      <c r="AHT71" s="16"/>
      <c r="AHU71" s="16"/>
      <c r="AHV71" s="16"/>
      <c r="AHW71" s="16"/>
      <c r="AHX71" s="16"/>
      <c r="AHY71" s="16"/>
      <c r="AHZ71" s="16"/>
      <c r="AIA71" s="16"/>
      <c r="AIB71" s="16"/>
      <c r="AIC71" s="16"/>
      <c r="AID71" s="16"/>
      <c r="AIE71" s="16"/>
      <c r="AIF71" s="16"/>
      <c r="AIG71" s="16"/>
      <c r="AIH71" s="16"/>
      <c r="AII71" s="16"/>
      <c r="AIJ71" s="16"/>
      <c r="AIK71" s="16"/>
      <c r="AIL71" s="16"/>
      <c r="AIM71" s="16"/>
      <c r="AIN71" s="16"/>
      <c r="AIO71" s="16"/>
      <c r="AIP71" s="16"/>
      <c r="AIQ71" s="16"/>
      <c r="AIR71" s="16"/>
      <c r="AIS71" s="16"/>
      <c r="AIT71" s="16"/>
      <c r="AIU71" s="16"/>
      <c r="AIV71" s="16"/>
      <c r="AIW71" s="16"/>
      <c r="AIX71" s="16"/>
      <c r="AIY71" s="16"/>
      <c r="AIZ71" s="16"/>
      <c r="AJA71" s="16"/>
      <c r="AJB71" s="16"/>
      <c r="AJC71" s="16"/>
      <c r="AJD71" s="16"/>
      <c r="AJE71" s="16"/>
      <c r="AJF71" s="16"/>
      <c r="AJG71" s="16"/>
      <c r="AJH71" s="16"/>
      <c r="AJI71" s="16"/>
      <c r="AJJ71" s="16"/>
      <c r="AJK71" s="16"/>
      <c r="AJL71" s="16"/>
      <c r="AJM71" s="16"/>
      <c r="AJN71" s="16"/>
      <c r="AJO71" s="16"/>
      <c r="AJP71" s="16"/>
      <c r="AJQ71" s="16"/>
      <c r="AJR71" s="16"/>
      <c r="AJS71" s="16"/>
      <c r="AJT71" s="16"/>
      <c r="AJU71" s="16"/>
      <c r="AJV71" s="16"/>
      <c r="AJW71" s="16"/>
      <c r="AJX71" s="16"/>
      <c r="AJY71" s="16"/>
      <c r="AJZ71" s="16"/>
      <c r="AKA71" s="16"/>
      <c r="AKB71" s="16"/>
      <c r="AKC71" s="16"/>
      <c r="AKD71" s="16"/>
      <c r="AKE71" s="16"/>
      <c r="AKF71" s="16"/>
      <c r="AKG71" s="16"/>
      <c r="AKH71" s="16"/>
      <c r="AKI71" s="16"/>
      <c r="AKJ71" s="16"/>
      <c r="AKK71" s="16"/>
      <c r="AKL71" s="16"/>
      <c r="AKM71" s="16"/>
      <c r="AKN71" s="16"/>
      <c r="AKO71" s="16"/>
      <c r="AKP71" s="16"/>
      <c r="AKQ71" s="16"/>
      <c r="AKR71" s="16"/>
      <c r="AKS71" s="16"/>
      <c r="AKT71" s="16"/>
      <c r="AKU71" s="16"/>
      <c r="AKV71" s="16"/>
      <c r="AKW71" s="16"/>
      <c r="AKX71" s="16"/>
      <c r="AKY71" s="16"/>
      <c r="AKZ71" s="16"/>
      <c r="ALA71" s="16"/>
      <c r="ALB71" s="16"/>
      <c r="ALC71" s="16"/>
      <c r="ALD71" s="16"/>
      <c r="ALE71" s="16"/>
      <c r="ALF71" s="16"/>
      <c r="ALG71" s="16"/>
      <c r="ALH71" s="16"/>
      <c r="ALI71" s="16"/>
      <c r="ALJ71" s="16"/>
      <c r="ALK71" s="16"/>
      <c r="ALL71" s="16"/>
      <c r="ALM71" s="16"/>
      <c r="ALN71" s="16"/>
      <c r="ALO71" s="16"/>
      <c r="ALP71" s="16"/>
      <c r="ALQ71" s="16"/>
      <c r="ALR71" s="16"/>
      <c r="ALS71" s="16"/>
      <c r="ALT71" s="16"/>
      <c r="ALU71" s="16"/>
      <c r="ALV71" s="16"/>
      <c r="ALW71" s="16"/>
      <c r="ALX71" s="16"/>
      <c r="ALY71" s="16"/>
      <c r="ALZ71" s="16"/>
      <c r="AMA71" s="16"/>
      <c r="AMB71" s="16"/>
      <c r="AMC71" s="16"/>
      <c r="AMD71" s="16"/>
      <c r="AME71" s="16"/>
      <c r="AMF71" s="16"/>
      <c r="AMG71" s="16"/>
      <c r="AMH71" s="16"/>
      <c r="AMI71" s="16"/>
      <c r="AMJ71" s="16"/>
      <c r="AMK71" s="16"/>
      <c r="AML71" s="16"/>
      <c r="AMM71" s="16"/>
      <c r="AMN71" s="16"/>
      <c r="AMO71" s="16"/>
      <c r="AMP71" s="16"/>
      <c r="AMQ71" s="16"/>
      <c r="AMR71" s="16"/>
      <c r="AMS71" s="16"/>
      <c r="AMT71" s="16"/>
      <c r="AMU71" s="16"/>
      <c r="AMV71" s="16"/>
      <c r="AMW71" s="16"/>
      <c r="AMX71" s="16"/>
      <c r="AMY71" s="16"/>
      <c r="AMZ71" s="16"/>
      <c r="ANA71" s="16"/>
      <c r="ANB71" s="16"/>
      <c r="ANC71" s="16"/>
      <c r="AND71" s="16"/>
      <c r="ANE71" s="16"/>
      <c r="ANF71" s="16"/>
      <c r="ANG71" s="16"/>
      <c r="ANH71" s="16"/>
      <c r="ANI71" s="16"/>
      <c r="ANJ71" s="16"/>
      <c r="ANK71" s="16"/>
      <c r="ANL71" s="16"/>
      <c r="ANM71" s="16"/>
      <c r="ANN71" s="16"/>
      <c r="ANO71" s="16"/>
      <c r="ANP71" s="16"/>
      <c r="ANQ71" s="16"/>
      <c r="ANR71" s="16"/>
      <c r="ANS71" s="16"/>
      <c r="ANT71" s="16"/>
      <c r="ANU71" s="16"/>
      <c r="ANV71" s="16"/>
      <c r="ANW71" s="16"/>
      <c r="ANX71" s="16"/>
      <c r="ANY71" s="16"/>
      <c r="ANZ71" s="16"/>
      <c r="AOA71" s="16"/>
      <c r="AOB71" s="16"/>
      <c r="AOC71" s="16"/>
      <c r="AOD71" s="16"/>
      <c r="AOE71" s="16"/>
      <c r="AOF71" s="16"/>
      <c r="AOG71" s="16"/>
      <c r="AOH71" s="16"/>
      <c r="AOI71" s="16"/>
      <c r="AOJ71" s="16"/>
      <c r="AOK71" s="16"/>
      <c r="AOL71" s="16"/>
      <c r="AOM71" s="16"/>
      <c r="AON71" s="16"/>
      <c r="AOO71" s="16"/>
      <c r="AOP71" s="16"/>
      <c r="AOQ71" s="16"/>
      <c r="AOR71" s="16"/>
      <c r="AOS71" s="16"/>
      <c r="AOT71" s="16"/>
      <c r="AOU71" s="16"/>
      <c r="AOV71" s="16"/>
      <c r="AOW71" s="16"/>
      <c r="AOX71" s="16"/>
      <c r="AOY71" s="16"/>
      <c r="AOZ71" s="16"/>
      <c r="APA71" s="16"/>
      <c r="APB71" s="16"/>
      <c r="APC71" s="16"/>
      <c r="APD71" s="16"/>
      <c r="APE71" s="16"/>
      <c r="APF71" s="16"/>
      <c r="APG71" s="16"/>
      <c r="APH71" s="16"/>
      <c r="API71" s="16"/>
      <c r="APJ71" s="16"/>
      <c r="APK71" s="16"/>
      <c r="APL71" s="16"/>
      <c r="APM71" s="16"/>
      <c r="APN71" s="16"/>
      <c r="APO71" s="16"/>
      <c r="APP71" s="16"/>
      <c r="APQ71" s="16"/>
      <c r="APR71" s="16"/>
      <c r="APS71" s="16"/>
      <c r="APT71" s="16"/>
      <c r="APU71" s="16"/>
      <c r="APV71" s="16"/>
      <c r="APW71" s="16"/>
      <c r="APX71" s="16"/>
      <c r="APY71" s="16"/>
      <c r="APZ71" s="16"/>
      <c r="AQA71" s="16"/>
      <c r="AQB71" s="16"/>
      <c r="AQC71" s="16"/>
      <c r="AQD71" s="16"/>
      <c r="AQE71" s="16"/>
      <c r="AQF71" s="16"/>
      <c r="AQG71" s="16"/>
      <c r="AQH71" s="16"/>
      <c r="AQI71" s="16"/>
      <c r="AQJ71" s="16"/>
      <c r="AQK71" s="16"/>
      <c r="AQL71" s="16"/>
      <c r="AQM71" s="16"/>
      <c r="AQN71" s="16"/>
      <c r="AQO71" s="16"/>
      <c r="AQP71" s="16"/>
      <c r="AQQ71" s="16"/>
      <c r="AQR71" s="16"/>
      <c r="AQS71" s="16"/>
      <c r="AQT71" s="16"/>
      <c r="AQU71" s="16"/>
      <c r="AQV71" s="16"/>
      <c r="AQW71" s="16"/>
      <c r="AQX71" s="16"/>
      <c r="AQY71" s="16"/>
      <c r="AQZ71" s="16"/>
      <c r="ARA71" s="16"/>
      <c r="ARB71" s="16"/>
      <c r="ARC71" s="16"/>
      <c r="ARD71" s="16"/>
      <c r="ARE71" s="16"/>
      <c r="ARF71" s="16"/>
      <c r="ARG71" s="16"/>
      <c r="ARH71" s="16"/>
      <c r="ARI71" s="16"/>
      <c r="ARJ71" s="16"/>
      <c r="ARK71" s="16"/>
      <c r="ARL71" s="16"/>
      <c r="ARM71" s="16"/>
      <c r="ARN71" s="16"/>
      <c r="ARO71" s="16"/>
      <c r="ARP71" s="16"/>
      <c r="ARQ71" s="16"/>
      <c r="ARR71" s="16"/>
      <c r="ARS71" s="16"/>
      <c r="ART71" s="16"/>
      <c r="ARU71" s="16"/>
      <c r="ARV71" s="16"/>
      <c r="ARW71" s="16"/>
      <c r="ARX71" s="16"/>
      <c r="ARY71" s="16"/>
      <c r="ARZ71" s="16"/>
      <c r="ASA71" s="16"/>
      <c r="ASB71" s="16"/>
      <c r="ASC71" s="16"/>
      <c r="ASD71" s="16"/>
      <c r="ASE71" s="16"/>
      <c r="ASF71" s="16"/>
      <c r="ASG71" s="16"/>
      <c r="ASH71" s="16"/>
      <c r="ASI71" s="16"/>
      <c r="ASJ71" s="16"/>
      <c r="ASK71" s="16"/>
      <c r="ASL71" s="16"/>
      <c r="ASM71" s="16"/>
      <c r="ASN71" s="16"/>
      <c r="ASO71" s="16"/>
      <c r="ASP71" s="16"/>
      <c r="ASQ71" s="16"/>
      <c r="ASR71" s="16"/>
      <c r="ASS71" s="16"/>
      <c r="AST71" s="16"/>
      <c r="ASU71" s="16"/>
      <c r="ASV71" s="16"/>
      <c r="ASW71" s="16"/>
      <c r="ASX71" s="16"/>
      <c r="ASY71" s="16"/>
      <c r="ASZ71" s="16"/>
      <c r="ATA71" s="16"/>
      <c r="ATB71" s="16"/>
      <c r="ATC71" s="16"/>
      <c r="ATD71" s="16"/>
      <c r="ATE71" s="16"/>
      <c r="ATF71" s="16"/>
      <c r="ATG71" s="16"/>
      <c r="ATH71" s="16"/>
      <c r="ATI71" s="16"/>
      <c r="ATJ71" s="16"/>
      <c r="ATK71" s="16"/>
      <c r="ATL71" s="16"/>
      <c r="ATM71" s="16"/>
      <c r="ATN71" s="16"/>
      <c r="ATO71" s="16"/>
      <c r="ATP71" s="16"/>
      <c r="ATQ71" s="16"/>
      <c r="ATR71" s="16"/>
      <c r="ATS71" s="16"/>
      <c r="ATT71" s="16"/>
      <c r="ATU71" s="16"/>
      <c r="ATV71" s="16"/>
      <c r="ATW71" s="16"/>
      <c r="ATX71" s="16"/>
      <c r="ATY71" s="16"/>
      <c r="ATZ71" s="16"/>
      <c r="AUA71" s="16"/>
      <c r="AUB71" s="16"/>
      <c r="AUC71" s="16"/>
      <c r="AUD71" s="16"/>
      <c r="AUE71" s="16"/>
      <c r="AUF71" s="16"/>
      <c r="AUG71" s="16"/>
      <c r="AUH71" s="16"/>
      <c r="AUI71" s="16"/>
      <c r="AUJ71" s="16"/>
      <c r="AUK71" s="16"/>
      <c r="AUL71" s="16"/>
      <c r="AUM71" s="16"/>
      <c r="AUN71" s="16"/>
      <c r="AUO71" s="16"/>
      <c r="AUP71" s="16"/>
      <c r="AUQ71" s="16"/>
      <c r="AUR71" s="16"/>
      <c r="AUS71" s="16"/>
      <c r="AUT71" s="16"/>
      <c r="AUU71" s="16"/>
      <c r="AUV71" s="16"/>
      <c r="AUW71" s="16"/>
      <c r="AUX71" s="16"/>
      <c r="AUY71" s="16"/>
      <c r="AUZ71" s="16"/>
      <c r="AVA71" s="16"/>
      <c r="AVB71" s="16"/>
      <c r="AVC71" s="16"/>
      <c r="AVD71" s="16"/>
      <c r="AVE71" s="16"/>
      <c r="AVF71" s="16"/>
      <c r="AVG71" s="16"/>
      <c r="AVH71" s="16"/>
      <c r="AVI71" s="16"/>
      <c r="AVJ71" s="16"/>
      <c r="AVK71" s="16"/>
      <c r="AVL71" s="16"/>
      <c r="AVM71" s="16"/>
      <c r="AVN71" s="16"/>
      <c r="AVO71" s="16"/>
      <c r="AVP71" s="16"/>
      <c r="AVQ71" s="16"/>
      <c r="AVR71" s="16"/>
      <c r="AVS71" s="16"/>
      <c r="AVT71" s="16"/>
      <c r="AVU71" s="16"/>
      <c r="AVV71" s="16"/>
      <c r="AVW71" s="16"/>
      <c r="AVX71" s="16"/>
      <c r="AVY71" s="16"/>
      <c r="AVZ71" s="16"/>
      <c r="AWA71" s="16"/>
      <c r="AWB71" s="16"/>
      <c r="AWC71" s="16"/>
      <c r="AWD71" s="16"/>
      <c r="AWE71" s="16"/>
      <c r="AWF71" s="16"/>
      <c r="AWG71" s="16"/>
      <c r="AWH71" s="16"/>
      <c r="AWI71" s="16"/>
      <c r="AWJ71" s="16"/>
      <c r="AWK71" s="16"/>
      <c r="AWL71" s="16"/>
      <c r="AWM71" s="16"/>
      <c r="AWN71" s="16"/>
      <c r="AWO71" s="16"/>
      <c r="AWP71" s="16"/>
      <c r="AWQ71" s="16"/>
      <c r="AWR71" s="16"/>
      <c r="AWS71" s="16"/>
      <c r="AWT71" s="16"/>
      <c r="AWU71" s="16"/>
      <c r="AWV71" s="16"/>
      <c r="AWW71" s="16"/>
      <c r="AWX71" s="16"/>
      <c r="AWY71" s="16"/>
      <c r="AWZ71" s="16"/>
      <c r="AXA71" s="16"/>
      <c r="AXB71" s="16"/>
      <c r="AXC71" s="16"/>
      <c r="AXD71" s="16"/>
      <c r="AXE71" s="16"/>
      <c r="AXF71" s="16"/>
      <c r="AXG71" s="16"/>
      <c r="AXH71" s="16"/>
      <c r="AXI71" s="16"/>
      <c r="AXJ71" s="16"/>
      <c r="AXK71" s="16"/>
      <c r="AXL71" s="16"/>
      <c r="AXM71" s="16"/>
      <c r="AXN71" s="16"/>
      <c r="AXO71" s="16"/>
      <c r="AXP71" s="16"/>
      <c r="AXQ71" s="16"/>
      <c r="AXR71" s="16"/>
      <c r="AXS71" s="16"/>
      <c r="AXT71" s="16"/>
      <c r="AXU71" s="16"/>
      <c r="AXV71" s="16"/>
      <c r="AXW71" s="16"/>
      <c r="AXX71" s="16"/>
      <c r="AXY71" s="16"/>
      <c r="AXZ71" s="16"/>
      <c r="AYA71" s="16"/>
      <c r="AYB71" s="16"/>
      <c r="AYC71" s="16"/>
      <c r="AYD71" s="16"/>
      <c r="AYE71" s="16"/>
      <c r="AYF71" s="16"/>
      <c r="AYG71" s="16"/>
      <c r="AYH71" s="16"/>
      <c r="AYI71" s="16"/>
      <c r="AYJ71" s="16"/>
      <c r="AYK71" s="16"/>
      <c r="AYL71" s="16"/>
      <c r="AYM71" s="16"/>
      <c r="AYN71" s="16"/>
      <c r="AYO71" s="16"/>
      <c r="AYP71" s="16"/>
      <c r="AYQ71" s="16"/>
      <c r="AYR71" s="16"/>
      <c r="AYS71" s="16"/>
      <c r="AYT71" s="16"/>
      <c r="AYU71" s="16"/>
      <c r="AYV71" s="16"/>
      <c r="AYW71" s="16"/>
      <c r="AYX71" s="16"/>
      <c r="AYY71" s="16"/>
      <c r="AYZ71" s="16"/>
      <c r="AZA71" s="16"/>
      <c r="AZB71" s="16"/>
      <c r="AZC71" s="16"/>
      <c r="AZD71" s="16"/>
      <c r="AZE71" s="16"/>
      <c r="AZF71" s="16"/>
      <c r="AZG71" s="16"/>
      <c r="AZH71" s="16"/>
      <c r="AZI71" s="16"/>
      <c r="AZJ71" s="16"/>
      <c r="AZK71" s="16"/>
      <c r="AZL71" s="16"/>
      <c r="AZM71" s="16"/>
      <c r="AZN71" s="16"/>
      <c r="AZO71" s="16"/>
      <c r="AZP71" s="16"/>
      <c r="AZQ71" s="16"/>
      <c r="AZR71" s="16"/>
      <c r="AZS71" s="16"/>
      <c r="AZT71" s="16"/>
      <c r="AZU71" s="16"/>
      <c r="AZV71" s="16"/>
      <c r="AZW71" s="16"/>
      <c r="AZX71" s="16"/>
      <c r="AZY71" s="16"/>
      <c r="AZZ71" s="16"/>
      <c r="BAA71" s="16"/>
      <c r="BAB71" s="16"/>
      <c r="BAC71" s="16"/>
      <c r="BAD71" s="16"/>
      <c r="BAE71" s="16"/>
      <c r="BAF71" s="16"/>
      <c r="BAG71" s="16"/>
      <c r="BAH71" s="16"/>
      <c r="BAI71" s="16"/>
      <c r="BAJ71" s="16"/>
      <c r="BAK71" s="16"/>
      <c r="BAL71" s="16"/>
      <c r="BAM71" s="16"/>
      <c r="BAN71" s="16"/>
      <c r="BAO71" s="16"/>
      <c r="BAP71" s="16"/>
      <c r="BAQ71" s="16"/>
      <c r="BAR71" s="16"/>
      <c r="BAS71" s="16"/>
      <c r="BAT71" s="16"/>
      <c r="BAU71" s="16"/>
      <c r="BAV71" s="16"/>
      <c r="BAW71" s="16"/>
      <c r="BAX71" s="16"/>
      <c r="BAY71" s="16"/>
      <c r="BAZ71" s="16"/>
      <c r="BBA71" s="16"/>
      <c r="BBB71" s="16"/>
      <c r="BBC71" s="16"/>
      <c r="BBD71" s="16"/>
      <c r="BBE71" s="16"/>
      <c r="BBF71" s="16"/>
      <c r="BBG71" s="16"/>
      <c r="BBH71" s="16"/>
      <c r="BBI71" s="16"/>
      <c r="BBJ71" s="16"/>
      <c r="BBK71" s="16"/>
      <c r="BBL71" s="16"/>
      <c r="BBM71" s="16"/>
      <c r="BBN71" s="16"/>
      <c r="BBO71" s="16"/>
      <c r="BBP71" s="16"/>
      <c r="BBQ71" s="16"/>
      <c r="BBR71" s="16"/>
      <c r="BBS71" s="16"/>
      <c r="BBT71" s="16"/>
      <c r="BBU71" s="16"/>
      <c r="BBV71" s="16"/>
      <c r="BBW71" s="16"/>
      <c r="BBX71" s="16"/>
      <c r="BBY71" s="16"/>
      <c r="BBZ71" s="16"/>
      <c r="BCA71" s="16"/>
      <c r="BCB71" s="16"/>
      <c r="BCC71" s="16"/>
      <c r="BCD71" s="16"/>
      <c r="BCE71" s="16"/>
      <c r="BCF71" s="16"/>
      <c r="BCG71" s="16"/>
      <c r="BCH71" s="16"/>
      <c r="BCI71" s="16"/>
      <c r="BCJ71" s="16"/>
      <c r="BCK71" s="16"/>
      <c r="BCL71" s="16"/>
      <c r="BCM71" s="16"/>
      <c r="BCN71" s="16"/>
      <c r="BCO71" s="16"/>
      <c r="BCP71" s="16"/>
      <c r="BCQ71" s="16"/>
      <c r="BCR71" s="16"/>
      <c r="BCS71" s="16"/>
      <c r="BCT71" s="16"/>
      <c r="BCU71" s="16"/>
      <c r="BCV71" s="16"/>
      <c r="BCW71" s="16"/>
      <c r="BCX71" s="16"/>
      <c r="BCY71" s="16"/>
      <c r="BCZ71" s="16"/>
      <c r="BDA71" s="16"/>
      <c r="BDB71" s="16"/>
      <c r="BDC71" s="16"/>
      <c r="BDD71" s="16"/>
      <c r="BDE71" s="16"/>
      <c r="BDF71" s="16"/>
      <c r="BDG71" s="16"/>
      <c r="BDH71" s="16"/>
      <c r="BDI71" s="16"/>
      <c r="BDJ71" s="16"/>
      <c r="BDK71" s="16"/>
      <c r="BDL71" s="16"/>
      <c r="BDM71" s="16"/>
      <c r="BDN71" s="16"/>
      <c r="BDO71" s="16"/>
      <c r="BDP71" s="16"/>
      <c r="BDQ71" s="16"/>
      <c r="BDR71" s="16"/>
      <c r="BDS71" s="16"/>
      <c r="BDT71" s="16"/>
      <c r="BDU71" s="16"/>
      <c r="BDV71" s="16"/>
      <c r="BDW71" s="16"/>
      <c r="BDX71" s="16"/>
      <c r="BDY71" s="16"/>
      <c r="BDZ71" s="16"/>
      <c r="BEA71" s="16"/>
      <c r="BEB71" s="16"/>
      <c r="BEC71" s="16"/>
      <c r="BED71" s="16"/>
      <c r="BEE71" s="16"/>
      <c r="BEF71" s="16"/>
      <c r="BEG71" s="16"/>
      <c r="BEH71" s="16"/>
      <c r="BEI71" s="16"/>
      <c r="BEJ71" s="16"/>
      <c r="BEK71" s="16"/>
      <c r="BEL71" s="16"/>
      <c r="BEM71" s="16"/>
      <c r="BEN71" s="16"/>
      <c r="BEO71" s="16"/>
      <c r="BEP71" s="16"/>
      <c r="BEQ71" s="16"/>
      <c r="BER71" s="16"/>
      <c r="BES71" s="16"/>
      <c r="BET71" s="16"/>
      <c r="BEU71" s="16"/>
      <c r="BEV71" s="16"/>
      <c r="BEW71" s="16"/>
      <c r="BEX71" s="16"/>
      <c r="BEY71" s="16"/>
      <c r="BEZ71" s="16"/>
      <c r="BFA71" s="16"/>
      <c r="BFB71" s="16"/>
      <c r="BFC71" s="16"/>
      <c r="BFD71" s="16"/>
      <c r="BFE71" s="16"/>
      <c r="BFF71" s="16"/>
      <c r="BFG71" s="16"/>
      <c r="BFH71" s="16"/>
      <c r="BFI71" s="16"/>
      <c r="BFJ71" s="16"/>
      <c r="BFK71" s="16"/>
      <c r="BFL71" s="16"/>
      <c r="BFM71" s="16"/>
      <c r="BFN71" s="16"/>
      <c r="BFO71" s="16"/>
      <c r="BFP71" s="16"/>
      <c r="BFQ71" s="16"/>
      <c r="BFR71" s="16"/>
      <c r="BFS71" s="16"/>
      <c r="BFT71" s="16"/>
      <c r="BFU71" s="16"/>
      <c r="BFV71" s="16"/>
      <c r="BFW71" s="16"/>
      <c r="BFX71" s="16"/>
      <c r="BFY71" s="16"/>
      <c r="BFZ71" s="16"/>
      <c r="BGA71" s="16"/>
      <c r="BGB71" s="16"/>
      <c r="BGC71" s="16"/>
      <c r="BGD71" s="16"/>
      <c r="BGE71" s="16"/>
      <c r="BGF71" s="16"/>
      <c r="BGG71" s="16"/>
      <c r="BGH71" s="16"/>
      <c r="BGI71" s="16"/>
      <c r="BGJ71" s="16"/>
      <c r="BGK71" s="16"/>
      <c r="BGL71" s="16"/>
      <c r="BGM71" s="16"/>
      <c r="BGN71" s="16"/>
      <c r="BGO71" s="16"/>
      <c r="BGP71" s="16"/>
      <c r="BGQ71" s="16"/>
      <c r="BGR71" s="16"/>
      <c r="BGS71" s="16"/>
      <c r="BGT71" s="16"/>
      <c r="BGU71" s="16"/>
      <c r="BGV71" s="16"/>
      <c r="BGW71" s="16"/>
      <c r="BGX71" s="16"/>
      <c r="BGY71" s="16"/>
      <c r="BGZ71" s="16"/>
      <c r="BHA71" s="16"/>
      <c r="BHB71" s="16"/>
      <c r="BHC71" s="16"/>
      <c r="BHD71" s="16"/>
      <c r="BHE71" s="16"/>
      <c r="BHF71" s="16"/>
      <c r="BHG71" s="16"/>
      <c r="BHH71" s="16"/>
      <c r="BHI71" s="16"/>
      <c r="BHJ71" s="16"/>
      <c r="BHK71" s="16"/>
      <c r="BHL71" s="16"/>
      <c r="BHM71" s="16"/>
      <c r="BHN71" s="16"/>
      <c r="BHO71" s="16"/>
      <c r="BHP71" s="16"/>
      <c r="BHQ71" s="16"/>
      <c r="BHR71" s="16"/>
      <c r="BHS71" s="16"/>
      <c r="BHT71" s="16"/>
      <c r="BHU71" s="16"/>
      <c r="BHV71" s="16"/>
      <c r="BHW71" s="16"/>
      <c r="BHX71" s="16"/>
      <c r="BHY71" s="16"/>
      <c r="BHZ71" s="16"/>
      <c r="BIA71" s="16"/>
      <c r="BIB71" s="16"/>
      <c r="BIC71" s="16"/>
      <c r="BID71" s="16"/>
      <c r="BIE71" s="16"/>
      <c r="BIF71" s="16"/>
      <c r="BIG71" s="16"/>
      <c r="BIH71" s="16"/>
      <c r="BII71" s="16"/>
      <c r="BIJ71" s="16"/>
      <c r="BIK71" s="16"/>
      <c r="BIL71" s="16"/>
      <c r="BIM71" s="16"/>
      <c r="BIN71" s="16"/>
      <c r="BIO71" s="16"/>
      <c r="BIP71" s="16"/>
      <c r="BIQ71" s="16"/>
      <c r="BIR71" s="16"/>
      <c r="BIS71" s="16"/>
      <c r="BIT71" s="16"/>
      <c r="BIU71" s="16"/>
      <c r="BIV71" s="16"/>
      <c r="BIW71" s="16"/>
      <c r="BIX71" s="16"/>
      <c r="BIY71" s="16"/>
      <c r="BIZ71" s="16"/>
      <c r="BJA71" s="16"/>
      <c r="BJB71" s="16"/>
      <c r="BJC71" s="16"/>
      <c r="BJD71" s="16"/>
      <c r="BJE71" s="16"/>
      <c r="BJF71" s="16"/>
      <c r="BJG71" s="16"/>
      <c r="BJH71" s="16"/>
      <c r="BJI71" s="16"/>
      <c r="BJJ71" s="16"/>
      <c r="BJK71" s="16"/>
      <c r="BJL71" s="16"/>
      <c r="BJM71" s="16"/>
      <c r="BJN71" s="16"/>
      <c r="BJO71" s="16"/>
      <c r="BJP71" s="16"/>
      <c r="BJQ71" s="16"/>
      <c r="BJR71" s="16"/>
      <c r="BJS71" s="16"/>
      <c r="BJT71" s="16"/>
      <c r="BJU71" s="16"/>
      <c r="BJV71" s="16"/>
      <c r="BJW71" s="16"/>
      <c r="BJX71" s="16"/>
      <c r="BJY71" s="16"/>
      <c r="BJZ71" s="16"/>
      <c r="BKA71" s="16"/>
      <c r="BKB71" s="16"/>
      <c r="BKC71" s="16"/>
      <c r="BKD71" s="16"/>
      <c r="BKE71" s="16"/>
      <c r="BKF71" s="16"/>
      <c r="BKG71" s="16"/>
      <c r="BKH71" s="16"/>
      <c r="BKI71" s="16"/>
      <c r="BKJ71" s="16"/>
      <c r="BKK71" s="16"/>
      <c r="BKL71" s="16"/>
      <c r="BKM71" s="16"/>
      <c r="BKN71" s="16"/>
      <c r="BKO71" s="16"/>
      <c r="BKP71" s="16"/>
      <c r="BKQ71" s="16"/>
      <c r="BKR71" s="16"/>
      <c r="BKS71" s="16"/>
      <c r="BKT71" s="16"/>
      <c r="BKU71" s="16"/>
      <c r="BKV71" s="16"/>
      <c r="BKW71" s="16"/>
      <c r="BKX71" s="16"/>
      <c r="BKY71" s="16"/>
      <c r="BKZ71" s="16"/>
      <c r="BLA71" s="16"/>
      <c r="BLB71" s="16"/>
      <c r="BLC71" s="16"/>
      <c r="BLD71" s="16"/>
      <c r="BLE71" s="16"/>
      <c r="BLF71" s="16"/>
      <c r="BLG71" s="16"/>
      <c r="BLH71" s="16"/>
      <c r="BLI71" s="16"/>
      <c r="BLJ71" s="16"/>
      <c r="BLK71" s="16"/>
      <c r="BLL71" s="16"/>
      <c r="BLM71" s="16"/>
      <c r="BLN71" s="16"/>
      <c r="BLO71" s="16"/>
      <c r="BLP71" s="16"/>
      <c r="BLQ71" s="16"/>
      <c r="BLR71" s="16"/>
      <c r="BLS71" s="16"/>
      <c r="BLT71" s="16"/>
      <c r="BLU71" s="16"/>
      <c r="BLV71" s="16"/>
      <c r="BLW71" s="16"/>
      <c r="BLX71" s="16"/>
      <c r="BLY71" s="16"/>
      <c r="BLZ71" s="16"/>
      <c r="BMA71" s="16"/>
      <c r="BMB71" s="16"/>
      <c r="BMC71" s="16"/>
      <c r="BMD71" s="16"/>
      <c r="BME71" s="16"/>
      <c r="BMF71" s="16"/>
      <c r="BMG71" s="16"/>
      <c r="BMH71" s="16"/>
      <c r="BMI71" s="16"/>
      <c r="BMJ71" s="16"/>
      <c r="BMK71" s="16"/>
      <c r="BML71" s="16"/>
      <c r="BMM71" s="16"/>
      <c r="BMN71" s="16"/>
      <c r="BMO71" s="16"/>
      <c r="BMP71" s="16"/>
      <c r="BMQ71" s="16"/>
      <c r="BMR71" s="16"/>
      <c r="BMS71" s="16"/>
      <c r="BMT71" s="16"/>
      <c r="BMU71" s="16"/>
      <c r="BMV71" s="16"/>
      <c r="BMW71" s="16"/>
      <c r="BMX71" s="16"/>
      <c r="BMY71" s="16"/>
      <c r="BMZ71" s="16"/>
      <c r="BNA71" s="16"/>
      <c r="BNB71" s="16"/>
      <c r="BNC71" s="16"/>
      <c r="BND71" s="16"/>
      <c r="BNE71" s="16"/>
      <c r="BNF71" s="16"/>
      <c r="BNG71" s="16"/>
      <c r="BNH71" s="16"/>
      <c r="BNI71" s="16"/>
      <c r="BNJ71" s="16"/>
      <c r="BNK71" s="16"/>
      <c r="BNL71" s="16"/>
      <c r="BNM71" s="16"/>
      <c r="BNN71" s="16"/>
      <c r="BNO71" s="16"/>
      <c r="BNP71" s="16"/>
      <c r="BNQ71" s="16"/>
      <c r="BNR71" s="16"/>
      <c r="BNS71" s="16"/>
      <c r="BNT71" s="16"/>
      <c r="BNU71" s="16"/>
      <c r="BNV71" s="16"/>
      <c r="BNW71" s="16"/>
      <c r="BNX71" s="16"/>
      <c r="BNY71" s="16"/>
      <c r="BNZ71" s="16"/>
      <c r="BOA71" s="16"/>
      <c r="BOB71" s="16"/>
      <c r="BOC71" s="16"/>
      <c r="BOD71" s="16"/>
      <c r="BOE71" s="16"/>
      <c r="BOF71" s="16"/>
      <c r="BOG71" s="16"/>
      <c r="BOH71" s="16"/>
      <c r="BOI71" s="16"/>
      <c r="BOJ71" s="16"/>
      <c r="BOK71" s="16"/>
      <c r="BOL71" s="16"/>
      <c r="BOM71" s="16"/>
      <c r="BON71" s="16"/>
      <c r="BOO71" s="16"/>
      <c r="BOP71" s="16"/>
      <c r="BOQ71" s="16"/>
      <c r="BOR71" s="16"/>
      <c r="BOS71" s="16"/>
      <c r="BOT71" s="16"/>
      <c r="BOU71" s="16"/>
      <c r="BOV71" s="16"/>
      <c r="BOW71" s="16"/>
      <c r="BOX71" s="16"/>
      <c r="BOY71" s="16"/>
      <c r="BOZ71" s="16"/>
      <c r="BPA71" s="16"/>
      <c r="BPB71" s="16"/>
      <c r="BPC71" s="16"/>
      <c r="BPD71" s="16"/>
      <c r="BPE71" s="16"/>
      <c r="BPF71" s="16"/>
      <c r="BPG71" s="16"/>
      <c r="BPH71" s="16"/>
      <c r="BPI71" s="16"/>
      <c r="BPJ71" s="16"/>
      <c r="BPK71" s="16"/>
      <c r="BPL71" s="16"/>
      <c r="BPM71" s="16"/>
      <c r="BPN71" s="16"/>
      <c r="BPO71" s="16"/>
      <c r="BPP71" s="16"/>
      <c r="BPQ71" s="16"/>
      <c r="BPR71" s="16"/>
      <c r="BPS71" s="16"/>
      <c r="BPT71" s="16"/>
      <c r="BPU71" s="16"/>
      <c r="BPV71" s="16"/>
      <c r="BPW71" s="16"/>
      <c r="BPX71" s="16"/>
      <c r="BPY71" s="16"/>
      <c r="BPZ71" s="16"/>
      <c r="BQA71" s="16"/>
      <c r="BQB71" s="16"/>
      <c r="BQC71" s="16"/>
      <c r="BQD71" s="16"/>
      <c r="BQE71" s="16"/>
      <c r="BQF71" s="16"/>
      <c r="BQG71" s="16"/>
      <c r="BQH71" s="16"/>
      <c r="BQI71" s="16"/>
      <c r="BQJ71" s="16"/>
      <c r="BQK71" s="16"/>
      <c r="BQL71" s="16"/>
      <c r="BQM71" s="16"/>
      <c r="BQN71" s="16"/>
      <c r="BQO71" s="16"/>
      <c r="BQP71" s="16"/>
      <c r="BQQ71" s="16"/>
      <c r="BQR71" s="16"/>
      <c r="BQS71" s="16"/>
      <c r="BQT71" s="16"/>
      <c r="BQU71" s="16"/>
      <c r="BQV71" s="16"/>
      <c r="BQW71" s="16"/>
      <c r="BQX71" s="16"/>
      <c r="BQY71" s="16"/>
      <c r="BQZ71" s="16"/>
      <c r="BRA71" s="16"/>
      <c r="BRB71" s="16"/>
      <c r="BRC71" s="16"/>
      <c r="BRD71" s="16"/>
      <c r="BRE71" s="16"/>
      <c r="BRF71" s="16"/>
      <c r="BRG71" s="16"/>
      <c r="BRH71" s="16"/>
      <c r="BRI71" s="16"/>
      <c r="BRJ71" s="16"/>
      <c r="BRK71" s="16"/>
      <c r="BRL71" s="16"/>
      <c r="BRM71" s="16"/>
      <c r="BRN71" s="16"/>
      <c r="BRO71" s="16"/>
      <c r="BRP71" s="16"/>
      <c r="BRQ71" s="16"/>
      <c r="BRR71" s="16"/>
      <c r="BRS71" s="16"/>
      <c r="BRT71" s="16"/>
      <c r="BRU71" s="16"/>
      <c r="BRV71" s="16"/>
      <c r="BRW71" s="16"/>
      <c r="BRX71" s="16"/>
      <c r="BRY71" s="16"/>
      <c r="BRZ71" s="16"/>
      <c r="BSA71" s="16"/>
      <c r="BSB71" s="16"/>
      <c r="BSC71" s="16"/>
      <c r="BSD71" s="16"/>
      <c r="BSE71" s="16"/>
      <c r="BSF71" s="16"/>
      <c r="BSG71" s="16"/>
      <c r="BSH71" s="16"/>
      <c r="BSI71" s="16"/>
      <c r="BSJ71" s="16"/>
      <c r="BSK71" s="16"/>
      <c r="BSL71" s="16"/>
      <c r="BSM71" s="16"/>
      <c r="BSN71" s="16"/>
      <c r="BSO71" s="16"/>
      <c r="BSP71" s="16"/>
      <c r="BSQ71" s="16"/>
      <c r="BSR71" s="16"/>
      <c r="BSS71" s="16"/>
      <c r="BST71" s="16"/>
      <c r="BSU71" s="16"/>
      <c r="BSV71" s="16"/>
      <c r="BSW71" s="16"/>
      <c r="BSX71" s="16"/>
      <c r="BSY71" s="16"/>
      <c r="BSZ71" s="16"/>
      <c r="BTA71" s="16"/>
      <c r="BTB71" s="16"/>
      <c r="BTC71" s="16"/>
      <c r="BTD71" s="16"/>
      <c r="BTE71" s="16"/>
      <c r="BTF71" s="16"/>
      <c r="BTG71" s="16"/>
      <c r="BTH71" s="16"/>
      <c r="BTI71" s="16"/>
      <c r="BTJ71" s="16"/>
      <c r="BTK71" s="16"/>
      <c r="BTL71" s="16"/>
      <c r="BTM71" s="16"/>
      <c r="BTN71" s="16"/>
      <c r="BTO71" s="16"/>
      <c r="BTP71" s="16"/>
      <c r="BTQ71" s="16"/>
      <c r="BTR71" s="16"/>
      <c r="BTS71" s="16"/>
      <c r="BTT71" s="16"/>
      <c r="BTU71" s="16"/>
      <c r="BTV71" s="16"/>
      <c r="BTW71" s="16"/>
      <c r="BTX71" s="16"/>
      <c r="BTY71" s="16"/>
      <c r="BTZ71" s="16"/>
      <c r="BUA71" s="16"/>
      <c r="BUB71" s="16"/>
      <c r="BUC71" s="16"/>
      <c r="BUD71" s="16"/>
      <c r="BUE71" s="16"/>
      <c r="BUF71" s="16"/>
      <c r="BUG71" s="16"/>
      <c r="BUH71" s="16"/>
      <c r="BUI71" s="16"/>
      <c r="BUJ71" s="16"/>
      <c r="BUK71" s="16"/>
      <c r="BUL71" s="16"/>
      <c r="BUM71" s="16"/>
      <c r="BUN71" s="16"/>
      <c r="BUO71" s="16"/>
      <c r="BUP71" s="16"/>
      <c r="BUQ71" s="16"/>
      <c r="BUR71" s="16"/>
      <c r="BUS71" s="16"/>
      <c r="BUT71" s="16"/>
      <c r="BUU71" s="16"/>
      <c r="BUV71" s="16"/>
      <c r="BUW71" s="16"/>
      <c r="BUX71" s="16"/>
      <c r="BUY71" s="16"/>
      <c r="BUZ71" s="16"/>
      <c r="BVA71" s="16"/>
      <c r="BVB71" s="16"/>
      <c r="BVC71" s="16"/>
      <c r="BVD71" s="16"/>
      <c r="BVE71" s="16"/>
      <c r="BVF71" s="16"/>
      <c r="BVG71" s="16"/>
      <c r="BVH71" s="16"/>
      <c r="BVI71" s="16"/>
      <c r="BVJ71" s="16"/>
      <c r="BVK71" s="16"/>
      <c r="BVL71" s="16"/>
      <c r="BVM71" s="16"/>
      <c r="BVN71" s="16"/>
      <c r="BVO71" s="16"/>
      <c r="BVP71" s="16"/>
      <c r="BVQ71" s="16"/>
      <c r="BVR71" s="16"/>
      <c r="BVS71" s="16"/>
      <c r="BVT71" s="16"/>
      <c r="BVU71" s="16"/>
      <c r="BVV71" s="16"/>
      <c r="BVW71" s="16"/>
      <c r="BVX71" s="16"/>
      <c r="BVY71" s="16"/>
      <c r="BVZ71" s="16"/>
      <c r="BWA71" s="16"/>
      <c r="BWB71" s="16"/>
      <c r="BWC71" s="16"/>
      <c r="BWD71" s="16"/>
      <c r="BWE71" s="16"/>
      <c r="BWF71" s="16"/>
      <c r="BWG71" s="16"/>
      <c r="BWH71" s="16"/>
      <c r="BWI71" s="16"/>
      <c r="BWJ71" s="16"/>
      <c r="BWK71" s="16"/>
      <c r="BWL71" s="16"/>
      <c r="BWM71" s="16"/>
      <c r="BWN71" s="16"/>
      <c r="BWO71" s="16"/>
      <c r="BWP71" s="16"/>
      <c r="BWQ71" s="16"/>
      <c r="BWR71" s="16"/>
      <c r="BWS71" s="16"/>
      <c r="BWT71" s="16"/>
      <c r="BWU71" s="16"/>
      <c r="BWV71" s="16"/>
      <c r="BWW71" s="16"/>
      <c r="BWX71" s="16"/>
      <c r="BWY71" s="16"/>
      <c r="BWZ71" s="16"/>
      <c r="BXA71" s="16"/>
      <c r="BXB71" s="16"/>
      <c r="BXC71" s="16"/>
      <c r="BXD71" s="16"/>
      <c r="BXE71" s="16"/>
      <c r="BXF71" s="16"/>
      <c r="BXG71" s="16"/>
      <c r="BXH71" s="16"/>
      <c r="BXI71" s="16"/>
      <c r="BXJ71" s="16"/>
      <c r="BXK71" s="16"/>
      <c r="BXL71" s="16"/>
      <c r="BXM71" s="16"/>
      <c r="BXN71" s="16"/>
      <c r="BXO71" s="16"/>
      <c r="BXP71" s="16"/>
      <c r="BXQ71" s="16"/>
      <c r="BXR71" s="16"/>
      <c r="BXS71" s="16"/>
      <c r="BXT71" s="16"/>
      <c r="BXU71" s="16"/>
      <c r="BXV71" s="16"/>
      <c r="BXW71" s="16"/>
      <c r="BXX71" s="16"/>
      <c r="BXY71" s="16"/>
      <c r="BXZ71" s="16"/>
      <c r="BYA71" s="16"/>
      <c r="BYB71" s="16"/>
      <c r="BYC71" s="16"/>
      <c r="BYD71" s="16"/>
      <c r="BYE71" s="16"/>
      <c r="BYF71" s="16"/>
      <c r="BYG71" s="16"/>
      <c r="BYH71" s="16"/>
      <c r="BYI71" s="16"/>
      <c r="BYJ71" s="16"/>
      <c r="BYK71" s="16"/>
      <c r="BYL71" s="16"/>
      <c r="BYM71" s="16"/>
      <c r="BYN71" s="16"/>
      <c r="BYO71" s="16"/>
      <c r="BYP71" s="16"/>
      <c r="BYQ71" s="16"/>
      <c r="BYR71" s="16"/>
      <c r="BYS71" s="16"/>
      <c r="BYT71" s="16"/>
      <c r="BYU71" s="16"/>
      <c r="BYV71" s="16"/>
      <c r="BYW71" s="16"/>
      <c r="BYX71" s="16"/>
      <c r="BYY71" s="16"/>
      <c r="BYZ71" s="16"/>
      <c r="BZA71" s="16"/>
      <c r="BZB71" s="16"/>
      <c r="BZC71" s="16"/>
      <c r="BZD71" s="16"/>
      <c r="BZE71" s="16"/>
      <c r="BZF71" s="16"/>
      <c r="BZG71" s="16"/>
      <c r="BZH71" s="16"/>
      <c r="BZI71" s="16"/>
      <c r="BZJ71" s="16"/>
      <c r="BZK71" s="16"/>
      <c r="BZL71" s="16"/>
      <c r="BZM71" s="16"/>
      <c r="BZN71" s="16"/>
      <c r="BZO71" s="16"/>
      <c r="BZP71" s="16"/>
      <c r="BZQ71" s="16"/>
      <c r="BZR71" s="16"/>
      <c r="BZS71" s="16"/>
      <c r="BZT71" s="16"/>
      <c r="BZU71" s="16"/>
      <c r="BZV71" s="16"/>
      <c r="BZW71" s="16"/>
      <c r="BZX71" s="16"/>
      <c r="BZY71" s="16"/>
      <c r="BZZ71" s="16"/>
      <c r="CAA71" s="16"/>
      <c r="CAB71" s="16"/>
      <c r="CAC71" s="16"/>
      <c r="CAD71" s="16"/>
      <c r="CAE71" s="16"/>
      <c r="CAF71" s="16"/>
      <c r="CAG71" s="16"/>
      <c r="CAH71" s="16"/>
      <c r="CAI71" s="16"/>
      <c r="CAJ71" s="16"/>
      <c r="CAK71" s="16"/>
      <c r="CAL71" s="16"/>
      <c r="CAM71" s="16"/>
      <c r="CAN71" s="16"/>
      <c r="CAO71" s="16"/>
      <c r="CAP71" s="16"/>
      <c r="CAQ71" s="16"/>
      <c r="CAR71" s="16"/>
      <c r="CAS71" s="16"/>
      <c r="CAT71" s="16"/>
      <c r="CAU71" s="16"/>
      <c r="CAV71" s="16"/>
      <c r="CAW71" s="16"/>
      <c r="CAX71" s="16"/>
      <c r="CAY71" s="16"/>
      <c r="CAZ71" s="16"/>
      <c r="CBA71" s="16"/>
      <c r="CBB71" s="16"/>
      <c r="CBC71" s="16"/>
      <c r="CBD71" s="16"/>
      <c r="CBE71" s="16"/>
      <c r="CBF71" s="16"/>
      <c r="CBG71" s="16"/>
      <c r="CBH71" s="16"/>
      <c r="CBI71" s="16"/>
      <c r="CBJ71" s="16"/>
      <c r="CBK71" s="16"/>
      <c r="CBL71" s="16"/>
      <c r="CBM71" s="16"/>
      <c r="CBN71" s="16"/>
      <c r="CBO71" s="16"/>
      <c r="CBP71" s="16"/>
      <c r="CBQ71" s="16"/>
      <c r="CBR71" s="16"/>
      <c r="CBS71" s="16"/>
      <c r="CBT71" s="16"/>
      <c r="CBU71" s="16"/>
      <c r="CBV71" s="16"/>
      <c r="CBW71" s="16"/>
      <c r="CBX71" s="16"/>
      <c r="CBY71" s="16"/>
      <c r="CBZ71" s="16"/>
      <c r="CCA71" s="16"/>
      <c r="CCB71" s="16"/>
      <c r="CCC71" s="16"/>
      <c r="CCD71" s="16"/>
      <c r="CCE71" s="16"/>
      <c r="CCF71" s="16"/>
      <c r="CCG71" s="16"/>
      <c r="CCH71" s="16"/>
      <c r="CCI71" s="16"/>
      <c r="CCJ71" s="16"/>
      <c r="CCK71" s="16"/>
      <c r="CCL71" s="16"/>
      <c r="CCM71" s="16"/>
      <c r="CCN71" s="16"/>
      <c r="CCO71" s="16"/>
      <c r="CCP71" s="16"/>
      <c r="CCQ71" s="16"/>
      <c r="CCR71" s="16"/>
      <c r="CCS71" s="16"/>
      <c r="CCT71" s="16"/>
      <c r="CCU71" s="16"/>
      <c r="CCV71" s="16"/>
      <c r="CCW71" s="16"/>
      <c r="CCX71" s="16"/>
      <c r="CCY71" s="16"/>
      <c r="CCZ71" s="16"/>
      <c r="CDA71" s="16"/>
      <c r="CDB71" s="16"/>
      <c r="CDC71" s="16"/>
      <c r="CDD71" s="16"/>
      <c r="CDE71" s="16"/>
      <c r="CDF71" s="16"/>
      <c r="CDG71" s="16"/>
      <c r="CDH71" s="16"/>
      <c r="CDI71" s="16"/>
      <c r="CDJ71" s="16"/>
      <c r="CDK71" s="16"/>
      <c r="CDL71" s="16"/>
      <c r="CDM71" s="16"/>
      <c r="CDN71" s="16"/>
      <c r="CDO71" s="16"/>
      <c r="CDP71" s="16"/>
      <c r="CDQ71" s="16"/>
      <c r="CDR71" s="16"/>
      <c r="CDS71" s="16"/>
      <c r="CDT71" s="16"/>
      <c r="CDU71" s="16"/>
      <c r="CDV71" s="16"/>
      <c r="CDW71" s="16"/>
      <c r="CDX71" s="16"/>
      <c r="CDY71" s="16"/>
      <c r="CDZ71" s="16"/>
      <c r="CEA71" s="16"/>
      <c r="CEB71" s="16"/>
      <c r="CEC71" s="16"/>
      <c r="CED71" s="16"/>
      <c r="CEE71" s="16"/>
      <c r="CEF71" s="16"/>
      <c r="CEG71" s="16"/>
      <c r="CEH71" s="16"/>
      <c r="CEI71" s="16"/>
      <c r="CEJ71" s="16"/>
      <c r="CEK71" s="16"/>
      <c r="CEL71" s="16"/>
      <c r="CEM71" s="16"/>
      <c r="CEN71" s="16"/>
      <c r="CEO71" s="16"/>
      <c r="CEP71" s="16"/>
      <c r="CEQ71" s="16"/>
      <c r="CER71" s="16"/>
      <c r="CES71" s="16"/>
      <c r="CET71" s="16"/>
      <c r="CEU71" s="16"/>
      <c r="CEV71" s="16"/>
      <c r="CEW71" s="16"/>
      <c r="CEX71" s="16"/>
      <c r="CEY71" s="16"/>
      <c r="CEZ71" s="16"/>
      <c r="CFA71" s="16"/>
      <c r="CFB71" s="16"/>
      <c r="CFC71" s="16"/>
      <c r="CFD71" s="16"/>
      <c r="CFE71" s="16"/>
      <c r="CFF71" s="16"/>
      <c r="CFG71" s="16"/>
      <c r="CFH71" s="16"/>
      <c r="CFI71" s="16"/>
      <c r="CFJ71" s="16"/>
      <c r="CFK71" s="16"/>
      <c r="CFL71" s="16"/>
      <c r="CFM71" s="16"/>
      <c r="CFN71" s="16"/>
      <c r="CFO71" s="16"/>
      <c r="CFP71" s="16"/>
      <c r="CFQ71" s="16"/>
      <c r="CFR71" s="16"/>
      <c r="CFS71" s="16"/>
      <c r="CFT71" s="16"/>
      <c r="CFU71" s="16"/>
      <c r="CFV71" s="16"/>
      <c r="CFW71" s="16"/>
      <c r="CFX71" s="16"/>
      <c r="CFY71" s="16"/>
      <c r="CFZ71" s="16"/>
      <c r="CGA71" s="16"/>
      <c r="CGB71" s="16"/>
      <c r="CGC71" s="16"/>
      <c r="CGD71" s="16"/>
      <c r="CGE71" s="16"/>
      <c r="CGF71" s="16"/>
      <c r="CGG71" s="16"/>
      <c r="CGH71" s="16"/>
      <c r="CGI71" s="16"/>
      <c r="CGJ71" s="16"/>
      <c r="CGK71" s="16"/>
      <c r="CGL71" s="16"/>
      <c r="CGM71" s="16"/>
      <c r="CGN71" s="16"/>
      <c r="CGO71" s="16"/>
      <c r="CGP71" s="16"/>
      <c r="CGQ71" s="16"/>
      <c r="CGR71" s="16"/>
      <c r="CGS71" s="16"/>
      <c r="CGT71" s="16"/>
      <c r="CGU71" s="16"/>
      <c r="CGV71" s="16"/>
      <c r="CGW71" s="16"/>
      <c r="CGX71" s="16"/>
      <c r="CGY71" s="16"/>
      <c r="CGZ71" s="16"/>
      <c r="CHA71" s="16"/>
      <c r="CHB71" s="16"/>
      <c r="CHC71" s="16"/>
      <c r="CHD71" s="16"/>
      <c r="CHE71" s="16"/>
      <c r="CHF71" s="16"/>
      <c r="CHG71" s="16"/>
      <c r="CHH71" s="16"/>
      <c r="CHI71" s="16"/>
      <c r="CHJ71" s="16"/>
      <c r="CHK71" s="16"/>
      <c r="CHL71" s="16"/>
      <c r="CHM71" s="16"/>
      <c r="CHN71" s="16"/>
      <c r="CHO71" s="16"/>
      <c r="CHP71" s="16"/>
      <c r="CHQ71" s="16"/>
      <c r="CHR71" s="16"/>
      <c r="CHS71" s="16"/>
      <c r="CHT71" s="16"/>
      <c r="CHU71" s="16"/>
      <c r="CHV71" s="16"/>
      <c r="CHW71" s="16"/>
      <c r="CHX71" s="16"/>
      <c r="CHY71" s="16"/>
      <c r="CHZ71" s="16"/>
      <c r="CIA71" s="16"/>
      <c r="CIB71" s="16"/>
      <c r="CIC71" s="16"/>
      <c r="CID71" s="16"/>
      <c r="CIE71" s="16"/>
      <c r="CIF71" s="16"/>
      <c r="CIG71" s="16"/>
      <c r="CIH71" s="16"/>
      <c r="CII71" s="16"/>
      <c r="CIJ71" s="16"/>
      <c r="CIK71" s="16"/>
      <c r="CIL71" s="16"/>
      <c r="CIM71" s="16"/>
      <c r="CIN71" s="16"/>
      <c r="CIO71" s="16"/>
      <c r="CIP71" s="16"/>
      <c r="CIQ71" s="16"/>
      <c r="CIR71" s="16"/>
      <c r="CIS71" s="16"/>
      <c r="CIT71" s="16"/>
      <c r="CIU71" s="16"/>
      <c r="CIV71" s="16"/>
      <c r="CIW71" s="16"/>
      <c r="CIX71" s="16"/>
      <c r="CIY71" s="16"/>
      <c r="CIZ71" s="16"/>
      <c r="CJA71" s="16"/>
      <c r="CJB71" s="16"/>
      <c r="CJC71" s="16"/>
      <c r="CJD71" s="16"/>
      <c r="CJE71" s="16"/>
      <c r="CJF71" s="16"/>
      <c r="CJG71" s="16"/>
      <c r="CJH71" s="16"/>
      <c r="CJI71" s="16"/>
      <c r="CJJ71" s="16"/>
      <c r="CJK71" s="16"/>
      <c r="CJL71" s="16"/>
      <c r="CJM71" s="16"/>
      <c r="CJN71" s="16"/>
      <c r="CJO71" s="16"/>
      <c r="CJP71" s="16"/>
      <c r="CJQ71" s="16"/>
      <c r="CJR71" s="16"/>
      <c r="CJS71" s="16"/>
      <c r="CJT71" s="16"/>
      <c r="CJU71" s="16"/>
      <c r="CJV71" s="16"/>
      <c r="CJW71" s="16"/>
      <c r="CJX71" s="16"/>
      <c r="CJY71" s="16"/>
      <c r="CJZ71" s="16"/>
      <c r="CKA71" s="16"/>
      <c r="CKB71" s="16"/>
      <c r="CKC71" s="16"/>
      <c r="CKD71" s="16"/>
      <c r="CKE71" s="16"/>
      <c r="CKF71" s="16"/>
      <c r="CKG71" s="16"/>
      <c r="CKH71" s="16"/>
      <c r="CKI71" s="16"/>
      <c r="CKJ71" s="16"/>
      <c r="CKK71" s="16"/>
      <c r="CKL71" s="16"/>
      <c r="CKM71" s="16"/>
      <c r="CKN71" s="16"/>
      <c r="CKO71" s="16"/>
      <c r="CKP71" s="16"/>
      <c r="CKQ71" s="16"/>
      <c r="CKR71" s="16"/>
      <c r="CKS71" s="16"/>
      <c r="CKT71" s="16"/>
      <c r="CKU71" s="16"/>
      <c r="CKV71" s="16"/>
      <c r="CKW71" s="16"/>
      <c r="CKX71" s="16"/>
      <c r="CKY71" s="16"/>
      <c r="CKZ71" s="16"/>
      <c r="CLA71" s="16"/>
      <c r="CLB71" s="16"/>
      <c r="CLC71" s="16"/>
      <c r="CLD71" s="16"/>
      <c r="CLE71" s="16"/>
      <c r="CLF71" s="16"/>
      <c r="CLG71" s="16"/>
      <c r="CLH71" s="16"/>
      <c r="CLI71" s="16"/>
      <c r="CLJ71" s="16"/>
      <c r="CLK71" s="16"/>
      <c r="CLL71" s="16"/>
      <c r="CLM71" s="16"/>
      <c r="CLN71" s="16"/>
      <c r="CLO71" s="16"/>
      <c r="CLP71" s="16"/>
      <c r="CLQ71" s="16"/>
      <c r="CLR71" s="16"/>
      <c r="CLS71" s="16"/>
      <c r="CLT71" s="16"/>
      <c r="CLU71" s="16"/>
      <c r="CLV71" s="16"/>
      <c r="CLW71" s="16"/>
      <c r="CLX71" s="16"/>
      <c r="CLY71" s="16"/>
      <c r="CLZ71" s="16"/>
      <c r="CMA71" s="16"/>
      <c r="CMB71" s="16"/>
      <c r="CMC71" s="16"/>
      <c r="CMD71" s="16"/>
      <c r="CME71" s="16"/>
      <c r="CMF71" s="16"/>
      <c r="CMG71" s="16"/>
      <c r="CMH71" s="16"/>
      <c r="CMI71" s="16"/>
      <c r="CMJ71" s="16"/>
      <c r="CMK71" s="16"/>
      <c r="CML71" s="16"/>
      <c r="CMM71" s="16"/>
      <c r="CMN71" s="16"/>
      <c r="CMO71" s="16"/>
      <c r="CMP71" s="16"/>
      <c r="CMQ71" s="16"/>
      <c r="CMR71" s="16"/>
      <c r="CMS71" s="16"/>
      <c r="CMT71" s="16"/>
      <c r="CMU71" s="16"/>
      <c r="CMV71" s="16"/>
      <c r="CMW71" s="16"/>
      <c r="CMX71" s="16"/>
      <c r="CMY71" s="16"/>
      <c r="CMZ71" s="16"/>
      <c r="CNA71" s="16"/>
      <c r="CNB71" s="16"/>
      <c r="CNC71" s="16"/>
      <c r="CND71" s="16"/>
      <c r="CNE71" s="16"/>
      <c r="CNF71" s="16"/>
      <c r="CNG71" s="16"/>
      <c r="CNH71" s="16"/>
      <c r="CNI71" s="16"/>
      <c r="CNJ71" s="16"/>
      <c r="CNK71" s="16"/>
      <c r="CNL71" s="16"/>
      <c r="CNM71" s="16"/>
      <c r="CNN71" s="16"/>
      <c r="CNO71" s="16"/>
      <c r="CNP71" s="16"/>
      <c r="CNQ71" s="16"/>
      <c r="CNR71" s="16"/>
      <c r="CNS71" s="16"/>
      <c r="CNT71" s="16"/>
      <c r="CNU71" s="16"/>
      <c r="CNV71" s="16"/>
      <c r="CNW71" s="16"/>
      <c r="CNX71" s="16"/>
      <c r="CNY71" s="16"/>
      <c r="CNZ71" s="16"/>
      <c r="COA71" s="16"/>
      <c r="COB71" s="16"/>
      <c r="COC71" s="16"/>
      <c r="COD71" s="16"/>
      <c r="COE71" s="16"/>
      <c r="COF71" s="16"/>
      <c r="COG71" s="16"/>
      <c r="COH71" s="16"/>
      <c r="COI71" s="16"/>
      <c r="COJ71" s="16"/>
      <c r="COK71" s="16"/>
      <c r="COL71" s="16"/>
      <c r="COM71" s="16"/>
      <c r="CON71" s="16"/>
      <c r="COO71" s="16"/>
      <c r="COP71" s="16"/>
      <c r="COQ71" s="16"/>
      <c r="COR71" s="16"/>
      <c r="COS71" s="16"/>
      <c r="COT71" s="16"/>
      <c r="COU71" s="16"/>
      <c r="COV71" s="16"/>
      <c r="COW71" s="16"/>
      <c r="COX71" s="16"/>
      <c r="COY71" s="16"/>
      <c r="COZ71" s="16"/>
      <c r="CPA71" s="16"/>
      <c r="CPB71" s="16"/>
      <c r="CPC71" s="16"/>
      <c r="CPD71" s="16"/>
      <c r="CPE71" s="16"/>
      <c r="CPF71" s="16"/>
      <c r="CPG71" s="16"/>
      <c r="CPH71" s="16"/>
      <c r="CPI71" s="16"/>
      <c r="CPJ71" s="16"/>
      <c r="CPK71" s="16"/>
      <c r="CPL71" s="16"/>
      <c r="CPM71" s="16"/>
      <c r="CPN71" s="16"/>
      <c r="CPO71" s="16"/>
      <c r="CPP71" s="16"/>
      <c r="CPQ71" s="16"/>
      <c r="CPR71" s="16"/>
      <c r="CPS71" s="16"/>
      <c r="CPT71" s="16"/>
      <c r="CPU71" s="16"/>
      <c r="CPV71" s="16"/>
      <c r="CPW71" s="16"/>
      <c r="CPX71" s="16"/>
      <c r="CPY71" s="16"/>
      <c r="CPZ71" s="16"/>
      <c r="CQA71" s="16"/>
      <c r="CQB71" s="16"/>
      <c r="CQC71" s="16"/>
      <c r="CQD71" s="16"/>
      <c r="CQE71" s="16"/>
      <c r="CQF71" s="16"/>
      <c r="CQG71" s="16"/>
      <c r="CQH71" s="16"/>
      <c r="CQI71" s="16"/>
      <c r="CQJ71" s="16"/>
      <c r="CQK71" s="16"/>
      <c r="CQL71" s="16"/>
      <c r="CQM71" s="16"/>
      <c r="CQN71" s="16"/>
      <c r="CQO71" s="16"/>
      <c r="CQP71" s="16"/>
      <c r="CQQ71" s="16"/>
      <c r="CQR71" s="16"/>
      <c r="CQS71" s="16"/>
      <c r="CQT71" s="16"/>
      <c r="CQU71" s="16"/>
      <c r="CQV71" s="16"/>
      <c r="CQW71" s="16"/>
      <c r="CQX71" s="16"/>
      <c r="CQY71" s="16"/>
      <c r="CQZ71" s="16"/>
      <c r="CRA71" s="16"/>
      <c r="CRB71" s="16"/>
      <c r="CRC71" s="16"/>
      <c r="CRD71" s="16"/>
      <c r="CRE71" s="16"/>
      <c r="CRF71" s="16"/>
      <c r="CRG71" s="16"/>
      <c r="CRH71" s="16"/>
      <c r="CRI71" s="16"/>
      <c r="CRJ71" s="16"/>
      <c r="CRK71" s="16"/>
      <c r="CRL71" s="16"/>
      <c r="CRM71" s="16"/>
      <c r="CRN71" s="16"/>
      <c r="CRO71" s="16"/>
      <c r="CRP71" s="16"/>
      <c r="CRQ71" s="16"/>
      <c r="CRR71" s="16"/>
      <c r="CRS71" s="16"/>
      <c r="CRT71" s="16"/>
      <c r="CRU71" s="16"/>
      <c r="CRV71" s="16"/>
      <c r="CRW71" s="16"/>
      <c r="CRX71" s="16"/>
      <c r="CRY71" s="16"/>
      <c r="CRZ71" s="16"/>
      <c r="CSA71" s="16"/>
      <c r="CSB71" s="16"/>
      <c r="CSC71" s="16"/>
      <c r="CSD71" s="16"/>
      <c r="CSE71" s="16"/>
      <c r="CSF71" s="16"/>
      <c r="CSG71" s="16"/>
      <c r="CSH71" s="16"/>
      <c r="CSI71" s="16"/>
      <c r="CSJ71" s="16"/>
      <c r="CSK71" s="16"/>
      <c r="CSL71" s="16"/>
      <c r="CSM71" s="16"/>
      <c r="CSN71" s="16"/>
      <c r="CSO71" s="16"/>
      <c r="CSP71" s="16"/>
      <c r="CSQ71" s="16"/>
      <c r="CSR71" s="16"/>
      <c r="CSS71" s="16"/>
      <c r="CST71" s="16"/>
      <c r="CSU71" s="16"/>
      <c r="CSV71" s="16"/>
      <c r="CSW71" s="16"/>
      <c r="CSX71" s="16"/>
      <c r="CSY71" s="16"/>
      <c r="CSZ71" s="16"/>
      <c r="CTA71" s="16"/>
      <c r="CTB71" s="16"/>
      <c r="CTC71" s="16"/>
      <c r="CTD71" s="16"/>
      <c r="CTE71" s="16"/>
      <c r="CTF71" s="16"/>
      <c r="CTG71" s="16"/>
      <c r="CTH71" s="16"/>
      <c r="CTI71" s="16"/>
      <c r="CTJ71" s="16"/>
      <c r="CTK71" s="16"/>
      <c r="CTL71" s="16"/>
      <c r="CTM71" s="16"/>
      <c r="CTN71" s="16"/>
      <c r="CTO71" s="16"/>
      <c r="CTP71" s="16"/>
      <c r="CTQ71" s="16"/>
      <c r="CTR71" s="16"/>
      <c r="CTS71" s="16"/>
      <c r="CTT71" s="16"/>
      <c r="CTU71" s="16"/>
      <c r="CTV71" s="16"/>
      <c r="CTW71" s="16"/>
      <c r="CTX71" s="16"/>
      <c r="CTY71" s="16"/>
      <c r="CTZ71" s="16"/>
      <c r="CUA71" s="16"/>
      <c r="CUB71" s="16"/>
      <c r="CUC71" s="16"/>
      <c r="CUD71" s="16"/>
      <c r="CUE71" s="16"/>
      <c r="CUF71" s="16"/>
      <c r="CUG71" s="16"/>
      <c r="CUH71" s="16"/>
      <c r="CUI71" s="16"/>
      <c r="CUJ71" s="16"/>
      <c r="CUK71" s="16"/>
      <c r="CUL71" s="16"/>
      <c r="CUM71" s="16"/>
      <c r="CUN71" s="16"/>
      <c r="CUO71" s="16"/>
      <c r="CUP71" s="16"/>
      <c r="CUQ71" s="16"/>
      <c r="CUR71" s="16"/>
      <c r="CUS71" s="16"/>
      <c r="CUT71" s="16"/>
      <c r="CUU71" s="16"/>
      <c r="CUV71" s="16"/>
      <c r="CUW71" s="16"/>
      <c r="CUX71" s="16"/>
      <c r="CUY71" s="16"/>
      <c r="CUZ71" s="16"/>
      <c r="CVA71" s="16"/>
      <c r="CVB71" s="16"/>
      <c r="CVC71" s="16"/>
      <c r="CVD71" s="16"/>
      <c r="CVE71" s="16"/>
      <c r="CVF71" s="16"/>
      <c r="CVG71" s="16"/>
      <c r="CVH71" s="16"/>
      <c r="CVI71" s="16"/>
      <c r="CVJ71" s="16"/>
      <c r="CVK71" s="16"/>
      <c r="CVL71" s="16"/>
      <c r="CVM71" s="16"/>
      <c r="CVN71" s="16"/>
      <c r="CVO71" s="16"/>
      <c r="CVP71" s="16"/>
      <c r="CVQ71" s="16"/>
      <c r="CVR71" s="16"/>
      <c r="CVS71" s="16"/>
      <c r="CVT71" s="16"/>
      <c r="CVU71" s="16"/>
      <c r="CVV71" s="16"/>
      <c r="CVW71" s="16"/>
      <c r="CVX71" s="16"/>
      <c r="CVY71" s="16"/>
      <c r="CVZ71" s="16"/>
      <c r="CWA71" s="16"/>
      <c r="CWB71" s="16"/>
      <c r="CWC71" s="16"/>
      <c r="CWD71" s="16"/>
      <c r="CWE71" s="16"/>
      <c r="CWF71" s="16"/>
      <c r="CWG71" s="16"/>
      <c r="CWH71" s="16"/>
      <c r="CWI71" s="16"/>
      <c r="CWJ71" s="16"/>
      <c r="CWK71" s="16"/>
      <c r="CWL71" s="16"/>
      <c r="CWM71" s="16"/>
      <c r="CWN71" s="16"/>
      <c r="CWO71" s="16"/>
      <c r="CWP71" s="16"/>
      <c r="CWQ71" s="16"/>
      <c r="CWR71" s="16"/>
      <c r="CWS71" s="16"/>
      <c r="CWT71" s="16"/>
      <c r="CWU71" s="16"/>
      <c r="CWV71" s="16"/>
      <c r="CWW71" s="16"/>
      <c r="CWX71" s="16"/>
      <c r="CWY71" s="16"/>
      <c r="CWZ71" s="16"/>
      <c r="CXA71" s="16"/>
      <c r="CXB71" s="16"/>
      <c r="CXC71" s="16"/>
      <c r="CXD71" s="16"/>
      <c r="CXE71" s="16"/>
      <c r="CXF71" s="16"/>
      <c r="CXG71" s="16"/>
      <c r="CXH71" s="16"/>
      <c r="CXI71" s="16"/>
      <c r="CXJ71" s="16"/>
      <c r="CXK71" s="16"/>
      <c r="CXL71" s="16"/>
      <c r="CXM71" s="16"/>
      <c r="CXN71" s="16"/>
      <c r="CXO71" s="16"/>
      <c r="CXP71" s="16"/>
      <c r="CXQ71" s="16"/>
      <c r="CXR71" s="16"/>
      <c r="CXS71" s="16"/>
      <c r="CXT71" s="16"/>
      <c r="CXU71" s="16"/>
      <c r="CXV71" s="16"/>
      <c r="CXW71" s="16"/>
      <c r="CXX71" s="16"/>
      <c r="CXY71" s="16"/>
      <c r="CXZ71" s="16"/>
      <c r="CYA71" s="16"/>
      <c r="CYB71" s="16"/>
      <c r="CYC71" s="16"/>
      <c r="CYD71" s="16"/>
      <c r="CYE71" s="16"/>
      <c r="CYF71" s="16"/>
      <c r="CYG71" s="16"/>
      <c r="CYH71" s="16"/>
      <c r="CYI71" s="16"/>
      <c r="CYJ71" s="16"/>
      <c r="CYK71" s="16"/>
      <c r="CYL71" s="16"/>
      <c r="CYM71" s="16"/>
      <c r="CYN71" s="16"/>
      <c r="CYO71" s="16"/>
      <c r="CYP71" s="16"/>
      <c r="CYQ71" s="16"/>
      <c r="CYR71" s="16"/>
      <c r="CYS71" s="16"/>
      <c r="CYT71" s="16"/>
      <c r="CYU71" s="16"/>
      <c r="CYV71" s="16"/>
      <c r="CYW71" s="16"/>
      <c r="CYX71" s="16"/>
      <c r="CYY71" s="16"/>
      <c r="CYZ71" s="16"/>
      <c r="CZA71" s="16"/>
      <c r="CZB71" s="16"/>
      <c r="CZC71" s="16"/>
      <c r="CZD71" s="16"/>
      <c r="CZE71" s="16"/>
      <c r="CZF71" s="16"/>
      <c r="CZG71" s="16"/>
      <c r="CZH71" s="16"/>
      <c r="CZI71" s="16"/>
      <c r="CZJ71" s="16"/>
      <c r="CZK71" s="16"/>
      <c r="CZL71" s="16"/>
      <c r="CZM71" s="16"/>
      <c r="CZN71" s="16"/>
      <c r="CZO71" s="16"/>
      <c r="CZP71" s="16"/>
      <c r="CZQ71" s="16"/>
      <c r="CZR71" s="16"/>
      <c r="CZS71" s="16"/>
      <c r="CZT71" s="16"/>
      <c r="CZU71" s="16"/>
      <c r="CZV71" s="16"/>
      <c r="CZW71" s="16"/>
      <c r="CZX71" s="16"/>
      <c r="CZY71" s="16"/>
      <c r="CZZ71" s="16"/>
      <c r="DAA71" s="16"/>
      <c r="DAB71" s="16"/>
      <c r="DAC71" s="16"/>
      <c r="DAD71" s="16"/>
      <c r="DAE71" s="16"/>
      <c r="DAF71" s="16"/>
      <c r="DAG71" s="16"/>
      <c r="DAH71" s="16"/>
      <c r="DAI71" s="16"/>
      <c r="DAJ71" s="16"/>
      <c r="DAK71" s="16"/>
      <c r="DAL71" s="16"/>
      <c r="DAM71" s="16"/>
      <c r="DAN71" s="16"/>
      <c r="DAO71" s="16"/>
      <c r="DAP71" s="16"/>
      <c r="DAQ71" s="16"/>
      <c r="DAR71" s="16"/>
      <c r="DAS71" s="16"/>
      <c r="DAT71" s="16"/>
      <c r="DAU71" s="16"/>
      <c r="DAV71" s="16"/>
      <c r="DAW71" s="16"/>
      <c r="DAX71" s="16"/>
      <c r="DAY71" s="16"/>
      <c r="DAZ71" s="16"/>
      <c r="DBA71" s="16"/>
      <c r="DBB71" s="16"/>
      <c r="DBC71" s="16"/>
      <c r="DBD71" s="16"/>
      <c r="DBE71" s="16"/>
      <c r="DBF71" s="16"/>
      <c r="DBG71" s="16"/>
      <c r="DBH71" s="16"/>
      <c r="DBI71" s="16"/>
      <c r="DBJ71" s="16"/>
      <c r="DBK71" s="16"/>
      <c r="DBL71" s="16"/>
      <c r="DBM71" s="16"/>
      <c r="DBN71" s="16"/>
      <c r="DBO71" s="16"/>
      <c r="DBP71" s="16"/>
      <c r="DBQ71" s="16"/>
      <c r="DBR71" s="16"/>
      <c r="DBS71" s="16"/>
      <c r="DBT71" s="16"/>
      <c r="DBU71" s="16"/>
      <c r="DBV71" s="16"/>
      <c r="DBW71" s="16"/>
      <c r="DBX71" s="16"/>
      <c r="DBY71" s="16"/>
      <c r="DBZ71" s="16"/>
      <c r="DCA71" s="16"/>
      <c r="DCB71" s="16"/>
      <c r="DCC71" s="16"/>
      <c r="DCD71" s="16"/>
      <c r="DCE71" s="16"/>
      <c r="DCF71" s="16"/>
      <c r="DCG71" s="16"/>
      <c r="DCH71" s="16"/>
      <c r="DCI71" s="16"/>
      <c r="DCJ71" s="16"/>
      <c r="DCK71" s="16"/>
      <c r="DCL71" s="16"/>
      <c r="DCM71" s="16"/>
      <c r="DCN71" s="16"/>
      <c r="DCO71" s="16"/>
      <c r="DCP71" s="16"/>
      <c r="DCQ71" s="16"/>
      <c r="DCR71" s="16"/>
      <c r="DCS71" s="16"/>
      <c r="DCT71" s="16"/>
      <c r="DCU71" s="16"/>
      <c r="DCV71" s="16"/>
      <c r="DCW71" s="16"/>
      <c r="DCX71" s="16"/>
      <c r="DCY71" s="16"/>
      <c r="DCZ71" s="16"/>
      <c r="DDA71" s="16"/>
      <c r="DDB71" s="16"/>
      <c r="DDC71" s="16"/>
      <c r="DDD71" s="16"/>
      <c r="DDE71" s="16"/>
      <c r="DDF71" s="16"/>
      <c r="DDG71" s="16"/>
      <c r="DDH71" s="16"/>
      <c r="DDI71" s="16"/>
      <c r="DDJ71" s="16"/>
      <c r="DDK71" s="16"/>
      <c r="DDL71" s="16"/>
      <c r="DDM71" s="16"/>
      <c r="DDN71" s="16"/>
      <c r="DDO71" s="16"/>
      <c r="DDP71" s="16"/>
      <c r="DDQ71" s="16"/>
      <c r="DDR71" s="16"/>
      <c r="DDS71" s="16"/>
      <c r="DDT71" s="16"/>
      <c r="DDU71" s="16"/>
      <c r="DDV71" s="16"/>
      <c r="DDW71" s="16"/>
      <c r="DDX71" s="16"/>
      <c r="DDY71" s="16"/>
      <c r="DDZ71" s="16"/>
      <c r="DEA71" s="16"/>
      <c r="DEB71" s="16"/>
      <c r="DEC71" s="16"/>
      <c r="DED71" s="16"/>
      <c r="DEE71" s="16"/>
      <c r="DEF71" s="16"/>
      <c r="DEG71" s="16"/>
      <c r="DEH71" s="16"/>
      <c r="DEI71" s="16"/>
      <c r="DEJ71" s="16"/>
      <c r="DEK71" s="16"/>
      <c r="DEL71" s="16"/>
      <c r="DEM71" s="16"/>
      <c r="DEN71" s="16"/>
      <c r="DEO71" s="16"/>
      <c r="DEP71" s="16"/>
      <c r="DEQ71" s="16"/>
      <c r="DER71" s="16"/>
      <c r="DES71" s="16"/>
      <c r="DET71" s="16"/>
      <c r="DEU71" s="16"/>
      <c r="DEV71" s="16"/>
      <c r="DEW71" s="16"/>
      <c r="DEX71" s="16"/>
      <c r="DEY71" s="16"/>
      <c r="DEZ71" s="16"/>
      <c r="DFA71" s="16"/>
      <c r="DFB71" s="16"/>
      <c r="DFC71" s="16"/>
      <c r="DFD71" s="16"/>
      <c r="DFE71" s="16"/>
      <c r="DFF71" s="16"/>
      <c r="DFG71" s="16"/>
      <c r="DFH71" s="16"/>
      <c r="DFI71" s="16"/>
      <c r="DFJ71" s="16"/>
      <c r="DFK71" s="16"/>
      <c r="DFL71" s="16"/>
      <c r="DFM71" s="16"/>
      <c r="DFN71" s="16"/>
      <c r="DFO71" s="16"/>
      <c r="DFP71" s="16"/>
      <c r="DFQ71" s="16"/>
      <c r="DFR71" s="16"/>
      <c r="DFS71" s="16"/>
      <c r="DFT71" s="16"/>
      <c r="DFU71" s="16"/>
      <c r="DFV71" s="16"/>
      <c r="DFW71" s="16"/>
      <c r="DFX71" s="16"/>
      <c r="DFY71" s="16"/>
      <c r="DFZ71" s="16"/>
      <c r="DGA71" s="16"/>
      <c r="DGB71" s="16"/>
      <c r="DGC71" s="16"/>
      <c r="DGD71" s="16"/>
      <c r="DGE71" s="16"/>
      <c r="DGF71" s="16"/>
      <c r="DGG71" s="16"/>
      <c r="DGH71" s="16"/>
      <c r="DGI71" s="16"/>
      <c r="DGJ71" s="16"/>
      <c r="DGK71" s="16"/>
      <c r="DGL71" s="16"/>
      <c r="DGM71" s="16"/>
      <c r="DGN71" s="16"/>
      <c r="DGO71" s="16"/>
      <c r="DGP71" s="16"/>
      <c r="DGQ71" s="16"/>
      <c r="DGR71" s="16"/>
      <c r="DGS71" s="16"/>
      <c r="DGT71" s="16"/>
      <c r="DGU71" s="16"/>
      <c r="DGV71" s="16"/>
      <c r="DGW71" s="16"/>
      <c r="DGX71" s="16"/>
      <c r="DGY71" s="16"/>
      <c r="DGZ71" s="16"/>
      <c r="DHA71" s="16"/>
      <c r="DHB71" s="16"/>
      <c r="DHC71" s="16"/>
      <c r="DHD71" s="16"/>
      <c r="DHE71" s="16"/>
      <c r="DHF71" s="16"/>
      <c r="DHG71" s="16"/>
      <c r="DHH71" s="16"/>
      <c r="DHI71" s="16"/>
      <c r="DHJ71" s="16"/>
      <c r="DHK71" s="16"/>
      <c r="DHL71" s="16"/>
      <c r="DHM71" s="16"/>
      <c r="DHN71" s="16"/>
      <c r="DHO71" s="16"/>
      <c r="DHP71" s="16"/>
      <c r="DHQ71" s="16"/>
      <c r="DHR71" s="16"/>
      <c r="DHS71" s="16"/>
      <c r="DHT71" s="16"/>
      <c r="DHU71" s="16"/>
      <c r="DHV71" s="16"/>
      <c r="DHW71" s="16"/>
      <c r="DHX71" s="16"/>
      <c r="DHY71" s="16"/>
      <c r="DHZ71" s="16"/>
      <c r="DIA71" s="16"/>
      <c r="DIB71" s="16"/>
      <c r="DIC71" s="16"/>
      <c r="DID71" s="16"/>
      <c r="DIE71" s="16"/>
      <c r="DIF71" s="16"/>
      <c r="DIG71" s="16"/>
      <c r="DIH71" s="16"/>
      <c r="DII71" s="16"/>
      <c r="DIJ71" s="16"/>
      <c r="DIK71" s="16"/>
      <c r="DIL71" s="16"/>
      <c r="DIM71" s="16"/>
      <c r="DIN71" s="16"/>
      <c r="DIO71" s="16"/>
      <c r="DIP71" s="16"/>
      <c r="DIQ71" s="16"/>
      <c r="DIR71" s="16"/>
      <c r="DIS71" s="16"/>
      <c r="DIT71" s="16"/>
      <c r="DIU71" s="16"/>
      <c r="DIV71" s="16"/>
      <c r="DIW71" s="16"/>
      <c r="DIX71" s="16"/>
      <c r="DIY71" s="16"/>
      <c r="DIZ71" s="16"/>
      <c r="DJA71" s="16"/>
      <c r="DJB71" s="16"/>
      <c r="DJC71" s="16"/>
      <c r="DJD71" s="16"/>
      <c r="DJE71" s="16"/>
      <c r="DJF71" s="16"/>
      <c r="DJG71" s="16"/>
      <c r="DJH71" s="16"/>
      <c r="DJI71" s="16"/>
      <c r="DJJ71" s="16"/>
      <c r="DJK71" s="16"/>
      <c r="DJL71" s="16"/>
      <c r="DJM71" s="16"/>
      <c r="DJN71" s="16"/>
      <c r="DJO71" s="16"/>
      <c r="DJP71" s="16"/>
      <c r="DJQ71" s="16"/>
      <c r="DJR71" s="16"/>
      <c r="DJS71" s="16"/>
      <c r="DJT71" s="16"/>
      <c r="DJU71" s="16"/>
      <c r="DJV71" s="16"/>
      <c r="DJW71" s="16"/>
      <c r="DJX71" s="16"/>
      <c r="DJY71" s="16"/>
      <c r="DJZ71" s="16"/>
      <c r="DKA71" s="16"/>
      <c r="DKB71" s="16"/>
      <c r="DKC71" s="16"/>
      <c r="DKD71" s="16"/>
      <c r="DKE71" s="16"/>
      <c r="DKF71" s="16"/>
      <c r="DKG71" s="16"/>
      <c r="DKH71" s="16"/>
      <c r="DKI71" s="16"/>
      <c r="DKJ71" s="16"/>
      <c r="DKK71" s="16"/>
      <c r="DKL71" s="16"/>
      <c r="DKM71" s="16"/>
      <c r="DKN71" s="16"/>
      <c r="DKO71" s="16"/>
      <c r="DKP71" s="16"/>
      <c r="DKQ71" s="16"/>
      <c r="DKR71" s="16"/>
      <c r="DKS71" s="16"/>
      <c r="DKT71" s="16"/>
      <c r="DKU71" s="16"/>
      <c r="DKV71" s="16"/>
      <c r="DKW71" s="16"/>
      <c r="DKX71" s="16"/>
      <c r="DKY71" s="16"/>
      <c r="DKZ71" s="16"/>
      <c r="DLA71" s="16"/>
      <c r="DLB71" s="16"/>
      <c r="DLC71" s="16"/>
      <c r="DLD71" s="16"/>
      <c r="DLE71" s="16"/>
      <c r="DLF71" s="16"/>
      <c r="DLG71" s="16"/>
      <c r="DLH71" s="16"/>
      <c r="DLI71" s="16"/>
      <c r="DLJ71" s="16"/>
      <c r="DLK71" s="16"/>
      <c r="DLL71" s="16"/>
      <c r="DLM71" s="16"/>
      <c r="DLN71" s="16"/>
      <c r="DLO71" s="16"/>
      <c r="DLP71" s="16"/>
      <c r="DLQ71" s="16"/>
      <c r="DLR71" s="16"/>
      <c r="DLS71" s="16"/>
      <c r="DLT71" s="16"/>
      <c r="DLU71" s="16"/>
      <c r="DLV71" s="16"/>
      <c r="DLW71" s="16"/>
      <c r="DLX71" s="16"/>
      <c r="DLY71" s="16"/>
      <c r="DLZ71" s="16"/>
      <c r="DMA71" s="16"/>
      <c r="DMB71" s="16"/>
      <c r="DMC71" s="16"/>
      <c r="DMD71" s="16"/>
      <c r="DME71" s="16"/>
      <c r="DMF71" s="16"/>
      <c r="DMG71" s="16"/>
      <c r="DMH71" s="16"/>
      <c r="DMI71" s="16"/>
      <c r="DMJ71" s="16"/>
      <c r="DMK71" s="16"/>
      <c r="DML71" s="16"/>
      <c r="DMM71" s="16"/>
      <c r="DMN71" s="16"/>
      <c r="DMO71" s="16"/>
      <c r="DMP71" s="16"/>
      <c r="DMQ71" s="16"/>
      <c r="DMR71" s="16"/>
      <c r="DMS71" s="16"/>
      <c r="DMT71" s="16"/>
      <c r="DMU71" s="16"/>
      <c r="DMV71" s="16"/>
      <c r="DMW71" s="16"/>
      <c r="DMX71" s="16"/>
      <c r="DMY71" s="16"/>
      <c r="DMZ71" s="16"/>
      <c r="DNA71" s="16"/>
      <c r="DNB71" s="16"/>
      <c r="DNC71" s="16"/>
      <c r="DND71" s="16"/>
      <c r="DNE71" s="16"/>
      <c r="DNF71" s="16"/>
      <c r="DNG71" s="16"/>
      <c r="DNH71" s="16"/>
      <c r="DNI71" s="16"/>
      <c r="DNJ71" s="16"/>
      <c r="DNK71" s="16"/>
      <c r="DNL71" s="16"/>
      <c r="DNM71" s="16"/>
      <c r="DNN71" s="16"/>
      <c r="DNO71" s="16"/>
      <c r="DNP71" s="16"/>
      <c r="DNQ71" s="16"/>
      <c r="DNR71" s="16"/>
      <c r="DNS71" s="16"/>
      <c r="DNT71" s="16"/>
      <c r="DNU71" s="16"/>
      <c r="DNV71" s="16"/>
      <c r="DNW71" s="16"/>
      <c r="DNX71" s="16"/>
      <c r="DNY71" s="16"/>
      <c r="DNZ71" s="16"/>
      <c r="DOA71" s="16"/>
      <c r="DOB71" s="16"/>
      <c r="DOC71" s="16"/>
      <c r="DOD71" s="16"/>
      <c r="DOE71" s="16"/>
      <c r="DOF71" s="16"/>
      <c r="DOG71" s="16"/>
      <c r="DOH71" s="16"/>
      <c r="DOI71" s="16"/>
      <c r="DOJ71" s="16"/>
      <c r="DOK71" s="16"/>
      <c r="DOL71" s="16"/>
      <c r="DOM71" s="16"/>
      <c r="DON71" s="16"/>
      <c r="DOO71" s="16"/>
      <c r="DOP71" s="16"/>
      <c r="DOQ71" s="16"/>
      <c r="DOR71" s="16"/>
      <c r="DOS71" s="16"/>
      <c r="DOT71" s="16"/>
      <c r="DOU71" s="16"/>
      <c r="DOV71" s="16"/>
      <c r="DOW71" s="16"/>
      <c r="DOX71" s="16"/>
      <c r="DOY71" s="16"/>
      <c r="DOZ71" s="16"/>
      <c r="DPA71" s="16"/>
      <c r="DPB71" s="16"/>
      <c r="DPC71" s="16"/>
      <c r="DPD71" s="16"/>
      <c r="DPE71" s="16"/>
      <c r="DPF71" s="16"/>
      <c r="DPG71" s="16"/>
      <c r="DPH71" s="16"/>
      <c r="DPI71" s="16"/>
      <c r="DPJ71" s="16"/>
      <c r="DPK71" s="16"/>
      <c r="DPL71" s="16"/>
      <c r="DPM71" s="16"/>
      <c r="DPN71" s="16"/>
      <c r="DPO71" s="16"/>
      <c r="DPP71" s="16"/>
      <c r="DPQ71" s="16"/>
      <c r="DPR71" s="16"/>
      <c r="DPS71" s="16"/>
      <c r="DPT71" s="16"/>
      <c r="DPU71" s="16"/>
      <c r="DPV71" s="16"/>
      <c r="DPW71" s="16"/>
      <c r="DPX71" s="16"/>
      <c r="DPY71" s="16"/>
      <c r="DPZ71" s="16"/>
      <c r="DQA71" s="16"/>
      <c r="DQB71" s="16"/>
      <c r="DQC71" s="16"/>
      <c r="DQD71" s="16"/>
      <c r="DQE71" s="16"/>
      <c r="DQF71" s="16"/>
      <c r="DQG71" s="16"/>
      <c r="DQH71" s="16"/>
      <c r="DQI71" s="16"/>
      <c r="DQJ71" s="16"/>
      <c r="DQK71" s="16"/>
      <c r="DQL71" s="16"/>
      <c r="DQM71" s="16"/>
      <c r="DQN71" s="16"/>
      <c r="DQO71" s="16"/>
      <c r="DQP71" s="16"/>
      <c r="DQQ71" s="16"/>
      <c r="DQR71" s="16"/>
      <c r="DQS71" s="16"/>
      <c r="DQT71" s="16"/>
      <c r="DQU71" s="16"/>
      <c r="DQV71" s="16"/>
      <c r="DQW71" s="16"/>
      <c r="DQX71" s="16"/>
      <c r="DQY71" s="16"/>
      <c r="DQZ71" s="16"/>
      <c r="DRA71" s="16"/>
      <c r="DRB71" s="16"/>
      <c r="DRC71" s="16"/>
      <c r="DRD71" s="16"/>
      <c r="DRE71" s="16"/>
      <c r="DRF71" s="16"/>
      <c r="DRG71" s="16"/>
      <c r="DRH71" s="16"/>
      <c r="DRI71" s="16"/>
      <c r="DRJ71" s="16"/>
      <c r="DRK71" s="16"/>
      <c r="DRL71" s="16"/>
      <c r="DRM71" s="16"/>
      <c r="DRN71" s="16"/>
      <c r="DRO71" s="16"/>
      <c r="DRP71" s="16"/>
      <c r="DRQ71" s="16"/>
      <c r="DRR71" s="16"/>
      <c r="DRS71" s="16"/>
      <c r="DRT71" s="16"/>
      <c r="DRU71" s="16"/>
      <c r="DRV71" s="16"/>
      <c r="DRW71" s="16"/>
      <c r="DRX71" s="16"/>
      <c r="DRY71" s="16"/>
      <c r="DRZ71" s="16"/>
      <c r="DSA71" s="16"/>
      <c r="DSB71" s="16"/>
      <c r="DSC71" s="16"/>
      <c r="DSD71" s="16"/>
      <c r="DSE71" s="16"/>
      <c r="DSF71" s="16"/>
      <c r="DSG71" s="16"/>
      <c r="DSH71" s="16"/>
      <c r="DSI71" s="16"/>
      <c r="DSJ71" s="16"/>
      <c r="DSK71" s="16"/>
      <c r="DSL71" s="16"/>
      <c r="DSM71" s="16"/>
      <c r="DSN71" s="16"/>
      <c r="DSO71" s="16"/>
      <c r="DSP71" s="16"/>
      <c r="DSQ71" s="16"/>
      <c r="DSR71" s="16"/>
      <c r="DSS71" s="16"/>
      <c r="DST71" s="16"/>
      <c r="DSU71" s="16"/>
      <c r="DSV71" s="16"/>
      <c r="DSW71" s="16"/>
      <c r="DSX71" s="16"/>
      <c r="DSY71" s="16"/>
      <c r="DSZ71" s="16"/>
      <c r="DTA71" s="16"/>
      <c r="DTB71" s="16"/>
      <c r="DTC71" s="16"/>
      <c r="DTD71" s="16"/>
      <c r="DTE71" s="16"/>
      <c r="DTF71" s="16"/>
      <c r="DTG71" s="16"/>
      <c r="DTH71" s="16"/>
      <c r="DTI71" s="16"/>
      <c r="DTJ71" s="16"/>
      <c r="DTK71" s="16"/>
      <c r="DTL71" s="16"/>
      <c r="DTM71" s="16"/>
      <c r="DTN71" s="16"/>
      <c r="DTO71" s="16"/>
      <c r="DTP71" s="16"/>
      <c r="DTQ71" s="16"/>
      <c r="DTR71" s="16"/>
      <c r="DTS71" s="16"/>
      <c r="DTT71" s="16"/>
      <c r="DTU71" s="16"/>
      <c r="DTV71" s="16"/>
      <c r="DTW71" s="16"/>
      <c r="DTX71" s="16"/>
      <c r="DTY71" s="16"/>
      <c r="DTZ71" s="16"/>
      <c r="DUA71" s="16"/>
      <c r="DUB71" s="16"/>
      <c r="DUC71" s="16"/>
      <c r="DUD71" s="16"/>
      <c r="DUE71" s="16"/>
      <c r="DUF71" s="16"/>
      <c r="DUG71" s="16"/>
      <c r="DUH71" s="16"/>
      <c r="DUI71" s="16"/>
      <c r="DUJ71" s="16"/>
      <c r="DUK71" s="16"/>
      <c r="DUL71" s="16"/>
      <c r="DUM71" s="16"/>
      <c r="DUN71" s="16"/>
      <c r="DUO71" s="16"/>
      <c r="DUP71" s="16"/>
      <c r="DUQ71" s="16"/>
      <c r="DUR71" s="16"/>
      <c r="DUS71" s="16"/>
      <c r="DUT71" s="16"/>
      <c r="DUU71" s="16"/>
      <c r="DUV71" s="16"/>
      <c r="DUW71" s="16"/>
      <c r="DUX71" s="16"/>
      <c r="DUY71" s="16"/>
      <c r="DUZ71" s="16"/>
      <c r="DVA71" s="16"/>
      <c r="DVB71" s="16"/>
      <c r="DVC71" s="16"/>
      <c r="DVD71" s="16"/>
      <c r="DVE71" s="16"/>
      <c r="DVF71" s="16"/>
      <c r="DVG71" s="16"/>
      <c r="DVH71" s="16"/>
      <c r="DVI71" s="16"/>
      <c r="DVJ71" s="16"/>
      <c r="DVK71" s="16"/>
      <c r="DVL71" s="16"/>
      <c r="DVM71" s="16"/>
      <c r="DVN71" s="16"/>
      <c r="DVO71" s="16"/>
      <c r="DVP71" s="16"/>
      <c r="DVQ71" s="16"/>
      <c r="DVR71" s="16"/>
      <c r="DVS71" s="16"/>
      <c r="DVT71" s="16"/>
      <c r="DVU71" s="16"/>
      <c r="DVV71" s="16"/>
      <c r="DVW71" s="16"/>
      <c r="DVX71" s="16"/>
      <c r="DVY71" s="16"/>
      <c r="DVZ71" s="16"/>
      <c r="DWA71" s="16"/>
      <c r="DWB71" s="16"/>
      <c r="DWC71" s="16"/>
      <c r="DWD71" s="16"/>
      <c r="DWE71" s="16"/>
      <c r="DWF71" s="16"/>
      <c r="DWG71" s="16"/>
      <c r="DWH71" s="16"/>
      <c r="DWI71" s="16"/>
      <c r="DWJ71" s="16"/>
      <c r="DWK71" s="16"/>
      <c r="DWL71" s="16"/>
      <c r="DWM71" s="16"/>
      <c r="DWN71" s="16"/>
      <c r="DWO71" s="16"/>
      <c r="DWP71" s="16"/>
      <c r="DWQ71" s="16"/>
      <c r="DWR71" s="16"/>
      <c r="DWS71" s="16"/>
      <c r="DWT71" s="16"/>
      <c r="DWU71" s="16"/>
      <c r="DWV71" s="16"/>
      <c r="DWW71" s="16"/>
      <c r="DWX71" s="16"/>
      <c r="DWY71" s="16"/>
      <c r="DWZ71" s="16"/>
      <c r="DXA71" s="16"/>
      <c r="DXB71" s="16"/>
      <c r="DXC71" s="16"/>
      <c r="DXD71" s="16"/>
      <c r="DXE71" s="16"/>
      <c r="DXF71" s="16"/>
      <c r="DXG71" s="16"/>
      <c r="DXH71" s="16"/>
      <c r="DXI71" s="16"/>
      <c r="DXJ71" s="16"/>
      <c r="DXK71" s="16"/>
      <c r="DXL71" s="16"/>
      <c r="DXM71" s="16"/>
      <c r="DXN71" s="16"/>
      <c r="DXO71" s="16"/>
      <c r="DXP71" s="16"/>
      <c r="DXQ71" s="16"/>
      <c r="DXR71" s="16"/>
      <c r="DXS71" s="16"/>
      <c r="DXT71" s="16"/>
      <c r="DXU71" s="16"/>
      <c r="DXV71" s="16"/>
      <c r="DXW71" s="16"/>
      <c r="DXX71" s="16"/>
      <c r="DXY71" s="16"/>
      <c r="DXZ71" s="16"/>
      <c r="DYA71" s="16"/>
      <c r="DYB71" s="16"/>
      <c r="DYC71" s="16"/>
      <c r="DYD71" s="16"/>
      <c r="DYE71" s="16"/>
      <c r="DYF71" s="16"/>
      <c r="DYG71" s="16"/>
      <c r="DYH71" s="16"/>
      <c r="DYI71" s="16"/>
      <c r="DYJ71" s="16"/>
      <c r="DYK71" s="16"/>
      <c r="DYL71" s="16"/>
      <c r="DYM71" s="16"/>
      <c r="DYN71" s="16"/>
      <c r="DYO71" s="16"/>
      <c r="DYP71" s="16"/>
      <c r="DYQ71" s="16"/>
      <c r="DYR71" s="16"/>
      <c r="DYS71" s="16"/>
      <c r="DYT71" s="16"/>
      <c r="DYU71" s="16"/>
      <c r="DYV71" s="16"/>
      <c r="DYW71" s="16"/>
      <c r="DYX71" s="16"/>
      <c r="DYY71" s="16"/>
      <c r="DYZ71" s="16"/>
      <c r="DZA71" s="16"/>
      <c r="DZB71" s="16"/>
      <c r="DZC71" s="16"/>
      <c r="DZD71" s="16"/>
      <c r="DZE71" s="16"/>
      <c r="DZF71" s="16"/>
      <c r="DZG71" s="16"/>
      <c r="DZH71" s="16"/>
      <c r="DZI71" s="16"/>
      <c r="DZJ71" s="16"/>
      <c r="DZK71" s="16"/>
      <c r="DZL71" s="16"/>
      <c r="DZM71" s="16"/>
      <c r="DZN71" s="16"/>
      <c r="DZO71" s="16"/>
      <c r="DZP71" s="16"/>
      <c r="DZQ71" s="16"/>
      <c r="DZR71" s="16"/>
      <c r="DZS71" s="16"/>
      <c r="DZT71" s="16"/>
      <c r="DZU71" s="16"/>
      <c r="DZV71" s="16"/>
      <c r="DZW71" s="16"/>
      <c r="DZX71" s="16"/>
      <c r="DZY71" s="16"/>
      <c r="DZZ71" s="16"/>
      <c r="EAA71" s="16"/>
      <c r="EAB71" s="16"/>
      <c r="EAC71" s="16"/>
      <c r="EAD71" s="16"/>
      <c r="EAE71" s="16"/>
      <c r="EAF71" s="16"/>
      <c r="EAG71" s="16"/>
      <c r="EAH71" s="16"/>
      <c r="EAI71" s="16"/>
      <c r="EAJ71" s="16"/>
      <c r="EAK71" s="16"/>
      <c r="EAL71" s="16"/>
      <c r="EAM71" s="16"/>
      <c r="EAN71" s="16"/>
      <c r="EAO71" s="16"/>
      <c r="EAP71" s="16"/>
      <c r="EAQ71" s="16"/>
      <c r="EAR71" s="16"/>
      <c r="EAS71" s="16"/>
      <c r="EAT71" s="16"/>
      <c r="EAU71" s="16"/>
      <c r="EAV71" s="16"/>
      <c r="EAW71" s="16"/>
      <c r="EAX71" s="16"/>
      <c r="EAY71" s="16"/>
      <c r="EAZ71" s="16"/>
      <c r="EBA71" s="16"/>
      <c r="EBB71" s="16"/>
      <c r="EBC71" s="16"/>
      <c r="EBD71" s="16"/>
      <c r="EBE71" s="16"/>
      <c r="EBF71" s="16"/>
      <c r="EBG71" s="16"/>
      <c r="EBH71" s="16"/>
      <c r="EBI71" s="16"/>
      <c r="EBJ71" s="16"/>
      <c r="EBK71" s="16"/>
      <c r="EBL71" s="16"/>
      <c r="EBM71" s="16"/>
      <c r="EBN71" s="16"/>
      <c r="EBO71" s="16"/>
      <c r="EBP71" s="16"/>
      <c r="EBQ71" s="16"/>
      <c r="EBR71" s="16"/>
      <c r="EBS71" s="16"/>
      <c r="EBT71" s="16"/>
      <c r="EBU71" s="16"/>
      <c r="EBV71" s="16"/>
      <c r="EBW71" s="16"/>
      <c r="EBX71" s="16"/>
      <c r="EBY71" s="16"/>
      <c r="EBZ71" s="16"/>
      <c r="ECA71" s="16"/>
      <c r="ECB71" s="16"/>
      <c r="ECC71" s="16"/>
      <c r="ECD71" s="16"/>
      <c r="ECE71" s="16"/>
      <c r="ECF71" s="16"/>
      <c r="ECG71" s="16"/>
      <c r="ECH71" s="16"/>
      <c r="ECI71" s="16"/>
      <c r="ECJ71" s="16"/>
      <c r="ECK71" s="16"/>
      <c r="ECL71" s="16"/>
      <c r="ECM71" s="16"/>
      <c r="ECN71" s="16"/>
      <c r="ECO71" s="16"/>
      <c r="ECP71" s="16"/>
      <c r="ECQ71" s="16"/>
      <c r="ECR71" s="16"/>
      <c r="ECS71" s="16"/>
      <c r="ECT71" s="16"/>
      <c r="ECU71" s="16"/>
      <c r="ECV71" s="16"/>
      <c r="ECW71" s="16"/>
      <c r="ECX71" s="16"/>
      <c r="ECY71" s="16"/>
      <c r="ECZ71" s="16"/>
      <c r="EDA71" s="16"/>
      <c r="EDB71" s="16"/>
      <c r="EDC71" s="16"/>
      <c r="EDD71" s="16"/>
      <c r="EDE71" s="16"/>
      <c r="EDF71" s="16"/>
      <c r="EDG71" s="16"/>
      <c r="EDH71" s="16"/>
      <c r="EDI71" s="16"/>
      <c r="EDJ71" s="16"/>
      <c r="EDK71" s="16"/>
      <c r="EDL71" s="16"/>
      <c r="EDM71" s="16"/>
      <c r="EDN71" s="16"/>
      <c r="EDO71" s="16"/>
      <c r="EDP71" s="16"/>
      <c r="EDQ71" s="16"/>
      <c r="EDR71" s="16"/>
      <c r="EDS71" s="16"/>
      <c r="EDT71" s="16"/>
      <c r="EDU71" s="16"/>
      <c r="EDV71" s="16"/>
      <c r="EDW71" s="16"/>
      <c r="EDX71" s="16"/>
      <c r="EDY71" s="16"/>
      <c r="EDZ71" s="16"/>
      <c r="EEA71" s="16"/>
      <c r="EEB71" s="16"/>
      <c r="EEC71" s="16"/>
      <c r="EED71" s="16"/>
      <c r="EEE71" s="16"/>
      <c r="EEF71" s="16"/>
      <c r="EEG71" s="16"/>
      <c r="EEH71" s="16"/>
      <c r="EEI71" s="16"/>
      <c r="EEJ71" s="16"/>
      <c r="EEK71" s="16"/>
      <c r="EEL71" s="16"/>
      <c r="EEM71" s="16"/>
      <c r="EEN71" s="16"/>
      <c r="EEO71" s="16"/>
      <c r="EEP71" s="16"/>
      <c r="EEQ71" s="16"/>
      <c r="EER71" s="16"/>
      <c r="EES71" s="16"/>
      <c r="EET71" s="16"/>
      <c r="EEU71" s="16"/>
      <c r="EEV71" s="16"/>
      <c r="EEW71" s="16"/>
      <c r="EEX71" s="16"/>
      <c r="EEY71" s="16"/>
      <c r="EEZ71" s="16"/>
      <c r="EFA71" s="16"/>
      <c r="EFB71" s="16"/>
      <c r="EFC71" s="16"/>
      <c r="EFD71" s="16"/>
      <c r="EFE71" s="16"/>
      <c r="EFF71" s="16"/>
      <c r="EFG71" s="16"/>
      <c r="EFH71" s="16"/>
      <c r="EFI71" s="16"/>
      <c r="EFJ71" s="16"/>
      <c r="EFK71" s="16"/>
      <c r="EFL71" s="16"/>
      <c r="EFM71" s="16"/>
      <c r="EFN71" s="16"/>
      <c r="EFO71" s="16"/>
      <c r="EFP71" s="16"/>
      <c r="EFQ71" s="16"/>
      <c r="EFR71" s="16"/>
      <c r="EFS71" s="16"/>
      <c r="EFT71" s="16"/>
      <c r="EFU71" s="16"/>
      <c r="EFV71" s="16"/>
      <c r="EFW71" s="16"/>
      <c r="EFX71" s="16"/>
      <c r="EFY71" s="16"/>
      <c r="EFZ71" s="16"/>
      <c r="EGA71" s="16"/>
      <c r="EGB71" s="16"/>
      <c r="EGC71" s="16"/>
      <c r="EGD71" s="16"/>
      <c r="EGE71" s="16"/>
      <c r="EGF71" s="16"/>
      <c r="EGG71" s="16"/>
      <c r="EGH71" s="16"/>
      <c r="EGI71" s="16"/>
      <c r="EGJ71" s="16"/>
      <c r="EGK71" s="16"/>
      <c r="EGL71" s="16"/>
      <c r="EGM71" s="16"/>
      <c r="EGN71" s="16"/>
      <c r="EGO71" s="16"/>
      <c r="EGP71" s="16"/>
      <c r="EGQ71" s="16"/>
      <c r="EGR71" s="16"/>
      <c r="EGS71" s="16"/>
      <c r="EGT71" s="16"/>
      <c r="EGU71" s="16"/>
      <c r="EGV71" s="16"/>
      <c r="EGW71" s="16"/>
      <c r="EGX71" s="16"/>
      <c r="EGY71" s="16"/>
      <c r="EGZ71" s="16"/>
      <c r="EHA71" s="16"/>
      <c r="EHB71" s="16"/>
      <c r="EHC71" s="16"/>
      <c r="EHD71" s="16"/>
      <c r="EHE71" s="16"/>
      <c r="EHF71" s="16"/>
      <c r="EHG71" s="16"/>
      <c r="EHH71" s="16"/>
      <c r="EHI71" s="16"/>
      <c r="EHJ71" s="16"/>
      <c r="EHK71" s="16"/>
      <c r="EHL71" s="16"/>
      <c r="EHM71" s="16"/>
      <c r="EHN71" s="16"/>
      <c r="EHO71" s="16"/>
      <c r="EHP71" s="16"/>
      <c r="EHQ71" s="16"/>
      <c r="EHR71" s="16"/>
      <c r="EHS71" s="16"/>
      <c r="EHT71" s="16"/>
      <c r="EHU71" s="16"/>
      <c r="EHV71" s="16"/>
      <c r="EHW71" s="16"/>
      <c r="EHX71" s="16"/>
      <c r="EHY71" s="16"/>
      <c r="EHZ71" s="16"/>
      <c r="EIA71" s="16"/>
      <c r="EIB71" s="16"/>
      <c r="EIC71" s="16"/>
      <c r="EID71" s="16"/>
      <c r="EIE71" s="16"/>
      <c r="EIF71" s="16"/>
      <c r="EIG71" s="16"/>
      <c r="EIH71" s="16"/>
      <c r="EII71" s="16"/>
      <c r="EIJ71" s="16"/>
      <c r="EIK71" s="16"/>
      <c r="EIL71" s="16"/>
      <c r="EIM71" s="16"/>
      <c r="EIN71" s="16"/>
      <c r="EIO71" s="16"/>
      <c r="EIP71" s="16"/>
      <c r="EIQ71" s="16"/>
      <c r="EIR71" s="16"/>
      <c r="EIS71" s="16"/>
      <c r="EIT71" s="16"/>
      <c r="EIU71" s="16"/>
      <c r="EIV71" s="16"/>
      <c r="EIW71" s="16"/>
      <c r="EIX71" s="16"/>
      <c r="EIY71" s="16"/>
      <c r="EIZ71" s="16"/>
      <c r="EJA71" s="16"/>
      <c r="EJB71" s="16"/>
      <c r="EJC71" s="16"/>
      <c r="EJD71" s="16"/>
      <c r="EJE71" s="16"/>
      <c r="EJF71" s="16"/>
      <c r="EJG71" s="16"/>
      <c r="EJH71" s="16"/>
      <c r="EJI71" s="16"/>
      <c r="EJJ71" s="16"/>
      <c r="EJK71" s="16"/>
      <c r="EJL71" s="16"/>
      <c r="EJM71" s="16"/>
      <c r="EJN71" s="16"/>
      <c r="EJO71" s="16"/>
      <c r="EJP71" s="16"/>
      <c r="EJQ71" s="16"/>
      <c r="EJR71" s="16"/>
      <c r="EJS71" s="16"/>
      <c r="EJT71" s="16"/>
      <c r="EJU71" s="16"/>
      <c r="EJV71" s="16"/>
      <c r="EJW71" s="16"/>
      <c r="EJX71" s="16"/>
      <c r="EJY71" s="16"/>
      <c r="EJZ71" s="16"/>
      <c r="EKA71" s="16"/>
      <c r="EKB71" s="16"/>
      <c r="EKC71" s="16"/>
      <c r="EKD71" s="16"/>
      <c r="EKE71" s="16"/>
      <c r="EKF71" s="16"/>
      <c r="EKG71" s="16"/>
      <c r="EKH71" s="16"/>
      <c r="EKI71" s="16"/>
      <c r="EKJ71" s="16"/>
      <c r="EKK71" s="16"/>
      <c r="EKL71" s="16"/>
      <c r="EKM71" s="16"/>
      <c r="EKN71" s="16"/>
      <c r="EKO71" s="16"/>
      <c r="EKP71" s="16"/>
      <c r="EKQ71" s="16"/>
      <c r="EKR71" s="16"/>
      <c r="EKS71" s="16"/>
      <c r="EKT71" s="16"/>
      <c r="EKU71" s="16"/>
      <c r="EKV71" s="16"/>
      <c r="EKW71" s="16"/>
      <c r="EKX71" s="16"/>
      <c r="EKY71" s="16"/>
      <c r="EKZ71" s="16"/>
      <c r="ELA71" s="16"/>
      <c r="ELB71" s="16"/>
      <c r="ELC71" s="16"/>
      <c r="ELD71" s="16"/>
      <c r="ELE71" s="16"/>
      <c r="ELF71" s="16"/>
      <c r="ELG71" s="16"/>
      <c r="ELH71" s="16"/>
      <c r="ELI71" s="16"/>
      <c r="ELJ71" s="16"/>
      <c r="ELK71" s="16"/>
      <c r="ELL71" s="16"/>
      <c r="ELM71" s="16"/>
      <c r="ELN71" s="16"/>
      <c r="ELO71" s="16"/>
      <c r="ELP71" s="16"/>
      <c r="ELQ71" s="16"/>
      <c r="ELR71" s="16"/>
      <c r="ELS71" s="16"/>
      <c r="ELT71" s="16"/>
      <c r="ELU71" s="16"/>
      <c r="ELV71" s="16"/>
      <c r="ELW71" s="16"/>
      <c r="ELX71" s="16"/>
      <c r="ELY71" s="16"/>
      <c r="ELZ71" s="16"/>
      <c r="EMA71" s="16"/>
      <c r="EMB71" s="16"/>
      <c r="EMC71" s="16"/>
      <c r="EMD71" s="16"/>
      <c r="EME71" s="16"/>
      <c r="EMF71" s="16"/>
      <c r="EMG71" s="16"/>
      <c r="EMH71" s="16"/>
      <c r="EMI71" s="16"/>
      <c r="EMJ71" s="16"/>
      <c r="EMK71" s="16"/>
      <c r="EML71" s="16"/>
      <c r="EMM71" s="16"/>
      <c r="EMN71" s="16"/>
      <c r="EMO71" s="16"/>
      <c r="EMP71" s="16"/>
      <c r="EMQ71" s="16"/>
      <c r="EMR71" s="16"/>
      <c r="EMS71" s="16"/>
      <c r="EMT71" s="16"/>
      <c r="EMU71" s="16"/>
      <c r="EMV71" s="16"/>
      <c r="EMW71" s="16"/>
      <c r="EMX71" s="16"/>
      <c r="EMY71" s="16"/>
      <c r="EMZ71" s="16"/>
      <c r="ENA71" s="16"/>
      <c r="ENB71" s="16"/>
      <c r="ENC71" s="16"/>
      <c r="END71" s="16"/>
      <c r="ENE71" s="16"/>
      <c r="ENF71" s="16"/>
      <c r="ENG71" s="16"/>
      <c r="ENH71" s="16"/>
      <c r="ENI71" s="16"/>
      <c r="ENJ71" s="16"/>
      <c r="ENK71" s="16"/>
      <c r="ENL71" s="16"/>
      <c r="ENM71" s="16"/>
      <c r="ENN71" s="16"/>
      <c r="ENO71" s="16"/>
      <c r="ENP71" s="16"/>
      <c r="ENQ71" s="16"/>
      <c r="ENR71" s="16"/>
      <c r="ENS71" s="16"/>
      <c r="ENT71" s="16"/>
      <c r="ENU71" s="16"/>
      <c r="ENV71" s="16"/>
      <c r="ENW71" s="16"/>
      <c r="ENX71" s="16"/>
      <c r="ENY71" s="16"/>
      <c r="ENZ71" s="16"/>
      <c r="EOA71" s="16"/>
      <c r="EOB71" s="16"/>
      <c r="EOC71" s="16"/>
      <c r="EOD71" s="16"/>
      <c r="EOE71" s="16"/>
      <c r="EOF71" s="16"/>
      <c r="EOG71" s="16"/>
      <c r="EOH71" s="16"/>
      <c r="EOI71" s="16"/>
      <c r="EOJ71" s="16"/>
      <c r="EOK71" s="16"/>
      <c r="EOL71" s="16"/>
      <c r="EOM71" s="16"/>
      <c r="EON71" s="16"/>
      <c r="EOO71" s="16"/>
      <c r="EOP71" s="16"/>
      <c r="EOQ71" s="16"/>
      <c r="EOR71" s="16"/>
      <c r="EOS71" s="16"/>
      <c r="EOT71" s="16"/>
      <c r="EOU71" s="16"/>
      <c r="EOV71" s="16"/>
      <c r="EOW71" s="16"/>
      <c r="EOX71" s="16"/>
      <c r="EOY71" s="16"/>
      <c r="EOZ71" s="16"/>
      <c r="EPA71" s="16"/>
      <c r="EPB71" s="16"/>
      <c r="EPC71" s="16"/>
      <c r="EPD71" s="16"/>
      <c r="EPE71" s="16"/>
      <c r="EPF71" s="16"/>
      <c r="EPG71" s="16"/>
      <c r="EPH71" s="16"/>
      <c r="EPI71" s="16"/>
      <c r="EPJ71" s="16"/>
      <c r="EPK71" s="16"/>
      <c r="EPL71" s="16"/>
      <c r="EPM71" s="16"/>
      <c r="EPN71" s="16"/>
      <c r="EPO71" s="16"/>
      <c r="EPP71" s="16"/>
      <c r="EPQ71" s="16"/>
      <c r="EPR71" s="16"/>
      <c r="EPS71" s="16"/>
      <c r="EPT71" s="16"/>
      <c r="EPU71" s="16"/>
      <c r="EPV71" s="16"/>
      <c r="EPW71" s="16"/>
      <c r="EPX71" s="16"/>
      <c r="EPY71" s="16"/>
      <c r="EPZ71" s="16"/>
      <c r="EQA71" s="16"/>
      <c r="EQB71" s="16"/>
      <c r="EQC71" s="16"/>
      <c r="EQD71" s="16"/>
      <c r="EQE71" s="16"/>
      <c r="EQF71" s="16"/>
      <c r="EQG71" s="16"/>
      <c r="EQH71" s="16"/>
      <c r="EQI71" s="16"/>
      <c r="EQJ71" s="16"/>
      <c r="EQK71" s="16"/>
      <c r="EQL71" s="16"/>
      <c r="EQM71" s="16"/>
      <c r="EQN71" s="16"/>
      <c r="EQO71" s="16"/>
      <c r="EQP71" s="16"/>
      <c r="EQQ71" s="16"/>
      <c r="EQR71" s="16"/>
      <c r="EQS71" s="16"/>
      <c r="EQT71" s="16"/>
      <c r="EQU71" s="16"/>
      <c r="EQV71" s="16"/>
      <c r="EQW71" s="16"/>
      <c r="EQX71" s="16"/>
      <c r="EQY71" s="16"/>
      <c r="EQZ71" s="16"/>
      <c r="ERA71" s="16"/>
      <c r="ERB71" s="16"/>
      <c r="ERC71" s="16"/>
      <c r="ERD71" s="16"/>
      <c r="ERE71" s="16"/>
      <c r="ERF71" s="16"/>
      <c r="ERG71" s="16"/>
      <c r="ERH71" s="16"/>
      <c r="ERI71" s="16"/>
      <c r="ERJ71" s="16"/>
      <c r="ERK71" s="16"/>
      <c r="ERL71" s="16"/>
      <c r="ERM71" s="16"/>
      <c r="ERN71" s="16"/>
      <c r="ERO71" s="16"/>
      <c r="ERP71" s="16"/>
      <c r="ERQ71" s="16"/>
      <c r="ERR71" s="16"/>
      <c r="ERS71" s="16"/>
      <c r="ERT71" s="16"/>
      <c r="ERU71" s="16"/>
      <c r="ERV71" s="16"/>
      <c r="ERW71" s="16"/>
      <c r="ERX71" s="16"/>
      <c r="ERY71" s="16"/>
      <c r="ERZ71" s="16"/>
      <c r="ESA71" s="16"/>
      <c r="ESB71" s="16"/>
      <c r="ESC71" s="16"/>
      <c r="ESD71" s="16"/>
      <c r="ESE71" s="16"/>
      <c r="ESF71" s="16"/>
      <c r="ESG71" s="16"/>
      <c r="ESH71" s="16"/>
      <c r="ESI71" s="16"/>
      <c r="ESJ71" s="16"/>
      <c r="ESK71" s="16"/>
      <c r="ESL71" s="16"/>
      <c r="ESM71" s="16"/>
      <c r="ESN71" s="16"/>
      <c r="ESO71" s="16"/>
      <c r="ESP71" s="16"/>
      <c r="ESQ71" s="16"/>
      <c r="ESR71" s="16"/>
      <c r="ESS71" s="16"/>
      <c r="EST71" s="16"/>
      <c r="ESU71" s="16"/>
      <c r="ESV71" s="16"/>
      <c r="ESW71" s="16"/>
      <c r="ESX71" s="16"/>
      <c r="ESY71" s="16"/>
      <c r="ESZ71" s="16"/>
      <c r="ETA71" s="16"/>
      <c r="ETB71" s="16"/>
      <c r="ETC71" s="16"/>
      <c r="ETD71" s="16"/>
      <c r="ETE71" s="16"/>
      <c r="ETF71" s="16"/>
      <c r="ETG71" s="16"/>
      <c r="ETH71" s="16"/>
      <c r="ETI71" s="16"/>
      <c r="ETJ71" s="16"/>
      <c r="ETK71" s="16"/>
      <c r="ETL71" s="16"/>
      <c r="ETM71" s="16"/>
      <c r="ETN71" s="16"/>
      <c r="ETO71" s="16"/>
      <c r="ETP71" s="16"/>
      <c r="ETQ71" s="16"/>
      <c r="ETR71" s="16"/>
      <c r="ETS71" s="16"/>
      <c r="ETT71" s="16"/>
      <c r="ETU71" s="16"/>
      <c r="ETV71" s="16"/>
      <c r="ETW71" s="16"/>
      <c r="ETX71" s="16"/>
      <c r="ETY71" s="16"/>
      <c r="ETZ71" s="16"/>
      <c r="EUA71" s="16"/>
      <c r="EUB71" s="16"/>
      <c r="EUC71" s="16"/>
      <c r="EUD71" s="16"/>
      <c r="EUE71" s="16"/>
      <c r="EUF71" s="16"/>
      <c r="EUG71" s="16"/>
      <c r="EUH71" s="16"/>
      <c r="EUI71" s="16"/>
      <c r="EUJ71" s="16"/>
      <c r="EUK71" s="16"/>
      <c r="EUL71" s="16"/>
      <c r="EUM71" s="16"/>
      <c r="EUN71" s="16"/>
      <c r="EUO71" s="16"/>
      <c r="EUP71" s="16"/>
      <c r="EUQ71" s="16"/>
      <c r="EUR71" s="16"/>
      <c r="EUS71" s="16"/>
      <c r="EUT71" s="16"/>
      <c r="EUU71" s="16"/>
      <c r="EUV71" s="16"/>
      <c r="EUW71" s="16"/>
      <c r="EUX71" s="16"/>
      <c r="EUY71" s="16"/>
      <c r="EUZ71" s="16"/>
      <c r="EVA71" s="16"/>
      <c r="EVB71" s="16"/>
      <c r="EVC71" s="16"/>
      <c r="EVD71" s="16"/>
      <c r="EVE71" s="16"/>
      <c r="EVF71" s="16"/>
      <c r="EVG71" s="16"/>
      <c r="EVH71" s="16"/>
      <c r="EVI71" s="16"/>
      <c r="EVJ71" s="16"/>
      <c r="EVK71" s="16"/>
      <c r="EVL71" s="16"/>
      <c r="EVM71" s="16"/>
      <c r="EVN71" s="16"/>
      <c r="EVO71" s="16"/>
      <c r="EVP71" s="16"/>
      <c r="EVQ71" s="16"/>
      <c r="EVR71" s="16"/>
      <c r="EVS71" s="16"/>
      <c r="EVT71" s="16"/>
      <c r="EVU71" s="16"/>
      <c r="EVV71" s="16"/>
      <c r="EVW71" s="16"/>
      <c r="EVX71" s="16"/>
      <c r="EVY71" s="16"/>
      <c r="EVZ71" s="16"/>
      <c r="EWA71" s="16"/>
      <c r="EWB71" s="16"/>
      <c r="EWC71" s="16"/>
      <c r="EWD71" s="16"/>
      <c r="EWE71" s="16"/>
      <c r="EWF71" s="16"/>
      <c r="EWG71" s="16"/>
      <c r="EWH71" s="16"/>
      <c r="EWI71" s="16"/>
      <c r="EWJ71" s="16"/>
      <c r="EWK71" s="16"/>
      <c r="EWL71" s="16"/>
      <c r="EWM71" s="16"/>
      <c r="EWN71" s="16"/>
      <c r="EWO71" s="16"/>
      <c r="EWP71" s="16"/>
      <c r="EWQ71" s="16"/>
      <c r="EWR71" s="16"/>
      <c r="EWS71" s="16"/>
      <c r="EWT71" s="16"/>
      <c r="EWU71" s="16"/>
      <c r="EWV71" s="16"/>
      <c r="EWW71" s="16"/>
      <c r="EWX71" s="16"/>
      <c r="EWY71" s="16"/>
      <c r="EWZ71" s="16"/>
      <c r="EXA71" s="16"/>
      <c r="EXB71" s="16"/>
      <c r="EXC71" s="16"/>
      <c r="EXD71" s="16"/>
      <c r="EXE71" s="16"/>
      <c r="EXF71" s="16"/>
      <c r="EXG71" s="16"/>
      <c r="EXH71" s="16"/>
      <c r="EXI71" s="16"/>
      <c r="EXJ71" s="16"/>
      <c r="EXK71" s="16"/>
      <c r="EXL71" s="16"/>
      <c r="EXM71" s="16"/>
      <c r="EXN71" s="16"/>
      <c r="EXO71" s="16"/>
      <c r="EXP71" s="16"/>
      <c r="EXQ71" s="16"/>
      <c r="EXR71" s="16"/>
      <c r="EXS71" s="16"/>
      <c r="EXT71" s="16"/>
      <c r="EXU71" s="16"/>
      <c r="EXV71" s="16"/>
      <c r="EXW71" s="16"/>
      <c r="EXX71" s="16"/>
      <c r="EXY71" s="16"/>
      <c r="EXZ71" s="16"/>
      <c r="EYA71" s="16"/>
      <c r="EYB71" s="16"/>
      <c r="EYC71" s="16"/>
      <c r="EYD71" s="16"/>
      <c r="EYE71" s="16"/>
      <c r="EYF71" s="16"/>
      <c r="EYG71" s="16"/>
      <c r="EYH71" s="16"/>
      <c r="EYI71" s="16"/>
      <c r="EYJ71" s="16"/>
      <c r="EYK71" s="16"/>
      <c r="EYL71" s="16"/>
      <c r="EYM71" s="16"/>
      <c r="EYN71" s="16"/>
      <c r="EYO71" s="16"/>
      <c r="EYP71" s="16"/>
      <c r="EYQ71" s="16"/>
      <c r="EYR71" s="16"/>
      <c r="EYS71" s="16"/>
      <c r="EYT71" s="16"/>
      <c r="EYU71" s="16"/>
      <c r="EYV71" s="16"/>
      <c r="EYW71" s="16"/>
      <c r="EYX71" s="16"/>
      <c r="EYY71" s="16"/>
      <c r="EYZ71" s="16"/>
      <c r="EZA71" s="16"/>
      <c r="EZB71" s="16"/>
      <c r="EZC71" s="16"/>
      <c r="EZD71" s="16"/>
      <c r="EZE71" s="16"/>
      <c r="EZF71" s="16"/>
      <c r="EZG71" s="16"/>
      <c r="EZH71" s="16"/>
      <c r="EZI71" s="16"/>
      <c r="EZJ71" s="16"/>
      <c r="EZK71" s="16"/>
      <c r="EZL71" s="16"/>
      <c r="EZM71" s="16"/>
      <c r="EZN71" s="16"/>
      <c r="EZO71" s="16"/>
      <c r="EZP71" s="16"/>
      <c r="EZQ71" s="16"/>
      <c r="EZR71" s="16"/>
      <c r="EZS71" s="16"/>
      <c r="EZT71" s="16"/>
      <c r="EZU71" s="16"/>
      <c r="EZV71" s="16"/>
      <c r="EZW71" s="16"/>
      <c r="EZX71" s="16"/>
      <c r="EZY71" s="16"/>
      <c r="EZZ71" s="16"/>
      <c r="FAA71" s="16"/>
      <c r="FAB71" s="16"/>
      <c r="FAC71" s="16"/>
      <c r="FAD71" s="16"/>
      <c r="FAE71" s="16"/>
      <c r="FAF71" s="16"/>
      <c r="FAG71" s="16"/>
      <c r="FAH71" s="16"/>
      <c r="FAI71" s="16"/>
      <c r="FAJ71" s="16"/>
      <c r="FAK71" s="16"/>
      <c r="FAL71" s="16"/>
      <c r="FAM71" s="16"/>
      <c r="FAN71" s="16"/>
      <c r="FAO71" s="16"/>
      <c r="FAP71" s="16"/>
      <c r="FAQ71" s="16"/>
      <c r="FAR71" s="16"/>
      <c r="FAS71" s="16"/>
      <c r="FAT71" s="16"/>
      <c r="FAU71" s="16"/>
      <c r="FAV71" s="16"/>
      <c r="FAW71" s="16"/>
      <c r="FAX71" s="16"/>
      <c r="FAY71" s="16"/>
      <c r="FAZ71" s="16"/>
      <c r="FBA71" s="16"/>
      <c r="FBB71" s="16"/>
      <c r="FBC71" s="16"/>
      <c r="FBD71" s="16"/>
      <c r="FBE71" s="16"/>
      <c r="FBF71" s="16"/>
      <c r="FBG71" s="16"/>
      <c r="FBH71" s="16"/>
      <c r="FBI71" s="16"/>
      <c r="FBJ71" s="16"/>
      <c r="FBK71" s="16"/>
      <c r="FBL71" s="16"/>
      <c r="FBM71" s="16"/>
      <c r="FBN71" s="16"/>
      <c r="FBO71" s="16"/>
      <c r="FBP71" s="16"/>
      <c r="FBQ71" s="16"/>
      <c r="FBR71" s="16"/>
      <c r="FBS71" s="16"/>
      <c r="FBT71" s="16"/>
      <c r="FBU71" s="16"/>
      <c r="FBV71" s="16"/>
      <c r="FBW71" s="16"/>
      <c r="FBX71" s="16"/>
      <c r="FBY71" s="16"/>
      <c r="FBZ71" s="16"/>
      <c r="FCA71" s="16"/>
      <c r="FCB71" s="16"/>
      <c r="FCC71" s="16"/>
      <c r="FCD71" s="16"/>
      <c r="FCE71" s="16"/>
      <c r="FCF71" s="16"/>
      <c r="FCG71" s="16"/>
      <c r="FCH71" s="16"/>
      <c r="FCI71" s="16"/>
      <c r="FCJ71" s="16"/>
      <c r="FCK71" s="16"/>
      <c r="FCL71" s="16"/>
      <c r="FCM71" s="16"/>
      <c r="FCN71" s="16"/>
      <c r="FCO71" s="16"/>
      <c r="FCP71" s="16"/>
      <c r="FCQ71" s="16"/>
      <c r="FCR71" s="16"/>
      <c r="FCS71" s="16"/>
      <c r="FCT71" s="16"/>
      <c r="FCU71" s="16"/>
      <c r="FCV71" s="16"/>
      <c r="FCW71" s="16"/>
      <c r="FCX71" s="16"/>
      <c r="FCY71" s="16"/>
      <c r="FCZ71" s="16"/>
      <c r="FDA71" s="16"/>
      <c r="FDB71" s="16"/>
      <c r="FDC71" s="16"/>
      <c r="FDD71" s="16"/>
      <c r="FDE71" s="16"/>
      <c r="FDF71" s="16"/>
      <c r="FDG71" s="16"/>
      <c r="FDH71" s="16"/>
      <c r="FDI71" s="16"/>
      <c r="FDJ71" s="16"/>
      <c r="FDK71" s="16"/>
      <c r="FDL71" s="16"/>
      <c r="FDM71" s="16"/>
      <c r="FDN71" s="16"/>
      <c r="FDO71" s="16"/>
      <c r="FDP71" s="16"/>
      <c r="FDQ71" s="16"/>
      <c r="FDR71" s="16"/>
      <c r="FDS71" s="16"/>
      <c r="FDT71" s="16"/>
      <c r="FDU71" s="16"/>
      <c r="FDV71" s="16"/>
      <c r="FDW71" s="16"/>
      <c r="FDX71" s="16"/>
      <c r="FDY71" s="16"/>
      <c r="FDZ71" s="16"/>
      <c r="FEA71" s="16"/>
      <c r="FEB71" s="16"/>
      <c r="FEC71" s="16"/>
      <c r="FED71" s="16"/>
      <c r="FEE71" s="16"/>
      <c r="FEF71" s="16"/>
      <c r="FEG71" s="16"/>
      <c r="FEH71" s="16"/>
      <c r="FEI71" s="16"/>
      <c r="FEJ71" s="16"/>
      <c r="FEK71" s="16"/>
      <c r="FEL71" s="16"/>
      <c r="FEM71" s="16"/>
      <c r="FEN71" s="16"/>
      <c r="FEO71" s="16"/>
      <c r="FEP71" s="16"/>
      <c r="FEQ71" s="16"/>
      <c r="FER71" s="16"/>
      <c r="FES71" s="16"/>
      <c r="FET71" s="16"/>
      <c r="FEU71" s="16"/>
      <c r="FEV71" s="16"/>
      <c r="FEW71" s="16"/>
      <c r="FEX71" s="16"/>
      <c r="FEY71" s="16"/>
      <c r="FEZ71" s="16"/>
      <c r="FFA71" s="16"/>
      <c r="FFB71" s="16"/>
      <c r="FFC71" s="16"/>
      <c r="FFD71" s="16"/>
      <c r="FFE71" s="16"/>
      <c r="FFF71" s="16"/>
      <c r="FFG71" s="16"/>
      <c r="FFH71" s="16"/>
      <c r="FFI71" s="16"/>
      <c r="FFJ71" s="16"/>
      <c r="FFK71" s="16"/>
      <c r="FFL71" s="16"/>
      <c r="FFM71" s="16"/>
      <c r="FFN71" s="16"/>
      <c r="FFO71" s="16"/>
      <c r="FFP71" s="16"/>
      <c r="FFQ71" s="16"/>
      <c r="FFR71" s="16"/>
      <c r="FFS71" s="16"/>
      <c r="FFT71" s="16"/>
      <c r="FFU71" s="16"/>
      <c r="FFV71" s="16"/>
      <c r="FFW71" s="16"/>
      <c r="FFX71" s="16"/>
      <c r="FFY71" s="16"/>
      <c r="FFZ71" s="16"/>
      <c r="FGA71" s="16"/>
      <c r="FGB71" s="16"/>
      <c r="FGC71" s="16"/>
      <c r="FGD71" s="16"/>
      <c r="FGE71" s="16"/>
      <c r="FGF71" s="16"/>
      <c r="FGG71" s="16"/>
      <c r="FGH71" s="16"/>
      <c r="FGI71" s="16"/>
      <c r="FGJ71" s="16"/>
      <c r="FGK71" s="16"/>
      <c r="FGL71" s="16"/>
      <c r="FGM71" s="16"/>
      <c r="FGN71" s="16"/>
      <c r="FGO71" s="16"/>
      <c r="FGP71" s="16"/>
      <c r="FGQ71" s="16"/>
      <c r="FGR71" s="16"/>
      <c r="FGS71" s="16"/>
      <c r="FGT71" s="16"/>
      <c r="FGU71" s="16"/>
      <c r="FGV71" s="16"/>
      <c r="FGW71" s="16"/>
      <c r="FGX71" s="16"/>
      <c r="FGY71" s="16"/>
      <c r="FGZ71" s="16"/>
      <c r="FHA71" s="16"/>
      <c r="FHB71" s="16"/>
      <c r="FHC71" s="16"/>
      <c r="FHD71" s="16"/>
      <c r="FHE71" s="16"/>
      <c r="FHF71" s="16"/>
      <c r="FHG71" s="16"/>
      <c r="FHH71" s="16"/>
      <c r="FHI71" s="16"/>
      <c r="FHJ71" s="16"/>
      <c r="FHK71" s="16"/>
      <c r="FHL71" s="16"/>
      <c r="FHM71" s="16"/>
      <c r="FHN71" s="16"/>
      <c r="FHO71" s="16"/>
      <c r="FHP71" s="16"/>
      <c r="FHQ71" s="16"/>
      <c r="FHR71" s="16"/>
      <c r="FHS71" s="16"/>
      <c r="FHT71" s="16"/>
      <c r="FHU71" s="16"/>
      <c r="FHV71" s="16"/>
      <c r="FHW71" s="16"/>
      <c r="FHX71" s="16"/>
      <c r="FHY71" s="16"/>
      <c r="FHZ71" s="16"/>
      <c r="FIA71" s="16"/>
      <c r="FIB71" s="16"/>
      <c r="FIC71" s="16"/>
      <c r="FID71" s="16"/>
      <c r="FIE71" s="16"/>
      <c r="FIF71" s="16"/>
      <c r="FIG71" s="16"/>
      <c r="FIH71" s="16"/>
      <c r="FII71" s="16"/>
      <c r="FIJ71" s="16"/>
      <c r="FIK71" s="16"/>
      <c r="FIL71" s="16"/>
      <c r="FIM71" s="16"/>
      <c r="FIN71" s="16"/>
      <c r="FIO71" s="16"/>
      <c r="FIP71" s="16"/>
      <c r="FIQ71" s="16"/>
      <c r="FIR71" s="16"/>
      <c r="FIS71" s="16"/>
      <c r="FIT71" s="16"/>
      <c r="FIU71" s="16"/>
      <c r="FIV71" s="16"/>
      <c r="FIW71" s="16"/>
      <c r="FIX71" s="16"/>
      <c r="FIY71" s="16"/>
      <c r="FIZ71" s="16"/>
      <c r="FJA71" s="16"/>
      <c r="FJB71" s="16"/>
      <c r="FJC71" s="16"/>
      <c r="FJD71" s="16"/>
      <c r="FJE71" s="16"/>
      <c r="FJF71" s="16"/>
      <c r="FJG71" s="16"/>
      <c r="FJH71" s="16"/>
      <c r="FJI71" s="16"/>
      <c r="FJJ71" s="16"/>
      <c r="FJK71" s="16"/>
      <c r="FJL71" s="16"/>
      <c r="FJM71" s="16"/>
      <c r="FJN71" s="16"/>
      <c r="FJO71" s="16"/>
      <c r="FJP71" s="16"/>
      <c r="FJQ71" s="16"/>
      <c r="FJR71" s="16"/>
      <c r="FJS71" s="16"/>
      <c r="FJT71" s="16"/>
      <c r="FJU71" s="16"/>
      <c r="FJV71" s="16"/>
      <c r="FJW71" s="16"/>
      <c r="FJX71" s="16"/>
      <c r="FJY71" s="16"/>
      <c r="FJZ71" s="16"/>
      <c r="FKA71" s="16"/>
      <c r="FKB71" s="16"/>
      <c r="FKC71" s="16"/>
      <c r="FKD71" s="16"/>
      <c r="FKE71" s="16"/>
      <c r="FKF71" s="16"/>
      <c r="FKG71" s="16"/>
      <c r="FKH71" s="16"/>
      <c r="FKI71" s="16"/>
      <c r="FKJ71" s="16"/>
      <c r="FKK71" s="16"/>
      <c r="FKL71" s="16"/>
      <c r="FKM71" s="16"/>
      <c r="FKN71" s="16"/>
      <c r="FKO71" s="16"/>
      <c r="FKP71" s="16"/>
      <c r="FKQ71" s="16"/>
      <c r="FKR71" s="16"/>
      <c r="FKS71" s="16"/>
      <c r="FKT71" s="16"/>
      <c r="FKU71" s="16"/>
      <c r="FKV71" s="16"/>
      <c r="FKW71" s="16"/>
      <c r="FKX71" s="16"/>
      <c r="FKY71" s="16"/>
      <c r="FKZ71" s="16"/>
      <c r="FLA71" s="16"/>
      <c r="FLB71" s="16"/>
      <c r="FLC71" s="16"/>
      <c r="FLD71" s="16"/>
      <c r="FLE71" s="16"/>
      <c r="FLF71" s="16"/>
      <c r="FLG71" s="16"/>
      <c r="FLH71" s="16"/>
      <c r="FLI71" s="16"/>
      <c r="FLJ71" s="16"/>
      <c r="FLK71" s="16"/>
      <c r="FLL71" s="16"/>
      <c r="FLM71" s="16"/>
      <c r="FLN71" s="16"/>
      <c r="FLO71" s="16"/>
      <c r="FLP71" s="16"/>
      <c r="FLQ71" s="16"/>
      <c r="FLR71" s="16"/>
      <c r="FLS71" s="16"/>
      <c r="FLT71" s="16"/>
      <c r="FLU71" s="16"/>
      <c r="FLV71" s="16"/>
      <c r="FLW71" s="16"/>
      <c r="FLX71" s="16"/>
      <c r="FLY71" s="16"/>
      <c r="FLZ71" s="16"/>
      <c r="FMA71" s="16"/>
      <c r="FMB71" s="16"/>
      <c r="FMC71" s="16"/>
      <c r="FMD71" s="16"/>
      <c r="FME71" s="16"/>
      <c r="FMF71" s="16"/>
      <c r="FMG71" s="16"/>
      <c r="FMH71" s="16"/>
      <c r="FMI71" s="16"/>
      <c r="FMJ71" s="16"/>
      <c r="FMK71" s="16"/>
      <c r="FML71" s="16"/>
      <c r="FMM71" s="16"/>
      <c r="FMN71" s="16"/>
      <c r="FMO71" s="16"/>
      <c r="FMP71" s="16"/>
      <c r="FMQ71" s="16"/>
      <c r="FMR71" s="16"/>
      <c r="FMS71" s="16"/>
      <c r="FMT71" s="16"/>
      <c r="FMU71" s="16"/>
      <c r="FMV71" s="16"/>
      <c r="FMW71" s="16"/>
      <c r="FMX71" s="16"/>
      <c r="FMY71" s="16"/>
      <c r="FMZ71" s="16"/>
      <c r="FNA71" s="16"/>
      <c r="FNB71" s="16"/>
      <c r="FNC71" s="16"/>
      <c r="FND71" s="16"/>
      <c r="FNE71" s="16"/>
      <c r="FNF71" s="16"/>
      <c r="FNG71" s="16"/>
      <c r="FNH71" s="16"/>
      <c r="FNI71" s="16"/>
      <c r="FNJ71" s="16"/>
      <c r="FNK71" s="16"/>
      <c r="FNL71" s="16"/>
      <c r="FNM71" s="16"/>
      <c r="FNN71" s="16"/>
      <c r="FNO71" s="16"/>
      <c r="FNP71" s="16"/>
      <c r="FNQ71" s="16"/>
      <c r="FNR71" s="16"/>
      <c r="FNS71" s="16"/>
      <c r="FNT71" s="16"/>
      <c r="FNU71" s="16"/>
      <c r="FNV71" s="16"/>
      <c r="FNW71" s="16"/>
      <c r="FNX71" s="16"/>
      <c r="FNY71" s="16"/>
      <c r="FNZ71" s="16"/>
      <c r="FOA71" s="16"/>
      <c r="FOB71" s="16"/>
      <c r="FOC71" s="16"/>
      <c r="FOD71" s="16"/>
      <c r="FOE71" s="16"/>
      <c r="FOF71" s="16"/>
      <c r="FOG71" s="16"/>
      <c r="FOH71" s="16"/>
      <c r="FOI71" s="16"/>
      <c r="FOJ71" s="16"/>
      <c r="FOK71" s="16"/>
      <c r="FOL71" s="16"/>
      <c r="FOM71" s="16"/>
      <c r="FON71" s="16"/>
      <c r="FOO71" s="16"/>
      <c r="FOP71" s="16"/>
      <c r="FOQ71" s="16"/>
      <c r="FOR71" s="16"/>
      <c r="FOS71" s="16"/>
      <c r="FOT71" s="16"/>
      <c r="FOU71" s="16"/>
      <c r="FOV71" s="16"/>
      <c r="FOW71" s="16"/>
      <c r="FOX71" s="16"/>
      <c r="FOY71" s="16"/>
      <c r="FOZ71" s="16"/>
      <c r="FPA71" s="16"/>
      <c r="FPB71" s="16"/>
      <c r="FPC71" s="16"/>
      <c r="FPD71" s="16"/>
      <c r="FPE71" s="16"/>
      <c r="FPF71" s="16"/>
      <c r="FPG71" s="16"/>
      <c r="FPH71" s="16"/>
      <c r="FPI71" s="16"/>
      <c r="FPJ71" s="16"/>
      <c r="FPK71" s="16"/>
      <c r="FPL71" s="16"/>
      <c r="FPM71" s="16"/>
      <c r="FPN71" s="16"/>
      <c r="FPO71" s="16"/>
      <c r="FPP71" s="16"/>
      <c r="FPQ71" s="16"/>
      <c r="FPR71" s="16"/>
      <c r="FPS71" s="16"/>
      <c r="FPT71" s="16"/>
      <c r="FPU71" s="16"/>
      <c r="FPV71" s="16"/>
      <c r="FPW71" s="16"/>
      <c r="FPX71" s="16"/>
      <c r="FPY71" s="16"/>
      <c r="FPZ71" s="16"/>
      <c r="FQA71" s="16"/>
      <c r="FQB71" s="16"/>
      <c r="FQC71" s="16"/>
      <c r="FQD71" s="16"/>
      <c r="FQE71" s="16"/>
      <c r="FQF71" s="16"/>
      <c r="FQG71" s="16"/>
      <c r="FQH71" s="16"/>
      <c r="FQI71" s="16"/>
      <c r="FQJ71" s="16"/>
      <c r="FQK71" s="16"/>
      <c r="FQL71" s="16"/>
      <c r="FQM71" s="16"/>
      <c r="FQN71" s="16"/>
      <c r="FQO71" s="16"/>
      <c r="FQP71" s="16"/>
      <c r="FQQ71" s="16"/>
      <c r="FQR71" s="16"/>
      <c r="FQS71" s="16"/>
      <c r="FQT71" s="16"/>
      <c r="FQU71" s="16"/>
      <c r="FQV71" s="16"/>
      <c r="FQW71" s="16"/>
      <c r="FQX71" s="16"/>
      <c r="FQY71" s="16"/>
      <c r="FQZ71" s="16"/>
      <c r="FRA71" s="16"/>
      <c r="FRB71" s="16"/>
      <c r="FRC71" s="16"/>
      <c r="FRD71" s="16"/>
      <c r="FRE71" s="16"/>
      <c r="FRF71" s="16"/>
      <c r="FRG71" s="16"/>
      <c r="FRH71" s="16"/>
      <c r="FRI71" s="16"/>
      <c r="FRJ71" s="16"/>
      <c r="FRK71" s="16"/>
      <c r="FRL71" s="16"/>
      <c r="FRM71" s="16"/>
      <c r="FRN71" s="16"/>
      <c r="FRO71" s="16"/>
      <c r="FRP71" s="16"/>
      <c r="FRQ71" s="16"/>
      <c r="FRR71" s="16"/>
      <c r="FRS71" s="16"/>
      <c r="FRT71" s="16"/>
      <c r="FRU71" s="16"/>
      <c r="FRV71" s="16"/>
      <c r="FRW71" s="16"/>
      <c r="FRX71" s="16"/>
      <c r="FRY71" s="16"/>
      <c r="FRZ71" s="16"/>
      <c r="FSA71" s="16"/>
      <c r="FSB71" s="16"/>
      <c r="FSC71" s="16"/>
      <c r="FSD71" s="16"/>
      <c r="FSE71" s="16"/>
      <c r="FSF71" s="16"/>
      <c r="FSG71" s="16"/>
      <c r="FSH71" s="16"/>
      <c r="FSI71" s="16"/>
      <c r="FSJ71" s="16"/>
      <c r="FSK71" s="16"/>
      <c r="FSL71" s="16"/>
      <c r="FSM71" s="16"/>
      <c r="FSN71" s="16"/>
      <c r="FSO71" s="16"/>
      <c r="FSP71" s="16"/>
      <c r="FSQ71" s="16"/>
      <c r="FSR71" s="16"/>
      <c r="FSS71" s="16"/>
      <c r="FST71" s="16"/>
      <c r="FSU71" s="16"/>
      <c r="FSV71" s="16"/>
      <c r="FSW71" s="16"/>
      <c r="FSX71" s="16"/>
      <c r="FSY71" s="16"/>
      <c r="FSZ71" s="16"/>
      <c r="FTA71" s="16"/>
      <c r="FTB71" s="16"/>
      <c r="FTC71" s="16"/>
      <c r="FTD71" s="16"/>
      <c r="FTE71" s="16"/>
      <c r="FTF71" s="16"/>
      <c r="FTG71" s="16"/>
      <c r="FTH71" s="16"/>
      <c r="FTI71" s="16"/>
      <c r="FTJ71" s="16"/>
      <c r="FTK71" s="16"/>
      <c r="FTL71" s="16"/>
      <c r="FTM71" s="16"/>
      <c r="FTN71" s="16"/>
      <c r="FTO71" s="16"/>
      <c r="FTP71" s="16"/>
      <c r="FTQ71" s="16"/>
      <c r="FTR71" s="16"/>
      <c r="FTS71" s="16"/>
      <c r="FTT71" s="16"/>
      <c r="FTU71" s="16"/>
      <c r="FTV71" s="16"/>
      <c r="FTW71" s="16"/>
      <c r="FTX71" s="16"/>
      <c r="FTY71" s="16"/>
      <c r="FTZ71" s="16"/>
      <c r="FUA71" s="16"/>
      <c r="FUB71" s="16"/>
      <c r="FUC71" s="16"/>
      <c r="FUD71" s="16"/>
      <c r="FUE71" s="16"/>
      <c r="FUF71" s="16"/>
      <c r="FUG71" s="16"/>
      <c r="FUH71" s="16"/>
      <c r="FUI71" s="16"/>
      <c r="FUJ71" s="16"/>
      <c r="FUK71" s="16"/>
      <c r="FUL71" s="16"/>
      <c r="FUM71" s="16"/>
      <c r="FUN71" s="16"/>
      <c r="FUO71" s="16"/>
      <c r="FUP71" s="16"/>
      <c r="FUQ71" s="16"/>
      <c r="FUR71" s="16"/>
      <c r="FUS71" s="16"/>
      <c r="FUT71" s="16"/>
      <c r="FUU71" s="16"/>
      <c r="FUV71" s="16"/>
      <c r="FUW71" s="16"/>
      <c r="FUX71" s="16"/>
      <c r="FUY71" s="16"/>
      <c r="FUZ71" s="16"/>
      <c r="FVA71" s="16"/>
      <c r="FVB71" s="16"/>
      <c r="FVC71" s="16"/>
      <c r="FVD71" s="16"/>
      <c r="FVE71" s="16"/>
      <c r="FVF71" s="16"/>
      <c r="FVG71" s="16"/>
      <c r="FVH71" s="16"/>
      <c r="FVI71" s="16"/>
      <c r="FVJ71" s="16"/>
      <c r="FVK71" s="16"/>
      <c r="FVL71" s="16"/>
      <c r="FVM71" s="16"/>
      <c r="FVN71" s="16"/>
      <c r="FVO71" s="16"/>
      <c r="FVP71" s="16"/>
      <c r="FVQ71" s="16"/>
      <c r="FVR71" s="16"/>
      <c r="FVS71" s="16"/>
      <c r="FVT71" s="16"/>
      <c r="FVU71" s="16"/>
      <c r="FVV71" s="16"/>
      <c r="FVW71" s="16"/>
      <c r="FVX71" s="16"/>
      <c r="FVY71" s="16"/>
      <c r="FVZ71" s="16"/>
      <c r="FWA71" s="16"/>
      <c r="FWB71" s="16"/>
      <c r="FWC71" s="16"/>
      <c r="FWD71" s="16"/>
      <c r="FWE71" s="16"/>
      <c r="FWF71" s="16"/>
      <c r="FWG71" s="16"/>
      <c r="FWH71" s="16"/>
      <c r="FWI71" s="16"/>
      <c r="FWJ71" s="16"/>
      <c r="FWK71" s="16"/>
      <c r="FWL71" s="16"/>
      <c r="FWM71" s="16"/>
      <c r="FWN71" s="16"/>
      <c r="FWO71" s="16"/>
      <c r="FWP71" s="16"/>
      <c r="FWQ71" s="16"/>
      <c r="FWR71" s="16"/>
      <c r="FWS71" s="16"/>
      <c r="FWT71" s="16"/>
      <c r="FWU71" s="16"/>
      <c r="FWV71" s="16"/>
      <c r="FWW71" s="16"/>
      <c r="FWX71" s="16"/>
      <c r="FWY71" s="16"/>
      <c r="FWZ71" s="16"/>
      <c r="FXA71" s="16"/>
      <c r="FXB71" s="16"/>
      <c r="FXC71" s="16"/>
      <c r="FXD71" s="16"/>
      <c r="FXE71" s="16"/>
      <c r="FXF71" s="16"/>
      <c r="FXG71" s="16"/>
      <c r="FXH71" s="16"/>
      <c r="FXI71" s="16"/>
      <c r="FXJ71" s="16"/>
      <c r="FXK71" s="16"/>
      <c r="FXL71" s="16"/>
      <c r="FXM71" s="16"/>
      <c r="FXN71" s="16"/>
      <c r="FXO71" s="16"/>
      <c r="FXP71" s="16"/>
      <c r="FXQ71" s="16"/>
      <c r="FXR71" s="16"/>
      <c r="FXS71" s="16"/>
      <c r="FXT71" s="16"/>
      <c r="FXU71" s="16"/>
      <c r="FXV71" s="16"/>
      <c r="FXW71" s="16"/>
      <c r="FXX71" s="16"/>
      <c r="FXY71" s="16"/>
      <c r="FXZ71" s="16"/>
      <c r="FYA71" s="16"/>
      <c r="FYB71" s="16"/>
      <c r="FYC71" s="16"/>
      <c r="FYD71" s="16"/>
      <c r="FYE71" s="16"/>
      <c r="FYF71" s="16"/>
      <c r="FYG71" s="16"/>
      <c r="FYH71" s="16"/>
      <c r="FYI71" s="16"/>
      <c r="FYJ71" s="16"/>
      <c r="FYK71" s="16"/>
      <c r="FYL71" s="16"/>
      <c r="FYM71" s="16"/>
      <c r="FYN71" s="16"/>
      <c r="FYO71" s="16"/>
      <c r="FYP71" s="16"/>
      <c r="FYQ71" s="16"/>
      <c r="FYR71" s="16"/>
      <c r="FYS71" s="16"/>
      <c r="FYT71" s="16"/>
      <c r="FYU71" s="16"/>
      <c r="FYV71" s="16"/>
      <c r="FYW71" s="16"/>
      <c r="FYX71" s="16"/>
      <c r="FYY71" s="16"/>
      <c r="FYZ71" s="16"/>
      <c r="FZA71" s="16"/>
      <c r="FZB71" s="16"/>
      <c r="FZC71" s="16"/>
      <c r="FZD71" s="16"/>
      <c r="FZE71" s="16"/>
      <c r="FZF71" s="16"/>
      <c r="FZG71" s="16"/>
      <c r="FZH71" s="16"/>
      <c r="FZI71" s="16"/>
      <c r="FZJ71" s="16"/>
      <c r="FZK71" s="16"/>
      <c r="FZL71" s="16"/>
      <c r="FZM71" s="16"/>
      <c r="FZN71" s="16"/>
      <c r="FZO71" s="16"/>
      <c r="FZP71" s="16"/>
      <c r="FZQ71" s="16"/>
      <c r="FZR71" s="16"/>
      <c r="FZS71" s="16"/>
      <c r="FZT71" s="16"/>
      <c r="FZU71" s="16"/>
      <c r="FZV71" s="16"/>
      <c r="FZW71" s="16"/>
      <c r="FZX71" s="16"/>
      <c r="FZY71" s="16"/>
      <c r="FZZ71" s="16"/>
      <c r="GAA71" s="16"/>
      <c r="GAB71" s="16"/>
      <c r="GAC71" s="16"/>
      <c r="GAD71" s="16"/>
      <c r="GAE71" s="16"/>
      <c r="GAF71" s="16"/>
      <c r="GAG71" s="16"/>
      <c r="GAH71" s="16"/>
      <c r="GAI71" s="16"/>
      <c r="GAJ71" s="16"/>
      <c r="GAK71" s="16"/>
      <c r="GAL71" s="16"/>
      <c r="GAM71" s="16"/>
      <c r="GAN71" s="16"/>
      <c r="GAO71" s="16"/>
      <c r="GAP71" s="16"/>
      <c r="GAQ71" s="16"/>
      <c r="GAR71" s="16"/>
      <c r="GAS71" s="16"/>
      <c r="GAT71" s="16"/>
      <c r="GAU71" s="16"/>
      <c r="GAV71" s="16"/>
      <c r="GAW71" s="16"/>
      <c r="GAX71" s="16"/>
      <c r="GAY71" s="16"/>
      <c r="GAZ71" s="16"/>
      <c r="GBA71" s="16"/>
      <c r="GBB71" s="16"/>
      <c r="GBC71" s="16"/>
      <c r="GBD71" s="16"/>
      <c r="GBE71" s="16"/>
      <c r="GBF71" s="16"/>
      <c r="GBG71" s="16"/>
      <c r="GBH71" s="16"/>
      <c r="GBI71" s="16"/>
      <c r="GBJ71" s="16"/>
      <c r="GBK71" s="16"/>
      <c r="GBL71" s="16"/>
      <c r="GBM71" s="16"/>
      <c r="GBN71" s="16"/>
      <c r="GBO71" s="16"/>
      <c r="GBP71" s="16"/>
      <c r="GBQ71" s="16"/>
      <c r="GBR71" s="16"/>
      <c r="GBS71" s="16"/>
      <c r="GBT71" s="16"/>
      <c r="GBU71" s="16"/>
      <c r="GBV71" s="16"/>
      <c r="GBW71" s="16"/>
      <c r="GBX71" s="16"/>
      <c r="GBY71" s="16"/>
      <c r="GBZ71" s="16"/>
      <c r="GCA71" s="16"/>
      <c r="GCB71" s="16"/>
      <c r="GCC71" s="16"/>
      <c r="GCD71" s="16"/>
      <c r="GCE71" s="16"/>
      <c r="GCF71" s="16"/>
      <c r="GCG71" s="16"/>
      <c r="GCH71" s="16"/>
      <c r="GCI71" s="16"/>
      <c r="GCJ71" s="16"/>
      <c r="GCK71" s="16"/>
      <c r="GCL71" s="16"/>
      <c r="GCM71" s="16"/>
      <c r="GCN71" s="16"/>
      <c r="GCO71" s="16"/>
      <c r="GCP71" s="16"/>
      <c r="GCQ71" s="16"/>
      <c r="GCR71" s="16"/>
      <c r="GCS71" s="16"/>
      <c r="GCT71" s="16"/>
      <c r="GCU71" s="16"/>
      <c r="GCV71" s="16"/>
      <c r="GCW71" s="16"/>
      <c r="GCX71" s="16"/>
      <c r="GCY71" s="16"/>
      <c r="GCZ71" s="16"/>
      <c r="GDA71" s="16"/>
      <c r="GDB71" s="16"/>
      <c r="GDC71" s="16"/>
      <c r="GDD71" s="16"/>
      <c r="GDE71" s="16"/>
      <c r="GDF71" s="16"/>
      <c r="GDG71" s="16"/>
      <c r="GDH71" s="16"/>
      <c r="GDI71" s="16"/>
      <c r="GDJ71" s="16"/>
      <c r="GDK71" s="16"/>
      <c r="GDL71" s="16"/>
      <c r="GDM71" s="16"/>
      <c r="GDN71" s="16"/>
      <c r="GDO71" s="16"/>
      <c r="GDP71" s="16"/>
      <c r="GDQ71" s="16"/>
      <c r="GDR71" s="16"/>
      <c r="GDS71" s="16"/>
      <c r="GDT71" s="16"/>
      <c r="GDU71" s="16"/>
      <c r="GDV71" s="16"/>
      <c r="GDW71" s="16"/>
      <c r="GDX71" s="16"/>
      <c r="GDY71" s="16"/>
      <c r="GDZ71" s="16"/>
      <c r="GEA71" s="16"/>
      <c r="GEB71" s="16"/>
      <c r="GEC71" s="16"/>
      <c r="GED71" s="16"/>
      <c r="GEE71" s="16"/>
      <c r="GEF71" s="16"/>
      <c r="GEG71" s="16"/>
      <c r="GEH71" s="16"/>
      <c r="GEI71" s="16"/>
      <c r="GEJ71" s="16"/>
      <c r="GEK71" s="16"/>
      <c r="GEL71" s="16"/>
      <c r="GEM71" s="16"/>
      <c r="GEN71" s="16"/>
      <c r="GEO71" s="16"/>
      <c r="GEP71" s="16"/>
      <c r="GEQ71" s="16"/>
      <c r="GER71" s="16"/>
      <c r="GES71" s="16"/>
      <c r="GET71" s="16"/>
      <c r="GEU71" s="16"/>
      <c r="GEV71" s="16"/>
      <c r="GEW71" s="16"/>
      <c r="GEX71" s="16"/>
      <c r="GEY71" s="16"/>
      <c r="GEZ71" s="16"/>
      <c r="GFA71" s="16"/>
      <c r="GFB71" s="16"/>
      <c r="GFC71" s="16"/>
      <c r="GFD71" s="16"/>
      <c r="GFE71" s="16"/>
      <c r="GFF71" s="16"/>
      <c r="GFG71" s="16"/>
      <c r="GFH71" s="16"/>
      <c r="GFI71" s="16"/>
      <c r="GFJ71" s="16"/>
      <c r="GFK71" s="16"/>
      <c r="GFL71" s="16"/>
      <c r="GFM71" s="16"/>
      <c r="GFN71" s="16"/>
      <c r="GFO71" s="16"/>
      <c r="GFP71" s="16"/>
      <c r="GFQ71" s="16"/>
      <c r="GFR71" s="16"/>
      <c r="GFS71" s="16"/>
      <c r="GFT71" s="16"/>
      <c r="GFU71" s="16"/>
      <c r="GFV71" s="16"/>
      <c r="GFW71" s="16"/>
      <c r="GFX71" s="16"/>
      <c r="GFY71" s="16"/>
      <c r="GFZ71" s="16"/>
      <c r="GGA71" s="16"/>
      <c r="GGB71" s="16"/>
      <c r="GGC71" s="16"/>
      <c r="GGD71" s="16"/>
      <c r="GGE71" s="16"/>
      <c r="GGF71" s="16"/>
      <c r="GGG71" s="16"/>
      <c r="GGH71" s="16"/>
      <c r="GGI71" s="16"/>
      <c r="GGJ71" s="16"/>
      <c r="GGK71" s="16"/>
      <c r="GGL71" s="16"/>
      <c r="GGM71" s="16"/>
      <c r="GGN71" s="16"/>
      <c r="GGO71" s="16"/>
      <c r="GGP71" s="16"/>
      <c r="GGQ71" s="16"/>
      <c r="GGR71" s="16"/>
      <c r="GGS71" s="16"/>
      <c r="GGT71" s="16"/>
      <c r="GGU71" s="16"/>
      <c r="GGV71" s="16"/>
      <c r="GGW71" s="16"/>
      <c r="GGX71" s="16"/>
      <c r="GGY71" s="16"/>
      <c r="GGZ71" s="16"/>
      <c r="GHA71" s="16"/>
      <c r="GHB71" s="16"/>
      <c r="GHC71" s="16"/>
      <c r="GHD71" s="16"/>
      <c r="GHE71" s="16"/>
      <c r="GHF71" s="16"/>
      <c r="GHG71" s="16"/>
      <c r="GHH71" s="16"/>
      <c r="GHI71" s="16"/>
      <c r="GHJ71" s="16"/>
      <c r="GHK71" s="16"/>
      <c r="GHL71" s="16"/>
      <c r="GHM71" s="16"/>
      <c r="GHN71" s="16"/>
      <c r="GHO71" s="16"/>
      <c r="GHP71" s="16"/>
      <c r="GHQ71" s="16"/>
      <c r="GHR71" s="16"/>
      <c r="GHS71" s="16"/>
      <c r="GHT71" s="16"/>
      <c r="GHU71" s="16"/>
      <c r="GHV71" s="16"/>
      <c r="GHW71" s="16"/>
      <c r="GHX71" s="16"/>
      <c r="GHY71" s="16"/>
      <c r="GHZ71" s="16"/>
      <c r="GIA71" s="16"/>
      <c r="GIB71" s="16"/>
      <c r="GIC71" s="16"/>
      <c r="GID71" s="16"/>
      <c r="GIE71" s="16"/>
      <c r="GIF71" s="16"/>
      <c r="GIG71" s="16"/>
      <c r="GIH71" s="16"/>
      <c r="GII71" s="16"/>
      <c r="GIJ71" s="16"/>
      <c r="GIK71" s="16"/>
      <c r="GIL71" s="16"/>
      <c r="GIM71" s="16"/>
      <c r="GIN71" s="16"/>
      <c r="GIO71" s="16"/>
      <c r="GIP71" s="16"/>
      <c r="GIQ71" s="16"/>
      <c r="GIR71" s="16"/>
      <c r="GIS71" s="16"/>
      <c r="GIT71" s="16"/>
      <c r="GIU71" s="16"/>
      <c r="GIV71" s="16"/>
      <c r="GIW71" s="16"/>
      <c r="GIX71" s="16"/>
      <c r="GIY71" s="16"/>
      <c r="GIZ71" s="16"/>
      <c r="GJA71" s="16"/>
      <c r="GJB71" s="16"/>
      <c r="GJC71" s="16"/>
      <c r="GJD71" s="16"/>
      <c r="GJE71" s="16"/>
      <c r="GJF71" s="16"/>
      <c r="GJG71" s="16"/>
      <c r="GJH71" s="16"/>
      <c r="GJI71" s="16"/>
      <c r="GJJ71" s="16"/>
      <c r="GJK71" s="16"/>
      <c r="GJL71" s="16"/>
      <c r="GJM71" s="16"/>
      <c r="GJN71" s="16"/>
      <c r="GJO71" s="16"/>
      <c r="GJP71" s="16"/>
      <c r="GJQ71" s="16"/>
      <c r="GJR71" s="16"/>
      <c r="GJS71" s="16"/>
      <c r="GJT71" s="16"/>
      <c r="GJU71" s="16"/>
      <c r="GJV71" s="16"/>
      <c r="GJW71" s="16"/>
      <c r="GJX71" s="16"/>
      <c r="GJY71" s="16"/>
      <c r="GJZ71" s="16"/>
      <c r="GKA71" s="16"/>
      <c r="GKB71" s="16"/>
      <c r="GKC71" s="16"/>
      <c r="GKD71" s="16"/>
      <c r="GKE71" s="16"/>
      <c r="GKF71" s="16"/>
      <c r="GKG71" s="16"/>
      <c r="GKH71" s="16"/>
      <c r="GKI71" s="16"/>
      <c r="GKJ71" s="16"/>
      <c r="GKK71" s="16"/>
      <c r="GKL71" s="16"/>
      <c r="GKM71" s="16"/>
      <c r="GKN71" s="16"/>
      <c r="GKO71" s="16"/>
      <c r="GKP71" s="16"/>
      <c r="GKQ71" s="16"/>
      <c r="GKR71" s="16"/>
      <c r="GKS71" s="16"/>
      <c r="GKT71" s="16"/>
      <c r="GKU71" s="16"/>
      <c r="GKV71" s="16"/>
      <c r="GKW71" s="16"/>
      <c r="GKX71" s="16"/>
      <c r="GKY71" s="16"/>
      <c r="GKZ71" s="16"/>
      <c r="GLA71" s="16"/>
      <c r="GLB71" s="16"/>
      <c r="GLC71" s="16"/>
      <c r="GLD71" s="16"/>
      <c r="GLE71" s="16"/>
      <c r="GLF71" s="16"/>
      <c r="GLG71" s="16"/>
      <c r="GLH71" s="16"/>
      <c r="GLI71" s="16"/>
      <c r="GLJ71" s="16"/>
      <c r="GLK71" s="16"/>
      <c r="GLL71" s="16"/>
      <c r="GLM71" s="16"/>
      <c r="GLN71" s="16"/>
      <c r="GLO71" s="16"/>
      <c r="GLP71" s="16"/>
      <c r="GLQ71" s="16"/>
      <c r="GLR71" s="16"/>
      <c r="GLS71" s="16"/>
      <c r="GLT71" s="16"/>
      <c r="GLU71" s="16"/>
      <c r="GLV71" s="16"/>
      <c r="GLW71" s="16"/>
      <c r="GLX71" s="16"/>
      <c r="GLY71" s="16"/>
      <c r="GLZ71" s="16"/>
      <c r="GMA71" s="16"/>
      <c r="GMB71" s="16"/>
      <c r="GMC71" s="16"/>
      <c r="GMD71" s="16"/>
      <c r="GME71" s="16"/>
      <c r="GMF71" s="16"/>
      <c r="GMG71" s="16"/>
      <c r="GMH71" s="16"/>
      <c r="GMI71" s="16"/>
      <c r="GMJ71" s="16"/>
      <c r="GMK71" s="16"/>
      <c r="GML71" s="16"/>
      <c r="GMM71" s="16"/>
      <c r="GMN71" s="16"/>
      <c r="GMO71" s="16"/>
      <c r="GMP71" s="16"/>
      <c r="GMQ71" s="16"/>
      <c r="GMR71" s="16"/>
      <c r="GMS71" s="16"/>
      <c r="GMT71" s="16"/>
      <c r="GMU71" s="16"/>
      <c r="GMV71" s="16"/>
      <c r="GMW71" s="16"/>
      <c r="GMX71" s="16"/>
      <c r="GMY71" s="16"/>
      <c r="GMZ71" s="16"/>
      <c r="GNA71" s="16"/>
      <c r="GNB71" s="16"/>
      <c r="GNC71" s="16"/>
      <c r="GND71" s="16"/>
      <c r="GNE71" s="16"/>
      <c r="GNF71" s="16"/>
      <c r="GNG71" s="16"/>
      <c r="GNH71" s="16"/>
      <c r="GNI71" s="16"/>
      <c r="GNJ71" s="16"/>
      <c r="GNK71" s="16"/>
      <c r="GNL71" s="16"/>
      <c r="GNM71" s="16"/>
      <c r="GNN71" s="16"/>
      <c r="GNO71" s="16"/>
      <c r="GNP71" s="16"/>
      <c r="GNQ71" s="16"/>
      <c r="GNR71" s="16"/>
      <c r="GNS71" s="16"/>
      <c r="GNT71" s="16"/>
      <c r="GNU71" s="16"/>
      <c r="GNV71" s="16"/>
      <c r="GNW71" s="16"/>
      <c r="GNX71" s="16"/>
      <c r="GNY71" s="16"/>
      <c r="GNZ71" s="16"/>
      <c r="GOA71" s="16"/>
      <c r="GOB71" s="16"/>
      <c r="GOC71" s="16"/>
      <c r="GOD71" s="16"/>
      <c r="GOE71" s="16"/>
      <c r="GOF71" s="16"/>
      <c r="GOG71" s="16"/>
      <c r="GOH71" s="16"/>
      <c r="GOI71" s="16"/>
      <c r="GOJ71" s="16"/>
      <c r="GOK71" s="16"/>
      <c r="GOL71" s="16"/>
      <c r="GOM71" s="16"/>
      <c r="GON71" s="16"/>
      <c r="GOO71" s="16"/>
      <c r="GOP71" s="16"/>
      <c r="GOQ71" s="16"/>
      <c r="GOR71" s="16"/>
      <c r="GOS71" s="16"/>
      <c r="GOT71" s="16"/>
      <c r="GOU71" s="16"/>
      <c r="GOV71" s="16"/>
      <c r="GOW71" s="16"/>
      <c r="GOX71" s="16"/>
      <c r="GOY71" s="16"/>
      <c r="GOZ71" s="16"/>
      <c r="GPA71" s="16"/>
      <c r="GPB71" s="16"/>
      <c r="GPC71" s="16"/>
      <c r="GPD71" s="16"/>
      <c r="GPE71" s="16"/>
      <c r="GPF71" s="16"/>
      <c r="GPG71" s="16"/>
      <c r="GPH71" s="16"/>
      <c r="GPI71" s="16"/>
      <c r="GPJ71" s="16"/>
      <c r="GPK71" s="16"/>
      <c r="GPL71" s="16"/>
      <c r="GPM71" s="16"/>
      <c r="GPN71" s="16"/>
      <c r="GPO71" s="16"/>
      <c r="GPP71" s="16"/>
      <c r="GPQ71" s="16"/>
      <c r="GPR71" s="16"/>
      <c r="GPS71" s="16"/>
      <c r="GPT71" s="16"/>
      <c r="GPU71" s="16"/>
      <c r="GPV71" s="16"/>
      <c r="GPW71" s="16"/>
      <c r="GPX71" s="16"/>
      <c r="GPY71" s="16"/>
      <c r="GPZ71" s="16"/>
      <c r="GQA71" s="16"/>
      <c r="GQB71" s="16"/>
      <c r="GQC71" s="16"/>
      <c r="GQD71" s="16"/>
      <c r="GQE71" s="16"/>
      <c r="GQF71" s="16"/>
      <c r="GQG71" s="16"/>
      <c r="GQH71" s="16"/>
      <c r="GQI71" s="16"/>
      <c r="GQJ71" s="16"/>
      <c r="GQK71" s="16"/>
      <c r="GQL71" s="16"/>
      <c r="GQM71" s="16"/>
      <c r="GQN71" s="16"/>
      <c r="GQO71" s="16"/>
      <c r="GQP71" s="16"/>
      <c r="GQQ71" s="16"/>
      <c r="GQR71" s="16"/>
      <c r="GQS71" s="16"/>
      <c r="GQT71" s="16"/>
      <c r="GQU71" s="16"/>
      <c r="GQV71" s="16"/>
      <c r="GQW71" s="16"/>
      <c r="GQX71" s="16"/>
      <c r="GQY71" s="16"/>
      <c r="GQZ71" s="16"/>
      <c r="GRA71" s="16"/>
      <c r="GRB71" s="16"/>
      <c r="GRC71" s="16"/>
      <c r="GRD71" s="16"/>
      <c r="GRE71" s="16"/>
      <c r="GRF71" s="16"/>
      <c r="GRG71" s="16"/>
      <c r="GRH71" s="16"/>
      <c r="GRI71" s="16"/>
      <c r="GRJ71" s="16"/>
      <c r="GRK71" s="16"/>
      <c r="GRL71" s="16"/>
      <c r="GRM71" s="16"/>
      <c r="GRN71" s="16"/>
      <c r="GRO71" s="16"/>
      <c r="GRP71" s="16"/>
      <c r="GRQ71" s="16"/>
      <c r="GRR71" s="16"/>
      <c r="GRS71" s="16"/>
      <c r="GRT71" s="16"/>
      <c r="GRU71" s="16"/>
      <c r="GRV71" s="16"/>
      <c r="GRW71" s="16"/>
      <c r="GRX71" s="16"/>
      <c r="GRY71" s="16"/>
      <c r="GRZ71" s="16"/>
      <c r="GSA71" s="16"/>
      <c r="GSB71" s="16"/>
      <c r="GSC71" s="16"/>
      <c r="GSD71" s="16"/>
      <c r="GSE71" s="16"/>
      <c r="GSF71" s="16"/>
      <c r="GSG71" s="16"/>
      <c r="GSH71" s="16"/>
      <c r="GSI71" s="16"/>
      <c r="GSJ71" s="16"/>
      <c r="GSK71" s="16"/>
      <c r="GSL71" s="16"/>
      <c r="GSM71" s="16"/>
      <c r="GSN71" s="16"/>
      <c r="GSO71" s="16"/>
      <c r="GSP71" s="16"/>
      <c r="GSQ71" s="16"/>
      <c r="GSR71" s="16"/>
      <c r="GSS71" s="16"/>
      <c r="GST71" s="16"/>
      <c r="GSU71" s="16"/>
      <c r="GSV71" s="16"/>
      <c r="GSW71" s="16"/>
      <c r="GSX71" s="16"/>
      <c r="GSY71" s="16"/>
      <c r="GSZ71" s="16"/>
      <c r="GTA71" s="16"/>
      <c r="GTB71" s="16"/>
      <c r="GTC71" s="16"/>
      <c r="GTD71" s="16"/>
      <c r="GTE71" s="16"/>
      <c r="GTF71" s="16"/>
      <c r="GTG71" s="16"/>
      <c r="GTH71" s="16"/>
      <c r="GTI71" s="16"/>
      <c r="GTJ71" s="16"/>
      <c r="GTK71" s="16"/>
      <c r="GTL71" s="16"/>
      <c r="GTM71" s="16"/>
      <c r="GTN71" s="16"/>
      <c r="GTO71" s="16"/>
      <c r="GTP71" s="16"/>
      <c r="GTQ71" s="16"/>
      <c r="GTR71" s="16"/>
      <c r="GTS71" s="16"/>
      <c r="GTT71" s="16"/>
      <c r="GTU71" s="16"/>
      <c r="GTV71" s="16"/>
      <c r="GTW71" s="16"/>
      <c r="GTX71" s="16"/>
      <c r="GTY71" s="16"/>
      <c r="GTZ71" s="16"/>
      <c r="GUA71" s="16"/>
      <c r="GUB71" s="16"/>
      <c r="GUC71" s="16"/>
      <c r="GUD71" s="16"/>
      <c r="GUE71" s="16"/>
      <c r="GUF71" s="16"/>
      <c r="GUG71" s="16"/>
      <c r="GUH71" s="16"/>
      <c r="GUI71" s="16"/>
      <c r="GUJ71" s="16"/>
      <c r="GUK71" s="16"/>
      <c r="GUL71" s="16"/>
      <c r="GUM71" s="16"/>
      <c r="GUN71" s="16"/>
      <c r="GUO71" s="16"/>
      <c r="GUP71" s="16"/>
      <c r="GUQ71" s="16"/>
      <c r="GUR71" s="16"/>
      <c r="GUS71" s="16"/>
      <c r="GUT71" s="16"/>
      <c r="GUU71" s="16"/>
      <c r="GUV71" s="16"/>
      <c r="GUW71" s="16"/>
      <c r="GUX71" s="16"/>
      <c r="GUY71" s="16"/>
      <c r="GUZ71" s="16"/>
      <c r="GVA71" s="16"/>
      <c r="GVB71" s="16"/>
      <c r="GVC71" s="16"/>
      <c r="GVD71" s="16"/>
      <c r="GVE71" s="16"/>
      <c r="GVF71" s="16"/>
      <c r="GVG71" s="16"/>
      <c r="GVH71" s="16"/>
      <c r="GVI71" s="16"/>
      <c r="GVJ71" s="16"/>
      <c r="GVK71" s="16"/>
      <c r="GVL71" s="16"/>
      <c r="GVM71" s="16"/>
      <c r="GVN71" s="16"/>
      <c r="GVO71" s="16"/>
      <c r="GVP71" s="16"/>
      <c r="GVQ71" s="16"/>
      <c r="GVR71" s="16"/>
      <c r="GVS71" s="16"/>
      <c r="GVT71" s="16"/>
      <c r="GVU71" s="16"/>
      <c r="GVV71" s="16"/>
      <c r="GVW71" s="16"/>
      <c r="GVX71" s="16"/>
      <c r="GVY71" s="16"/>
      <c r="GVZ71" s="16"/>
      <c r="GWA71" s="16"/>
      <c r="GWB71" s="16"/>
      <c r="GWC71" s="16"/>
      <c r="GWD71" s="16"/>
      <c r="GWE71" s="16"/>
      <c r="GWF71" s="16"/>
      <c r="GWG71" s="16"/>
      <c r="GWH71" s="16"/>
      <c r="GWI71" s="16"/>
      <c r="GWJ71" s="16"/>
      <c r="GWK71" s="16"/>
      <c r="GWL71" s="16"/>
      <c r="GWM71" s="16"/>
      <c r="GWN71" s="16"/>
      <c r="GWO71" s="16"/>
      <c r="GWP71" s="16"/>
      <c r="GWQ71" s="16"/>
      <c r="GWR71" s="16"/>
      <c r="GWS71" s="16"/>
      <c r="GWT71" s="16"/>
      <c r="GWU71" s="16"/>
      <c r="GWV71" s="16"/>
      <c r="GWW71" s="16"/>
      <c r="GWX71" s="16"/>
      <c r="GWY71" s="16"/>
      <c r="GWZ71" s="16"/>
      <c r="GXA71" s="16"/>
      <c r="GXB71" s="16"/>
      <c r="GXC71" s="16"/>
      <c r="GXD71" s="16"/>
      <c r="GXE71" s="16"/>
      <c r="GXF71" s="16"/>
      <c r="GXG71" s="16"/>
      <c r="GXH71" s="16"/>
      <c r="GXI71" s="16"/>
      <c r="GXJ71" s="16"/>
      <c r="GXK71" s="16"/>
      <c r="GXL71" s="16"/>
      <c r="GXM71" s="16"/>
      <c r="GXN71" s="16"/>
      <c r="GXO71" s="16"/>
      <c r="GXP71" s="16"/>
      <c r="GXQ71" s="16"/>
      <c r="GXR71" s="16"/>
      <c r="GXS71" s="16"/>
      <c r="GXT71" s="16"/>
      <c r="GXU71" s="16"/>
      <c r="GXV71" s="16"/>
      <c r="GXW71" s="16"/>
      <c r="GXX71" s="16"/>
      <c r="GXY71" s="16"/>
      <c r="GXZ71" s="16"/>
      <c r="GYA71" s="16"/>
      <c r="GYB71" s="16"/>
      <c r="GYC71" s="16"/>
      <c r="GYD71" s="16"/>
      <c r="GYE71" s="16"/>
      <c r="GYF71" s="16"/>
      <c r="GYG71" s="16"/>
      <c r="GYH71" s="16"/>
      <c r="GYI71" s="16"/>
      <c r="GYJ71" s="16"/>
      <c r="GYK71" s="16"/>
      <c r="GYL71" s="16"/>
      <c r="GYM71" s="16"/>
      <c r="GYN71" s="16"/>
      <c r="GYO71" s="16"/>
      <c r="GYP71" s="16"/>
      <c r="GYQ71" s="16"/>
      <c r="GYR71" s="16"/>
      <c r="GYS71" s="16"/>
      <c r="GYT71" s="16"/>
      <c r="GYU71" s="16"/>
      <c r="GYV71" s="16"/>
      <c r="GYW71" s="16"/>
      <c r="GYX71" s="16"/>
      <c r="GYY71" s="16"/>
      <c r="GYZ71" s="16"/>
      <c r="GZA71" s="16"/>
      <c r="GZB71" s="16"/>
      <c r="GZC71" s="16"/>
      <c r="GZD71" s="16"/>
      <c r="GZE71" s="16"/>
      <c r="GZF71" s="16"/>
      <c r="GZG71" s="16"/>
      <c r="GZH71" s="16"/>
      <c r="GZI71" s="16"/>
      <c r="GZJ71" s="16"/>
      <c r="GZK71" s="16"/>
      <c r="GZL71" s="16"/>
      <c r="GZM71" s="16"/>
      <c r="GZN71" s="16"/>
      <c r="GZO71" s="16"/>
      <c r="GZP71" s="16"/>
      <c r="GZQ71" s="16"/>
      <c r="GZR71" s="16"/>
      <c r="GZS71" s="16"/>
      <c r="GZT71" s="16"/>
      <c r="GZU71" s="16"/>
      <c r="GZV71" s="16"/>
      <c r="GZW71" s="16"/>
      <c r="GZX71" s="16"/>
      <c r="GZY71" s="16"/>
      <c r="GZZ71" s="16"/>
      <c r="HAA71" s="16"/>
      <c r="HAB71" s="16"/>
      <c r="HAC71" s="16"/>
      <c r="HAD71" s="16"/>
      <c r="HAE71" s="16"/>
      <c r="HAF71" s="16"/>
      <c r="HAG71" s="16"/>
      <c r="HAH71" s="16"/>
      <c r="HAI71" s="16"/>
      <c r="HAJ71" s="16"/>
      <c r="HAK71" s="16"/>
      <c r="HAL71" s="16"/>
      <c r="HAM71" s="16"/>
      <c r="HAN71" s="16"/>
      <c r="HAO71" s="16"/>
      <c r="HAP71" s="16"/>
      <c r="HAQ71" s="16"/>
      <c r="HAR71" s="16"/>
      <c r="HAS71" s="16"/>
      <c r="HAT71" s="16"/>
      <c r="HAU71" s="16"/>
      <c r="HAV71" s="16"/>
      <c r="HAW71" s="16"/>
      <c r="HAX71" s="16"/>
      <c r="HAY71" s="16"/>
      <c r="HAZ71" s="16"/>
      <c r="HBA71" s="16"/>
      <c r="HBB71" s="16"/>
      <c r="HBC71" s="16"/>
      <c r="HBD71" s="16"/>
      <c r="HBE71" s="16"/>
      <c r="HBF71" s="16"/>
      <c r="HBG71" s="16"/>
      <c r="HBH71" s="16"/>
      <c r="HBI71" s="16"/>
      <c r="HBJ71" s="16"/>
      <c r="HBK71" s="16"/>
      <c r="HBL71" s="16"/>
      <c r="HBM71" s="16"/>
      <c r="HBN71" s="16"/>
      <c r="HBO71" s="16"/>
      <c r="HBP71" s="16"/>
      <c r="HBQ71" s="16"/>
      <c r="HBR71" s="16"/>
      <c r="HBS71" s="16"/>
      <c r="HBT71" s="16"/>
      <c r="HBU71" s="16"/>
      <c r="HBV71" s="16"/>
      <c r="HBW71" s="16"/>
      <c r="HBX71" s="16"/>
      <c r="HBY71" s="16"/>
      <c r="HBZ71" s="16"/>
      <c r="HCA71" s="16"/>
      <c r="HCB71" s="16"/>
      <c r="HCC71" s="16"/>
      <c r="HCD71" s="16"/>
      <c r="HCE71" s="16"/>
      <c r="HCF71" s="16"/>
      <c r="HCG71" s="16"/>
      <c r="HCH71" s="16"/>
      <c r="HCI71" s="16"/>
      <c r="HCJ71" s="16"/>
      <c r="HCK71" s="16"/>
      <c r="HCL71" s="16"/>
      <c r="HCM71" s="16"/>
      <c r="HCN71" s="16"/>
      <c r="HCO71" s="16"/>
      <c r="HCP71" s="16"/>
      <c r="HCQ71" s="16"/>
      <c r="HCR71" s="16"/>
      <c r="HCS71" s="16"/>
      <c r="HCT71" s="16"/>
      <c r="HCU71" s="16"/>
      <c r="HCV71" s="16"/>
      <c r="HCW71" s="16"/>
      <c r="HCX71" s="16"/>
      <c r="HCY71" s="16"/>
      <c r="HCZ71" s="16"/>
      <c r="HDA71" s="16"/>
      <c r="HDB71" s="16"/>
      <c r="HDC71" s="16"/>
      <c r="HDD71" s="16"/>
      <c r="HDE71" s="16"/>
      <c r="HDF71" s="16"/>
      <c r="HDG71" s="16"/>
      <c r="HDH71" s="16"/>
      <c r="HDI71" s="16"/>
      <c r="HDJ71" s="16"/>
      <c r="HDK71" s="16"/>
      <c r="HDL71" s="16"/>
      <c r="HDM71" s="16"/>
      <c r="HDN71" s="16"/>
      <c r="HDO71" s="16"/>
      <c r="HDP71" s="16"/>
      <c r="HDQ71" s="16"/>
      <c r="HDR71" s="16"/>
      <c r="HDS71" s="16"/>
      <c r="HDT71" s="16"/>
      <c r="HDU71" s="16"/>
      <c r="HDV71" s="16"/>
      <c r="HDW71" s="16"/>
      <c r="HDX71" s="16"/>
      <c r="HDY71" s="16"/>
      <c r="HDZ71" s="16"/>
      <c r="HEA71" s="16"/>
      <c r="HEB71" s="16"/>
      <c r="HEC71" s="16"/>
      <c r="HED71" s="16"/>
      <c r="HEE71" s="16"/>
      <c r="HEF71" s="16"/>
      <c r="HEG71" s="16"/>
      <c r="HEH71" s="16"/>
      <c r="HEI71" s="16"/>
      <c r="HEJ71" s="16"/>
      <c r="HEK71" s="16"/>
      <c r="HEL71" s="16"/>
      <c r="HEM71" s="16"/>
      <c r="HEN71" s="16"/>
      <c r="HEO71" s="16"/>
      <c r="HEP71" s="16"/>
      <c r="HEQ71" s="16"/>
      <c r="HER71" s="16"/>
      <c r="HES71" s="16"/>
      <c r="HET71" s="16"/>
      <c r="HEU71" s="16"/>
      <c r="HEV71" s="16"/>
      <c r="HEW71" s="16"/>
      <c r="HEX71" s="16"/>
      <c r="HEY71" s="16"/>
      <c r="HEZ71" s="16"/>
      <c r="HFA71" s="16"/>
      <c r="HFB71" s="16"/>
      <c r="HFC71" s="16"/>
      <c r="HFD71" s="16"/>
      <c r="HFE71" s="16"/>
      <c r="HFF71" s="16"/>
      <c r="HFG71" s="16"/>
      <c r="HFH71" s="16"/>
      <c r="HFI71" s="16"/>
      <c r="HFJ71" s="16"/>
      <c r="HFK71" s="16"/>
      <c r="HFL71" s="16"/>
      <c r="HFM71" s="16"/>
      <c r="HFN71" s="16"/>
      <c r="HFO71" s="16"/>
      <c r="HFP71" s="16"/>
      <c r="HFQ71" s="16"/>
      <c r="HFR71" s="16"/>
      <c r="HFS71" s="16"/>
      <c r="HFT71" s="16"/>
      <c r="HFU71" s="16"/>
      <c r="HFV71" s="16"/>
      <c r="HFW71" s="16"/>
      <c r="HFX71" s="16"/>
      <c r="HFY71" s="16"/>
      <c r="HFZ71" s="16"/>
      <c r="HGA71" s="16"/>
      <c r="HGB71" s="16"/>
      <c r="HGC71" s="16"/>
      <c r="HGD71" s="16"/>
      <c r="HGE71" s="16"/>
      <c r="HGF71" s="16"/>
      <c r="HGG71" s="16"/>
      <c r="HGH71" s="16"/>
      <c r="HGI71" s="16"/>
      <c r="HGJ71" s="16"/>
      <c r="HGK71" s="16"/>
      <c r="HGL71" s="16"/>
      <c r="HGM71" s="16"/>
      <c r="HGN71" s="16"/>
      <c r="HGO71" s="16"/>
      <c r="HGP71" s="16"/>
      <c r="HGQ71" s="16"/>
      <c r="HGR71" s="16"/>
      <c r="HGS71" s="16"/>
      <c r="HGT71" s="16"/>
      <c r="HGU71" s="16"/>
      <c r="HGV71" s="16"/>
      <c r="HGW71" s="16"/>
      <c r="HGX71" s="16"/>
      <c r="HGY71" s="16"/>
      <c r="HGZ71" s="16"/>
      <c r="HHA71" s="16"/>
      <c r="HHB71" s="16"/>
      <c r="HHC71" s="16"/>
      <c r="HHD71" s="16"/>
      <c r="HHE71" s="16"/>
      <c r="HHF71" s="16"/>
      <c r="HHG71" s="16"/>
      <c r="HHH71" s="16"/>
      <c r="HHI71" s="16"/>
      <c r="HHJ71" s="16"/>
      <c r="HHK71" s="16"/>
      <c r="HHL71" s="16"/>
      <c r="HHM71" s="16"/>
      <c r="HHN71" s="16"/>
      <c r="HHO71" s="16"/>
      <c r="HHP71" s="16"/>
      <c r="HHQ71" s="16"/>
      <c r="HHR71" s="16"/>
      <c r="HHS71" s="16"/>
      <c r="HHT71" s="16"/>
      <c r="HHU71" s="16"/>
      <c r="HHV71" s="16"/>
      <c r="HHW71" s="16"/>
      <c r="HHX71" s="16"/>
      <c r="HHY71" s="16"/>
      <c r="HHZ71" s="16"/>
      <c r="HIA71" s="16"/>
      <c r="HIB71" s="16"/>
      <c r="HIC71" s="16"/>
      <c r="HID71" s="16"/>
      <c r="HIE71" s="16"/>
      <c r="HIF71" s="16"/>
      <c r="HIG71" s="16"/>
      <c r="HIH71" s="16"/>
      <c r="HII71" s="16"/>
      <c r="HIJ71" s="16"/>
      <c r="HIK71" s="16"/>
      <c r="HIL71" s="16"/>
      <c r="HIM71" s="16"/>
      <c r="HIN71" s="16"/>
      <c r="HIO71" s="16"/>
      <c r="HIP71" s="16"/>
      <c r="HIQ71" s="16"/>
      <c r="HIR71" s="16"/>
      <c r="HIS71" s="16"/>
      <c r="HIT71" s="16"/>
      <c r="HIU71" s="16"/>
      <c r="HIV71" s="16"/>
      <c r="HIW71" s="16"/>
      <c r="HIX71" s="16"/>
      <c r="HIY71" s="16"/>
      <c r="HIZ71" s="16"/>
      <c r="HJA71" s="16"/>
      <c r="HJB71" s="16"/>
      <c r="HJC71" s="16"/>
      <c r="HJD71" s="16"/>
      <c r="HJE71" s="16"/>
      <c r="HJF71" s="16"/>
      <c r="HJG71" s="16"/>
      <c r="HJH71" s="16"/>
      <c r="HJI71" s="16"/>
      <c r="HJJ71" s="16"/>
      <c r="HJK71" s="16"/>
      <c r="HJL71" s="16"/>
      <c r="HJM71" s="16"/>
      <c r="HJN71" s="16"/>
      <c r="HJO71" s="16"/>
      <c r="HJP71" s="16"/>
      <c r="HJQ71" s="16"/>
      <c r="HJR71" s="16"/>
      <c r="HJS71" s="16"/>
      <c r="HJT71" s="16"/>
      <c r="HJU71" s="16"/>
      <c r="HJV71" s="16"/>
      <c r="HJW71" s="16"/>
      <c r="HJX71" s="16"/>
      <c r="HJY71" s="16"/>
      <c r="HJZ71" s="16"/>
      <c r="HKA71" s="16"/>
      <c r="HKB71" s="16"/>
      <c r="HKC71" s="16"/>
      <c r="HKD71" s="16"/>
      <c r="HKE71" s="16"/>
      <c r="HKF71" s="16"/>
      <c r="HKG71" s="16"/>
      <c r="HKH71" s="16"/>
      <c r="HKI71" s="16"/>
      <c r="HKJ71" s="16"/>
      <c r="HKK71" s="16"/>
      <c r="HKL71" s="16"/>
      <c r="HKM71" s="16"/>
      <c r="HKN71" s="16"/>
      <c r="HKO71" s="16"/>
      <c r="HKP71" s="16"/>
      <c r="HKQ71" s="16"/>
      <c r="HKR71" s="16"/>
      <c r="HKS71" s="16"/>
      <c r="HKT71" s="16"/>
      <c r="HKU71" s="16"/>
      <c r="HKV71" s="16"/>
      <c r="HKW71" s="16"/>
      <c r="HKX71" s="16"/>
      <c r="HKY71" s="16"/>
      <c r="HKZ71" s="16"/>
      <c r="HLA71" s="16"/>
      <c r="HLB71" s="16"/>
      <c r="HLC71" s="16"/>
      <c r="HLD71" s="16"/>
      <c r="HLE71" s="16"/>
      <c r="HLF71" s="16"/>
      <c r="HLG71" s="16"/>
      <c r="HLH71" s="16"/>
      <c r="HLI71" s="16"/>
      <c r="HLJ71" s="16"/>
      <c r="HLK71" s="16"/>
      <c r="HLL71" s="16"/>
      <c r="HLM71" s="16"/>
      <c r="HLN71" s="16"/>
      <c r="HLO71" s="16"/>
      <c r="HLP71" s="16"/>
      <c r="HLQ71" s="16"/>
      <c r="HLR71" s="16"/>
      <c r="HLS71" s="16"/>
      <c r="HLT71" s="16"/>
      <c r="HLU71" s="16"/>
      <c r="HLV71" s="16"/>
      <c r="HLW71" s="16"/>
      <c r="HLX71" s="16"/>
      <c r="HLY71" s="16"/>
      <c r="HLZ71" s="16"/>
      <c r="HMA71" s="16"/>
      <c r="HMB71" s="16"/>
      <c r="HMC71" s="16"/>
      <c r="HMD71" s="16"/>
      <c r="HME71" s="16"/>
      <c r="HMF71" s="16"/>
      <c r="HMG71" s="16"/>
      <c r="HMH71" s="16"/>
      <c r="HMI71" s="16"/>
      <c r="HMJ71" s="16"/>
      <c r="HMK71" s="16"/>
      <c r="HML71" s="16"/>
      <c r="HMM71" s="16"/>
      <c r="HMN71" s="16"/>
      <c r="HMO71" s="16"/>
      <c r="HMP71" s="16"/>
      <c r="HMQ71" s="16"/>
      <c r="HMR71" s="16"/>
      <c r="HMS71" s="16"/>
      <c r="HMT71" s="16"/>
      <c r="HMU71" s="16"/>
      <c r="HMV71" s="16"/>
      <c r="HMW71" s="16"/>
      <c r="HMX71" s="16"/>
      <c r="HMY71" s="16"/>
      <c r="HMZ71" s="16"/>
      <c r="HNA71" s="16"/>
      <c r="HNB71" s="16"/>
      <c r="HNC71" s="16"/>
      <c r="HND71" s="16"/>
      <c r="HNE71" s="16"/>
      <c r="HNF71" s="16"/>
      <c r="HNG71" s="16"/>
      <c r="HNH71" s="16"/>
      <c r="HNI71" s="16"/>
      <c r="HNJ71" s="16"/>
      <c r="HNK71" s="16"/>
      <c r="HNL71" s="16"/>
      <c r="HNM71" s="16"/>
      <c r="HNN71" s="16"/>
      <c r="HNO71" s="16"/>
      <c r="HNP71" s="16"/>
      <c r="HNQ71" s="16"/>
      <c r="HNR71" s="16"/>
      <c r="HNS71" s="16"/>
      <c r="HNT71" s="16"/>
      <c r="HNU71" s="16"/>
      <c r="HNV71" s="16"/>
      <c r="HNW71" s="16"/>
      <c r="HNX71" s="16"/>
      <c r="HNY71" s="16"/>
      <c r="HNZ71" s="16"/>
      <c r="HOA71" s="16"/>
      <c r="HOB71" s="16"/>
      <c r="HOC71" s="16"/>
      <c r="HOD71" s="16"/>
      <c r="HOE71" s="16"/>
      <c r="HOF71" s="16"/>
      <c r="HOG71" s="16"/>
      <c r="HOH71" s="16"/>
      <c r="HOI71" s="16"/>
      <c r="HOJ71" s="16"/>
      <c r="HOK71" s="16"/>
      <c r="HOL71" s="16"/>
      <c r="HOM71" s="16"/>
      <c r="HON71" s="16"/>
      <c r="HOO71" s="16"/>
      <c r="HOP71" s="16"/>
      <c r="HOQ71" s="16"/>
      <c r="HOR71" s="16"/>
      <c r="HOS71" s="16"/>
      <c r="HOT71" s="16"/>
      <c r="HOU71" s="16"/>
      <c r="HOV71" s="16"/>
      <c r="HOW71" s="16"/>
      <c r="HOX71" s="16"/>
      <c r="HOY71" s="16"/>
      <c r="HOZ71" s="16"/>
      <c r="HPA71" s="16"/>
      <c r="HPB71" s="16"/>
      <c r="HPC71" s="16"/>
      <c r="HPD71" s="16"/>
      <c r="HPE71" s="16"/>
      <c r="HPF71" s="16"/>
      <c r="HPG71" s="16"/>
      <c r="HPH71" s="16"/>
      <c r="HPI71" s="16"/>
      <c r="HPJ71" s="16"/>
      <c r="HPK71" s="16"/>
      <c r="HPL71" s="16"/>
      <c r="HPM71" s="16"/>
      <c r="HPN71" s="16"/>
      <c r="HPO71" s="16"/>
      <c r="HPP71" s="16"/>
      <c r="HPQ71" s="16"/>
      <c r="HPR71" s="16"/>
      <c r="HPS71" s="16"/>
      <c r="HPT71" s="16"/>
      <c r="HPU71" s="16"/>
      <c r="HPV71" s="16"/>
      <c r="HPW71" s="16"/>
      <c r="HPX71" s="16"/>
      <c r="HPY71" s="16"/>
      <c r="HPZ71" s="16"/>
      <c r="HQA71" s="16"/>
      <c r="HQB71" s="16"/>
      <c r="HQC71" s="16"/>
      <c r="HQD71" s="16"/>
      <c r="HQE71" s="16"/>
      <c r="HQF71" s="16"/>
      <c r="HQG71" s="16"/>
      <c r="HQH71" s="16"/>
      <c r="HQI71" s="16"/>
      <c r="HQJ71" s="16"/>
      <c r="HQK71" s="16"/>
      <c r="HQL71" s="16"/>
      <c r="HQM71" s="16"/>
      <c r="HQN71" s="16"/>
      <c r="HQO71" s="16"/>
      <c r="HQP71" s="16"/>
      <c r="HQQ71" s="16"/>
      <c r="HQR71" s="16"/>
      <c r="HQS71" s="16"/>
      <c r="HQT71" s="16"/>
      <c r="HQU71" s="16"/>
      <c r="HQV71" s="16"/>
      <c r="HQW71" s="16"/>
      <c r="HQX71" s="16"/>
      <c r="HQY71" s="16"/>
      <c r="HQZ71" s="16"/>
      <c r="HRA71" s="16"/>
      <c r="HRB71" s="16"/>
      <c r="HRC71" s="16"/>
      <c r="HRD71" s="16"/>
      <c r="HRE71" s="16"/>
      <c r="HRF71" s="16"/>
      <c r="HRG71" s="16"/>
      <c r="HRH71" s="16"/>
      <c r="HRI71" s="16"/>
      <c r="HRJ71" s="16"/>
      <c r="HRK71" s="16"/>
      <c r="HRL71" s="16"/>
      <c r="HRM71" s="16"/>
      <c r="HRN71" s="16"/>
      <c r="HRO71" s="16"/>
      <c r="HRP71" s="16"/>
      <c r="HRQ71" s="16"/>
      <c r="HRR71" s="16"/>
      <c r="HRS71" s="16"/>
      <c r="HRT71" s="16"/>
      <c r="HRU71" s="16"/>
      <c r="HRV71" s="16"/>
      <c r="HRW71" s="16"/>
      <c r="HRX71" s="16"/>
      <c r="HRY71" s="16"/>
      <c r="HRZ71" s="16"/>
      <c r="HSA71" s="16"/>
      <c r="HSB71" s="16"/>
      <c r="HSC71" s="16"/>
      <c r="HSD71" s="16"/>
      <c r="HSE71" s="16"/>
      <c r="HSF71" s="16"/>
      <c r="HSG71" s="16"/>
      <c r="HSH71" s="16"/>
      <c r="HSI71" s="16"/>
      <c r="HSJ71" s="16"/>
      <c r="HSK71" s="16"/>
      <c r="HSL71" s="16"/>
      <c r="HSM71" s="16"/>
      <c r="HSN71" s="16"/>
      <c r="HSO71" s="16"/>
      <c r="HSP71" s="16"/>
      <c r="HSQ71" s="16"/>
      <c r="HSR71" s="16"/>
      <c r="HSS71" s="16"/>
      <c r="HST71" s="16"/>
      <c r="HSU71" s="16"/>
      <c r="HSV71" s="16"/>
      <c r="HSW71" s="16"/>
      <c r="HSX71" s="16"/>
      <c r="HSY71" s="16"/>
      <c r="HSZ71" s="16"/>
      <c r="HTA71" s="16"/>
      <c r="HTB71" s="16"/>
      <c r="HTC71" s="16"/>
      <c r="HTD71" s="16"/>
      <c r="HTE71" s="16"/>
      <c r="HTF71" s="16"/>
      <c r="HTG71" s="16"/>
      <c r="HTH71" s="16"/>
      <c r="HTI71" s="16"/>
      <c r="HTJ71" s="16"/>
      <c r="HTK71" s="16"/>
      <c r="HTL71" s="16"/>
      <c r="HTM71" s="16"/>
      <c r="HTN71" s="16"/>
      <c r="HTO71" s="16"/>
      <c r="HTP71" s="16"/>
      <c r="HTQ71" s="16"/>
      <c r="HTR71" s="16"/>
      <c r="HTS71" s="16"/>
      <c r="HTT71" s="16"/>
      <c r="HTU71" s="16"/>
      <c r="HTV71" s="16"/>
      <c r="HTW71" s="16"/>
      <c r="HTX71" s="16"/>
      <c r="HTY71" s="16"/>
      <c r="HTZ71" s="16"/>
      <c r="HUA71" s="16"/>
      <c r="HUB71" s="16"/>
      <c r="HUC71" s="16"/>
      <c r="HUD71" s="16"/>
      <c r="HUE71" s="16"/>
      <c r="HUF71" s="16"/>
      <c r="HUG71" s="16"/>
      <c r="HUH71" s="16"/>
      <c r="HUI71" s="16"/>
      <c r="HUJ71" s="16"/>
      <c r="HUK71" s="16"/>
      <c r="HUL71" s="16"/>
      <c r="HUM71" s="16"/>
      <c r="HUN71" s="16"/>
      <c r="HUO71" s="16"/>
      <c r="HUP71" s="16"/>
      <c r="HUQ71" s="16"/>
      <c r="HUR71" s="16"/>
      <c r="HUS71" s="16"/>
      <c r="HUT71" s="16"/>
      <c r="HUU71" s="16"/>
      <c r="HUV71" s="16"/>
      <c r="HUW71" s="16"/>
      <c r="HUX71" s="16"/>
      <c r="HUY71" s="16"/>
      <c r="HUZ71" s="16"/>
      <c r="HVA71" s="16"/>
      <c r="HVB71" s="16"/>
      <c r="HVC71" s="16"/>
      <c r="HVD71" s="16"/>
      <c r="HVE71" s="16"/>
      <c r="HVF71" s="16"/>
      <c r="HVG71" s="16"/>
      <c r="HVH71" s="16"/>
      <c r="HVI71" s="16"/>
      <c r="HVJ71" s="16"/>
      <c r="HVK71" s="16"/>
      <c r="HVL71" s="16"/>
      <c r="HVM71" s="16"/>
      <c r="HVN71" s="16"/>
      <c r="HVO71" s="16"/>
      <c r="HVP71" s="16"/>
      <c r="HVQ71" s="16"/>
      <c r="HVR71" s="16"/>
      <c r="HVS71" s="16"/>
      <c r="HVT71" s="16"/>
      <c r="HVU71" s="16"/>
      <c r="HVV71" s="16"/>
      <c r="HVW71" s="16"/>
      <c r="HVX71" s="16"/>
      <c r="HVY71" s="16"/>
      <c r="HVZ71" s="16"/>
      <c r="HWA71" s="16"/>
      <c r="HWB71" s="16"/>
      <c r="HWC71" s="16"/>
      <c r="HWD71" s="16"/>
      <c r="HWE71" s="16"/>
      <c r="HWF71" s="16"/>
      <c r="HWG71" s="16"/>
      <c r="HWH71" s="16"/>
      <c r="HWI71" s="16"/>
      <c r="HWJ71" s="16"/>
      <c r="HWK71" s="16"/>
      <c r="HWL71" s="16"/>
      <c r="HWM71" s="16"/>
      <c r="HWN71" s="16"/>
      <c r="HWO71" s="16"/>
      <c r="HWP71" s="16"/>
      <c r="HWQ71" s="16"/>
      <c r="HWR71" s="16"/>
      <c r="HWS71" s="16"/>
      <c r="HWT71" s="16"/>
      <c r="HWU71" s="16"/>
      <c r="HWV71" s="16"/>
      <c r="HWW71" s="16"/>
      <c r="HWX71" s="16"/>
      <c r="HWY71" s="16"/>
      <c r="HWZ71" s="16"/>
      <c r="HXA71" s="16"/>
      <c r="HXB71" s="16"/>
      <c r="HXC71" s="16"/>
      <c r="HXD71" s="16"/>
      <c r="HXE71" s="16"/>
      <c r="HXF71" s="16"/>
      <c r="HXG71" s="16"/>
      <c r="HXH71" s="16"/>
      <c r="HXI71" s="16"/>
      <c r="HXJ71" s="16"/>
      <c r="HXK71" s="16"/>
      <c r="HXL71" s="16"/>
      <c r="HXM71" s="16"/>
      <c r="HXN71" s="16"/>
      <c r="HXO71" s="16"/>
      <c r="HXP71" s="16"/>
      <c r="HXQ71" s="16"/>
      <c r="HXR71" s="16"/>
      <c r="HXS71" s="16"/>
      <c r="HXT71" s="16"/>
      <c r="HXU71" s="16"/>
      <c r="HXV71" s="16"/>
      <c r="HXW71" s="16"/>
      <c r="HXX71" s="16"/>
      <c r="HXY71" s="16"/>
      <c r="HXZ71" s="16"/>
      <c r="HYA71" s="16"/>
      <c r="HYB71" s="16"/>
      <c r="HYC71" s="16"/>
      <c r="HYD71" s="16"/>
      <c r="HYE71" s="16"/>
      <c r="HYF71" s="16"/>
      <c r="HYG71" s="16"/>
      <c r="HYH71" s="16"/>
      <c r="HYI71" s="16"/>
      <c r="HYJ71" s="16"/>
      <c r="HYK71" s="16"/>
      <c r="HYL71" s="16"/>
      <c r="HYM71" s="16"/>
      <c r="HYN71" s="16"/>
      <c r="HYO71" s="16"/>
      <c r="HYP71" s="16"/>
      <c r="HYQ71" s="16"/>
      <c r="HYR71" s="16"/>
      <c r="HYS71" s="16"/>
      <c r="HYT71" s="16"/>
      <c r="HYU71" s="16"/>
      <c r="HYV71" s="16"/>
      <c r="HYW71" s="16"/>
      <c r="HYX71" s="16"/>
      <c r="HYY71" s="16"/>
      <c r="HYZ71" s="16"/>
      <c r="HZA71" s="16"/>
      <c r="HZB71" s="16"/>
      <c r="HZC71" s="16"/>
      <c r="HZD71" s="16"/>
      <c r="HZE71" s="16"/>
      <c r="HZF71" s="16"/>
      <c r="HZG71" s="16"/>
      <c r="HZH71" s="16"/>
      <c r="HZI71" s="16"/>
      <c r="HZJ71" s="16"/>
      <c r="HZK71" s="16"/>
      <c r="HZL71" s="16"/>
      <c r="HZM71" s="16"/>
      <c r="HZN71" s="16"/>
      <c r="HZO71" s="16"/>
      <c r="HZP71" s="16"/>
      <c r="HZQ71" s="16"/>
      <c r="HZR71" s="16"/>
      <c r="HZS71" s="16"/>
      <c r="HZT71" s="16"/>
      <c r="HZU71" s="16"/>
      <c r="HZV71" s="16"/>
      <c r="HZW71" s="16"/>
      <c r="HZX71" s="16"/>
      <c r="HZY71" s="16"/>
      <c r="HZZ71" s="16"/>
      <c r="IAA71" s="16"/>
      <c r="IAB71" s="16"/>
      <c r="IAC71" s="16"/>
      <c r="IAD71" s="16"/>
      <c r="IAE71" s="16"/>
      <c r="IAF71" s="16"/>
      <c r="IAG71" s="16"/>
      <c r="IAH71" s="16"/>
      <c r="IAI71" s="16"/>
      <c r="IAJ71" s="16"/>
      <c r="IAK71" s="16"/>
      <c r="IAL71" s="16"/>
      <c r="IAM71" s="16"/>
      <c r="IAN71" s="16"/>
      <c r="IAO71" s="16"/>
      <c r="IAP71" s="16"/>
      <c r="IAQ71" s="16"/>
      <c r="IAR71" s="16"/>
      <c r="IAS71" s="16"/>
      <c r="IAT71" s="16"/>
      <c r="IAU71" s="16"/>
      <c r="IAV71" s="16"/>
      <c r="IAW71" s="16"/>
      <c r="IAX71" s="16"/>
      <c r="IAY71" s="16"/>
      <c r="IAZ71" s="16"/>
      <c r="IBA71" s="16"/>
      <c r="IBB71" s="16"/>
      <c r="IBC71" s="16"/>
      <c r="IBD71" s="16"/>
      <c r="IBE71" s="16"/>
      <c r="IBF71" s="16"/>
      <c r="IBG71" s="16"/>
      <c r="IBH71" s="16"/>
      <c r="IBI71" s="16"/>
      <c r="IBJ71" s="16"/>
      <c r="IBK71" s="16"/>
      <c r="IBL71" s="16"/>
      <c r="IBM71" s="16"/>
      <c r="IBN71" s="16"/>
      <c r="IBO71" s="16"/>
      <c r="IBP71" s="16"/>
      <c r="IBQ71" s="16"/>
      <c r="IBR71" s="16"/>
      <c r="IBS71" s="16"/>
      <c r="IBT71" s="16"/>
      <c r="IBU71" s="16"/>
      <c r="IBV71" s="16"/>
      <c r="IBW71" s="16"/>
      <c r="IBX71" s="16"/>
      <c r="IBY71" s="16"/>
      <c r="IBZ71" s="16"/>
      <c r="ICA71" s="16"/>
      <c r="ICB71" s="16"/>
      <c r="ICC71" s="16"/>
      <c r="ICD71" s="16"/>
      <c r="ICE71" s="16"/>
      <c r="ICF71" s="16"/>
      <c r="ICG71" s="16"/>
      <c r="ICH71" s="16"/>
      <c r="ICI71" s="16"/>
      <c r="ICJ71" s="16"/>
      <c r="ICK71" s="16"/>
      <c r="ICL71" s="16"/>
      <c r="ICM71" s="16"/>
      <c r="ICN71" s="16"/>
      <c r="ICO71" s="16"/>
      <c r="ICP71" s="16"/>
      <c r="ICQ71" s="16"/>
      <c r="ICR71" s="16"/>
      <c r="ICS71" s="16"/>
      <c r="ICT71" s="16"/>
      <c r="ICU71" s="16"/>
      <c r="ICV71" s="16"/>
      <c r="ICW71" s="16"/>
      <c r="ICX71" s="16"/>
      <c r="ICY71" s="16"/>
      <c r="ICZ71" s="16"/>
      <c r="IDA71" s="16"/>
      <c r="IDB71" s="16"/>
      <c r="IDC71" s="16"/>
      <c r="IDD71" s="16"/>
      <c r="IDE71" s="16"/>
      <c r="IDF71" s="16"/>
      <c r="IDG71" s="16"/>
      <c r="IDH71" s="16"/>
      <c r="IDI71" s="16"/>
      <c r="IDJ71" s="16"/>
      <c r="IDK71" s="16"/>
      <c r="IDL71" s="16"/>
      <c r="IDM71" s="16"/>
      <c r="IDN71" s="16"/>
      <c r="IDO71" s="16"/>
      <c r="IDP71" s="16"/>
      <c r="IDQ71" s="16"/>
      <c r="IDR71" s="16"/>
      <c r="IDS71" s="16"/>
      <c r="IDT71" s="16"/>
      <c r="IDU71" s="16"/>
      <c r="IDV71" s="16"/>
      <c r="IDW71" s="16"/>
      <c r="IDX71" s="16"/>
      <c r="IDY71" s="16"/>
      <c r="IDZ71" s="16"/>
      <c r="IEA71" s="16"/>
      <c r="IEB71" s="16"/>
      <c r="IEC71" s="16"/>
      <c r="IED71" s="16"/>
      <c r="IEE71" s="16"/>
      <c r="IEF71" s="16"/>
      <c r="IEG71" s="16"/>
      <c r="IEH71" s="16"/>
      <c r="IEI71" s="16"/>
      <c r="IEJ71" s="16"/>
      <c r="IEK71" s="16"/>
      <c r="IEL71" s="16"/>
      <c r="IEM71" s="16"/>
      <c r="IEN71" s="16"/>
      <c r="IEO71" s="16"/>
      <c r="IEP71" s="16"/>
      <c r="IEQ71" s="16"/>
      <c r="IER71" s="16"/>
      <c r="IES71" s="16"/>
      <c r="IET71" s="16"/>
      <c r="IEU71" s="16"/>
      <c r="IEV71" s="16"/>
      <c r="IEW71" s="16"/>
      <c r="IEX71" s="16"/>
      <c r="IEY71" s="16"/>
      <c r="IEZ71" s="16"/>
      <c r="IFA71" s="16"/>
      <c r="IFB71" s="16"/>
      <c r="IFC71" s="16"/>
      <c r="IFD71" s="16"/>
      <c r="IFE71" s="16"/>
      <c r="IFF71" s="16"/>
      <c r="IFG71" s="16"/>
      <c r="IFH71" s="16"/>
      <c r="IFI71" s="16"/>
      <c r="IFJ71" s="16"/>
      <c r="IFK71" s="16"/>
      <c r="IFL71" s="16"/>
      <c r="IFM71" s="16"/>
      <c r="IFN71" s="16"/>
      <c r="IFO71" s="16"/>
      <c r="IFP71" s="16"/>
      <c r="IFQ71" s="16"/>
      <c r="IFR71" s="16"/>
      <c r="IFS71" s="16"/>
      <c r="IFT71" s="16"/>
      <c r="IFU71" s="16"/>
      <c r="IFV71" s="16"/>
      <c r="IFW71" s="16"/>
      <c r="IFX71" s="16"/>
      <c r="IFY71" s="16"/>
      <c r="IFZ71" s="16"/>
      <c r="IGA71" s="16"/>
      <c r="IGB71" s="16"/>
      <c r="IGC71" s="16"/>
      <c r="IGD71" s="16"/>
      <c r="IGE71" s="16"/>
      <c r="IGF71" s="16"/>
      <c r="IGG71" s="16"/>
      <c r="IGH71" s="16"/>
      <c r="IGI71" s="16"/>
      <c r="IGJ71" s="16"/>
      <c r="IGK71" s="16"/>
      <c r="IGL71" s="16"/>
      <c r="IGM71" s="16"/>
      <c r="IGN71" s="16"/>
      <c r="IGO71" s="16"/>
      <c r="IGP71" s="16"/>
      <c r="IGQ71" s="16"/>
      <c r="IGR71" s="16"/>
      <c r="IGS71" s="16"/>
      <c r="IGT71" s="16"/>
      <c r="IGU71" s="16"/>
      <c r="IGV71" s="16"/>
      <c r="IGW71" s="16"/>
      <c r="IGX71" s="16"/>
      <c r="IGY71" s="16"/>
      <c r="IGZ71" s="16"/>
      <c r="IHA71" s="16"/>
      <c r="IHB71" s="16"/>
      <c r="IHC71" s="16"/>
      <c r="IHD71" s="16"/>
      <c r="IHE71" s="16"/>
      <c r="IHF71" s="16"/>
      <c r="IHG71" s="16"/>
      <c r="IHH71" s="16"/>
      <c r="IHI71" s="16"/>
      <c r="IHJ71" s="16"/>
      <c r="IHK71" s="16"/>
      <c r="IHL71" s="16"/>
      <c r="IHM71" s="16"/>
      <c r="IHN71" s="16"/>
      <c r="IHO71" s="16"/>
      <c r="IHP71" s="16"/>
      <c r="IHQ71" s="16"/>
      <c r="IHR71" s="16"/>
      <c r="IHS71" s="16"/>
      <c r="IHT71" s="16"/>
      <c r="IHU71" s="16"/>
      <c r="IHV71" s="16"/>
      <c r="IHW71" s="16"/>
      <c r="IHX71" s="16"/>
      <c r="IHY71" s="16"/>
      <c r="IHZ71" s="16"/>
      <c r="IIA71" s="16"/>
      <c r="IIB71" s="16"/>
      <c r="IIC71" s="16"/>
      <c r="IID71" s="16"/>
      <c r="IIE71" s="16"/>
      <c r="IIF71" s="16"/>
      <c r="IIG71" s="16"/>
      <c r="IIH71" s="16"/>
      <c r="III71" s="16"/>
      <c r="IIJ71" s="16"/>
      <c r="IIK71" s="16"/>
      <c r="IIL71" s="16"/>
      <c r="IIM71" s="16"/>
      <c r="IIN71" s="16"/>
      <c r="IIO71" s="16"/>
      <c r="IIP71" s="16"/>
      <c r="IIQ71" s="16"/>
      <c r="IIR71" s="16"/>
      <c r="IIS71" s="16"/>
      <c r="IIT71" s="16"/>
      <c r="IIU71" s="16"/>
      <c r="IIV71" s="16"/>
      <c r="IIW71" s="16"/>
      <c r="IIX71" s="16"/>
      <c r="IIY71" s="16"/>
      <c r="IIZ71" s="16"/>
      <c r="IJA71" s="16"/>
      <c r="IJB71" s="16"/>
      <c r="IJC71" s="16"/>
      <c r="IJD71" s="16"/>
      <c r="IJE71" s="16"/>
      <c r="IJF71" s="16"/>
      <c r="IJG71" s="16"/>
      <c r="IJH71" s="16"/>
      <c r="IJI71" s="16"/>
      <c r="IJJ71" s="16"/>
      <c r="IJK71" s="16"/>
      <c r="IJL71" s="16"/>
      <c r="IJM71" s="16"/>
      <c r="IJN71" s="16"/>
      <c r="IJO71" s="16"/>
      <c r="IJP71" s="16"/>
      <c r="IJQ71" s="16"/>
      <c r="IJR71" s="16"/>
      <c r="IJS71" s="16"/>
      <c r="IJT71" s="16"/>
      <c r="IJU71" s="16"/>
      <c r="IJV71" s="16"/>
      <c r="IJW71" s="16"/>
      <c r="IJX71" s="16"/>
      <c r="IJY71" s="16"/>
      <c r="IJZ71" s="16"/>
      <c r="IKA71" s="16"/>
      <c r="IKB71" s="16"/>
      <c r="IKC71" s="16"/>
      <c r="IKD71" s="16"/>
      <c r="IKE71" s="16"/>
      <c r="IKF71" s="16"/>
      <c r="IKG71" s="16"/>
      <c r="IKH71" s="16"/>
      <c r="IKI71" s="16"/>
      <c r="IKJ71" s="16"/>
      <c r="IKK71" s="16"/>
      <c r="IKL71" s="16"/>
      <c r="IKM71" s="16"/>
      <c r="IKN71" s="16"/>
      <c r="IKO71" s="16"/>
      <c r="IKP71" s="16"/>
      <c r="IKQ71" s="16"/>
      <c r="IKR71" s="16"/>
      <c r="IKS71" s="16"/>
      <c r="IKT71" s="16"/>
      <c r="IKU71" s="16"/>
      <c r="IKV71" s="16"/>
      <c r="IKW71" s="16"/>
      <c r="IKX71" s="16"/>
      <c r="IKY71" s="16"/>
      <c r="IKZ71" s="16"/>
      <c r="ILA71" s="16"/>
      <c r="ILB71" s="16"/>
      <c r="ILC71" s="16"/>
      <c r="ILD71" s="16"/>
      <c r="ILE71" s="16"/>
      <c r="ILF71" s="16"/>
      <c r="ILG71" s="16"/>
      <c r="ILH71" s="16"/>
      <c r="ILI71" s="16"/>
      <c r="ILJ71" s="16"/>
      <c r="ILK71" s="16"/>
      <c r="ILL71" s="16"/>
      <c r="ILM71" s="16"/>
      <c r="ILN71" s="16"/>
      <c r="ILO71" s="16"/>
      <c r="ILP71" s="16"/>
      <c r="ILQ71" s="16"/>
      <c r="ILR71" s="16"/>
      <c r="ILS71" s="16"/>
      <c r="ILT71" s="16"/>
      <c r="ILU71" s="16"/>
      <c r="ILV71" s="16"/>
      <c r="ILW71" s="16"/>
      <c r="ILX71" s="16"/>
      <c r="ILY71" s="16"/>
      <c r="ILZ71" s="16"/>
      <c r="IMA71" s="16"/>
      <c r="IMB71" s="16"/>
      <c r="IMC71" s="16"/>
      <c r="IMD71" s="16"/>
      <c r="IME71" s="16"/>
      <c r="IMF71" s="16"/>
      <c r="IMG71" s="16"/>
      <c r="IMH71" s="16"/>
      <c r="IMI71" s="16"/>
      <c r="IMJ71" s="16"/>
      <c r="IMK71" s="16"/>
      <c r="IML71" s="16"/>
      <c r="IMM71" s="16"/>
      <c r="IMN71" s="16"/>
      <c r="IMO71" s="16"/>
      <c r="IMP71" s="16"/>
      <c r="IMQ71" s="16"/>
      <c r="IMR71" s="16"/>
      <c r="IMS71" s="16"/>
      <c r="IMT71" s="16"/>
      <c r="IMU71" s="16"/>
      <c r="IMV71" s="16"/>
      <c r="IMW71" s="16"/>
      <c r="IMX71" s="16"/>
      <c r="IMY71" s="16"/>
      <c r="IMZ71" s="16"/>
      <c r="INA71" s="16"/>
      <c r="INB71" s="16"/>
      <c r="INC71" s="16"/>
      <c r="IND71" s="16"/>
      <c r="INE71" s="16"/>
      <c r="INF71" s="16"/>
      <c r="ING71" s="16"/>
      <c r="INH71" s="16"/>
      <c r="INI71" s="16"/>
      <c r="INJ71" s="16"/>
      <c r="INK71" s="16"/>
      <c r="INL71" s="16"/>
      <c r="INM71" s="16"/>
      <c r="INN71" s="16"/>
      <c r="INO71" s="16"/>
      <c r="INP71" s="16"/>
      <c r="INQ71" s="16"/>
      <c r="INR71" s="16"/>
      <c r="INS71" s="16"/>
      <c r="INT71" s="16"/>
      <c r="INU71" s="16"/>
      <c r="INV71" s="16"/>
      <c r="INW71" s="16"/>
      <c r="INX71" s="16"/>
      <c r="INY71" s="16"/>
      <c r="INZ71" s="16"/>
      <c r="IOA71" s="16"/>
      <c r="IOB71" s="16"/>
      <c r="IOC71" s="16"/>
      <c r="IOD71" s="16"/>
      <c r="IOE71" s="16"/>
      <c r="IOF71" s="16"/>
      <c r="IOG71" s="16"/>
      <c r="IOH71" s="16"/>
      <c r="IOI71" s="16"/>
      <c r="IOJ71" s="16"/>
      <c r="IOK71" s="16"/>
      <c r="IOL71" s="16"/>
      <c r="IOM71" s="16"/>
      <c r="ION71" s="16"/>
      <c r="IOO71" s="16"/>
      <c r="IOP71" s="16"/>
      <c r="IOQ71" s="16"/>
      <c r="IOR71" s="16"/>
      <c r="IOS71" s="16"/>
      <c r="IOT71" s="16"/>
      <c r="IOU71" s="16"/>
      <c r="IOV71" s="16"/>
      <c r="IOW71" s="16"/>
      <c r="IOX71" s="16"/>
      <c r="IOY71" s="16"/>
      <c r="IOZ71" s="16"/>
      <c r="IPA71" s="16"/>
      <c r="IPB71" s="16"/>
      <c r="IPC71" s="16"/>
      <c r="IPD71" s="16"/>
      <c r="IPE71" s="16"/>
      <c r="IPF71" s="16"/>
      <c r="IPG71" s="16"/>
      <c r="IPH71" s="16"/>
      <c r="IPI71" s="16"/>
      <c r="IPJ71" s="16"/>
      <c r="IPK71" s="16"/>
      <c r="IPL71" s="16"/>
      <c r="IPM71" s="16"/>
      <c r="IPN71" s="16"/>
      <c r="IPO71" s="16"/>
      <c r="IPP71" s="16"/>
      <c r="IPQ71" s="16"/>
      <c r="IPR71" s="16"/>
      <c r="IPS71" s="16"/>
      <c r="IPT71" s="16"/>
      <c r="IPU71" s="16"/>
      <c r="IPV71" s="16"/>
      <c r="IPW71" s="16"/>
      <c r="IPX71" s="16"/>
      <c r="IPY71" s="16"/>
      <c r="IPZ71" s="16"/>
      <c r="IQA71" s="16"/>
      <c r="IQB71" s="16"/>
      <c r="IQC71" s="16"/>
      <c r="IQD71" s="16"/>
      <c r="IQE71" s="16"/>
      <c r="IQF71" s="16"/>
      <c r="IQG71" s="16"/>
      <c r="IQH71" s="16"/>
      <c r="IQI71" s="16"/>
      <c r="IQJ71" s="16"/>
      <c r="IQK71" s="16"/>
      <c r="IQL71" s="16"/>
      <c r="IQM71" s="16"/>
      <c r="IQN71" s="16"/>
      <c r="IQO71" s="16"/>
      <c r="IQP71" s="16"/>
      <c r="IQQ71" s="16"/>
      <c r="IQR71" s="16"/>
      <c r="IQS71" s="16"/>
      <c r="IQT71" s="16"/>
      <c r="IQU71" s="16"/>
      <c r="IQV71" s="16"/>
      <c r="IQW71" s="16"/>
      <c r="IQX71" s="16"/>
      <c r="IQY71" s="16"/>
      <c r="IQZ71" s="16"/>
      <c r="IRA71" s="16"/>
      <c r="IRB71" s="16"/>
      <c r="IRC71" s="16"/>
      <c r="IRD71" s="16"/>
      <c r="IRE71" s="16"/>
      <c r="IRF71" s="16"/>
      <c r="IRG71" s="16"/>
      <c r="IRH71" s="16"/>
      <c r="IRI71" s="16"/>
      <c r="IRJ71" s="16"/>
      <c r="IRK71" s="16"/>
      <c r="IRL71" s="16"/>
      <c r="IRM71" s="16"/>
      <c r="IRN71" s="16"/>
      <c r="IRO71" s="16"/>
      <c r="IRP71" s="16"/>
      <c r="IRQ71" s="16"/>
      <c r="IRR71" s="16"/>
      <c r="IRS71" s="16"/>
      <c r="IRT71" s="16"/>
      <c r="IRU71" s="16"/>
      <c r="IRV71" s="16"/>
      <c r="IRW71" s="16"/>
      <c r="IRX71" s="16"/>
      <c r="IRY71" s="16"/>
      <c r="IRZ71" s="16"/>
      <c r="ISA71" s="16"/>
      <c r="ISB71" s="16"/>
      <c r="ISC71" s="16"/>
      <c r="ISD71" s="16"/>
      <c r="ISE71" s="16"/>
      <c r="ISF71" s="16"/>
      <c r="ISG71" s="16"/>
      <c r="ISH71" s="16"/>
      <c r="ISI71" s="16"/>
      <c r="ISJ71" s="16"/>
      <c r="ISK71" s="16"/>
      <c r="ISL71" s="16"/>
      <c r="ISM71" s="16"/>
      <c r="ISN71" s="16"/>
      <c r="ISO71" s="16"/>
      <c r="ISP71" s="16"/>
      <c r="ISQ71" s="16"/>
      <c r="ISR71" s="16"/>
      <c r="ISS71" s="16"/>
      <c r="IST71" s="16"/>
      <c r="ISU71" s="16"/>
      <c r="ISV71" s="16"/>
      <c r="ISW71" s="16"/>
      <c r="ISX71" s="16"/>
      <c r="ISY71" s="16"/>
      <c r="ISZ71" s="16"/>
      <c r="ITA71" s="16"/>
      <c r="ITB71" s="16"/>
      <c r="ITC71" s="16"/>
      <c r="ITD71" s="16"/>
      <c r="ITE71" s="16"/>
      <c r="ITF71" s="16"/>
      <c r="ITG71" s="16"/>
      <c r="ITH71" s="16"/>
      <c r="ITI71" s="16"/>
      <c r="ITJ71" s="16"/>
      <c r="ITK71" s="16"/>
      <c r="ITL71" s="16"/>
      <c r="ITM71" s="16"/>
      <c r="ITN71" s="16"/>
      <c r="ITO71" s="16"/>
      <c r="ITP71" s="16"/>
      <c r="ITQ71" s="16"/>
      <c r="ITR71" s="16"/>
      <c r="ITS71" s="16"/>
      <c r="ITT71" s="16"/>
      <c r="ITU71" s="16"/>
      <c r="ITV71" s="16"/>
      <c r="ITW71" s="16"/>
      <c r="ITX71" s="16"/>
      <c r="ITY71" s="16"/>
      <c r="ITZ71" s="16"/>
      <c r="IUA71" s="16"/>
      <c r="IUB71" s="16"/>
      <c r="IUC71" s="16"/>
      <c r="IUD71" s="16"/>
      <c r="IUE71" s="16"/>
      <c r="IUF71" s="16"/>
      <c r="IUG71" s="16"/>
      <c r="IUH71" s="16"/>
      <c r="IUI71" s="16"/>
      <c r="IUJ71" s="16"/>
      <c r="IUK71" s="16"/>
      <c r="IUL71" s="16"/>
      <c r="IUM71" s="16"/>
      <c r="IUN71" s="16"/>
      <c r="IUO71" s="16"/>
      <c r="IUP71" s="16"/>
      <c r="IUQ71" s="16"/>
      <c r="IUR71" s="16"/>
      <c r="IUS71" s="16"/>
      <c r="IUT71" s="16"/>
      <c r="IUU71" s="16"/>
      <c r="IUV71" s="16"/>
      <c r="IUW71" s="16"/>
      <c r="IUX71" s="16"/>
      <c r="IUY71" s="16"/>
      <c r="IUZ71" s="16"/>
      <c r="IVA71" s="16"/>
      <c r="IVB71" s="16"/>
      <c r="IVC71" s="16"/>
      <c r="IVD71" s="16"/>
      <c r="IVE71" s="16"/>
      <c r="IVF71" s="16"/>
      <c r="IVG71" s="16"/>
      <c r="IVH71" s="16"/>
      <c r="IVI71" s="16"/>
      <c r="IVJ71" s="16"/>
      <c r="IVK71" s="16"/>
      <c r="IVL71" s="16"/>
      <c r="IVM71" s="16"/>
      <c r="IVN71" s="16"/>
      <c r="IVO71" s="16"/>
      <c r="IVP71" s="16"/>
      <c r="IVQ71" s="16"/>
      <c r="IVR71" s="16"/>
      <c r="IVS71" s="16"/>
      <c r="IVT71" s="16"/>
      <c r="IVU71" s="16"/>
      <c r="IVV71" s="16"/>
      <c r="IVW71" s="16"/>
      <c r="IVX71" s="16"/>
      <c r="IVY71" s="16"/>
      <c r="IVZ71" s="16"/>
      <c r="IWA71" s="16"/>
      <c r="IWB71" s="16"/>
      <c r="IWC71" s="16"/>
      <c r="IWD71" s="16"/>
      <c r="IWE71" s="16"/>
      <c r="IWF71" s="16"/>
      <c r="IWG71" s="16"/>
      <c r="IWH71" s="16"/>
      <c r="IWI71" s="16"/>
      <c r="IWJ71" s="16"/>
      <c r="IWK71" s="16"/>
      <c r="IWL71" s="16"/>
      <c r="IWM71" s="16"/>
      <c r="IWN71" s="16"/>
      <c r="IWO71" s="16"/>
      <c r="IWP71" s="16"/>
      <c r="IWQ71" s="16"/>
      <c r="IWR71" s="16"/>
      <c r="IWS71" s="16"/>
      <c r="IWT71" s="16"/>
      <c r="IWU71" s="16"/>
      <c r="IWV71" s="16"/>
      <c r="IWW71" s="16"/>
      <c r="IWX71" s="16"/>
      <c r="IWY71" s="16"/>
      <c r="IWZ71" s="16"/>
      <c r="IXA71" s="16"/>
      <c r="IXB71" s="16"/>
      <c r="IXC71" s="16"/>
      <c r="IXD71" s="16"/>
      <c r="IXE71" s="16"/>
      <c r="IXF71" s="16"/>
      <c r="IXG71" s="16"/>
      <c r="IXH71" s="16"/>
      <c r="IXI71" s="16"/>
      <c r="IXJ71" s="16"/>
      <c r="IXK71" s="16"/>
      <c r="IXL71" s="16"/>
      <c r="IXM71" s="16"/>
      <c r="IXN71" s="16"/>
      <c r="IXO71" s="16"/>
      <c r="IXP71" s="16"/>
      <c r="IXQ71" s="16"/>
      <c r="IXR71" s="16"/>
      <c r="IXS71" s="16"/>
      <c r="IXT71" s="16"/>
      <c r="IXU71" s="16"/>
      <c r="IXV71" s="16"/>
      <c r="IXW71" s="16"/>
      <c r="IXX71" s="16"/>
      <c r="IXY71" s="16"/>
      <c r="IXZ71" s="16"/>
      <c r="IYA71" s="16"/>
      <c r="IYB71" s="16"/>
      <c r="IYC71" s="16"/>
      <c r="IYD71" s="16"/>
      <c r="IYE71" s="16"/>
      <c r="IYF71" s="16"/>
      <c r="IYG71" s="16"/>
      <c r="IYH71" s="16"/>
      <c r="IYI71" s="16"/>
      <c r="IYJ71" s="16"/>
      <c r="IYK71" s="16"/>
      <c r="IYL71" s="16"/>
      <c r="IYM71" s="16"/>
      <c r="IYN71" s="16"/>
      <c r="IYO71" s="16"/>
      <c r="IYP71" s="16"/>
      <c r="IYQ71" s="16"/>
      <c r="IYR71" s="16"/>
      <c r="IYS71" s="16"/>
      <c r="IYT71" s="16"/>
      <c r="IYU71" s="16"/>
      <c r="IYV71" s="16"/>
      <c r="IYW71" s="16"/>
      <c r="IYX71" s="16"/>
      <c r="IYY71" s="16"/>
      <c r="IYZ71" s="16"/>
      <c r="IZA71" s="16"/>
      <c r="IZB71" s="16"/>
      <c r="IZC71" s="16"/>
      <c r="IZD71" s="16"/>
      <c r="IZE71" s="16"/>
      <c r="IZF71" s="16"/>
      <c r="IZG71" s="16"/>
      <c r="IZH71" s="16"/>
      <c r="IZI71" s="16"/>
      <c r="IZJ71" s="16"/>
      <c r="IZK71" s="16"/>
      <c r="IZL71" s="16"/>
      <c r="IZM71" s="16"/>
      <c r="IZN71" s="16"/>
      <c r="IZO71" s="16"/>
      <c r="IZP71" s="16"/>
      <c r="IZQ71" s="16"/>
      <c r="IZR71" s="16"/>
      <c r="IZS71" s="16"/>
      <c r="IZT71" s="16"/>
      <c r="IZU71" s="16"/>
      <c r="IZV71" s="16"/>
      <c r="IZW71" s="16"/>
      <c r="IZX71" s="16"/>
      <c r="IZY71" s="16"/>
      <c r="IZZ71" s="16"/>
      <c r="JAA71" s="16"/>
      <c r="JAB71" s="16"/>
      <c r="JAC71" s="16"/>
      <c r="JAD71" s="16"/>
      <c r="JAE71" s="16"/>
      <c r="JAF71" s="16"/>
      <c r="JAG71" s="16"/>
      <c r="JAH71" s="16"/>
      <c r="JAI71" s="16"/>
      <c r="JAJ71" s="16"/>
      <c r="JAK71" s="16"/>
      <c r="JAL71" s="16"/>
      <c r="JAM71" s="16"/>
      <c r="JAN71" s="16"/>
      <c r="JAO71" s="16"/>
      <c r="JAP71" s="16"/>
      <c r="JAQ71" s="16"/>
      <c r="JAR71" s="16"/>
      <c r="JAS71" s="16"/>
      <c r="JAT71" s="16"/>
      <c r="JAU71" s="16"/>
      <c r="JAV71" s="16"/>
      <c r="JAW71" s="16"/>
      <c r="JAX71" s="16"/>
      <c r="JAY71" s="16"/>
      <c r="JAZ71" s="16"/>
      <c r="JBA71" s="16"/>
      <c r="JBB71" s="16"/>
      <c r="JBC71" s="16"/>
      <c r="JBD71" s="16"/>
      <c r="JBE71" s="16"/>
      <c r="JBF71" s="16"/>
      <c r="JBG71" s="16"/>
      <c r="JBH71" s="16"/>
      <c r="JBI71" s="16"/>
      <c r="JBJ71" s="16"/>
      <c r="JBK71" s="16"/>
      <c r="JBL71" s="16"/>
      <c r="JBM71" s="16"/>
      <c r="JBN71" s="16"/>
      <c r="JBO71" s="16"/>
      <c r="JBP71" s="16"/>
      <c r="JBQ71" s="16"/>
      <c r="JBR71" s="16"/>
      <c r="JBS71" s="16"/>
      <c r="JBT71" s="16"/>
      <c r="JBU71" s="16"/>
      <c r="JBV71" s="16"/>
      <c r="JBW71" s="16"/>
      <c r="JBX71" s="16"/>
      <c r="JBY71" s="16"/>
      <c r="JBZ71" s="16"/>
      <c r="JCA71" s="16"/>
      <c r="JCB71" s="16"/>
      <c r="JCC71" s="16"/>
      <c r="JCD71" s="16"/>
      <c r="JCE71" s="16"/>
      <c r="JCF71" s="16"/>
      <c r="JCG71" s="16"/>
      <c r="JCH71" s="16"/>
      <c r="JCI71" s="16"/>
      <c r="JCJ71" s="16"/>
      <c r="JCK71" s="16"/>
      <c r="JCL71" s="16"/>
      <c r="JCM71" s="16"/>
      <c r="JCN71" s="16"/>
      <c r="JCO71" s="16"/>
      <c r="JCP71" s="16"/>
      <c r="JCQ71" s="16"/>
      <c r="JCR71" s="16"/>
      <c r="JCS71" s="16"/>
      <c r="JCT71" s="16"/>
      <c r="JCU71" s="16"/>
      <c r="JCV71" s="16"/>
      <c r="JCW71" s="16"/>
      <c r="JCX71" s="16"/>
      <c r="JCY71" s="16"/>
      <c r="JCZ71" s="16"/>
      <c r="JDA71" s="16"/>
      <c r="JDB71" s="16"/>
      <c r="JDC71" s="16"/>
      <c r="JDD71" s="16"/>
      <c r="JDE71" s="16"/>
      <c r="JDF71" s="16"/>
      <c r="JDG71" s="16"/>
      <c r="JDH71" s="16"/>
      <c r="JDI71" s="16"/>
      <c r="JDJ71" s="16"/>
      <c r="JDK71" s="16"/>
      <c r="JDL71" s="16"/>
      <c r="JDM71" s="16"/>
      <c r="JDN71" s="16"/>
      <c r="JDO71" s="16"/>
      <c r="JDP71" s="16"/>
      <c r="JDQ71" s="16"/>
      <c r="JDR71" s="16"/>
      <c r="JDS71" s="16"/>
      <c r="JDT71" s="16"/>
      <c r="JDU71" s="16"/>
      <c r="JDV71" s="16"/>
      <c r="JDW71" s="16"/>
      <c r="JDX71" s="16"/>
      <c r="JDY71" s="16"/>
      <c r="JDZ71" s="16"/>
      <c r="JEA71" s="16"/>
      <c r="JEB71" s="16"/>
      <c r="JEC71" s="16"/>
      <c r="JED71" s="16"/>
      <c r="JEE71" s="16"/>
      <c r="JEF71" s="16"/>
      <c r="JEG71" s="16"/>
      <c r="JEH71" s="16"/>
      <c r="JEI71" s="16"/>
      <c r="JEJ71" s="16"/>
      <c r="JEK71" s="16"/>
      <c r="JEL71" s="16"/>
      <c r="JEM71" s="16"/>
      <c r="JEN71" s="16"/>
      <c r="JEO71" s="16"/>
      <c r="JEP71" s="16"/>
      <c r="JEQ71" s="16"/>
      <c r="JER71" s="16"/>
      <c r="JES71" s="16"/>
      <c r="JET71" s="16"/>
      <c r="JEU71" s="16"/>
      <c r="JEV71" s="16"/>
      <c r="JEW71" s="16"/>
      <c r="JEX71" s="16"/>
      <c r="JEY71" s="16"/>
      <c r="JEZ71" s="16"/>
      <c r="JFA71" s="16"/>
      <c r="JFB71" s="16"/>
      <c r="JFC71" s="16"/>
      <c r="JFD71" s="16"/>
      <c r="JFE71" s="16"/>
      <c r="JFF71" s="16"/>
      <c r="JFG71" s="16"/>
      <c r="JFH71" s="16"/>
      <c r="JFI71" s="16"/>
      <c r="JFJ71" s="16"/>
      <c r="JFK71" s="16"/>
      <c r="JFL71" s="16"/>
      <c r="JFM71" s="16"/>
      <c r="JFN71" s="16"/>
      <c r="JFO71" s="16"/>
      <c r="JFP71" s="16"/>
      <c r="JFQ71" s="16"/>
      <c r="JFR71" s="16"/>
      <c r="JFS71" s="16"/>
      <c r="JFT71" s="16"/>
      <c r="JFU71" s="16"/>
      <c r="JFV71" s="16"/>
      <c r="JFW71" s="16"/>
      <c r="JFX71" s="16"/>
      <c r="JFY71" s="16"/>
      <c r="JFZ71" s="16"/>
      <c r="JGA71" s="16"/>
      <c r="JGB71" s="16"/>
      <c r="JGC71" s="16"/>
      <c r="JGD71" s="16"/>
      <c r="JGE71" s="16"/>
      <c r="JGF71" s="16"/>
      <c r="JGG71" s="16"/>
      <c r="JGH71" s="16"/>
      <c r="JGI71" s="16"/>
      <c r="JGJ71" s="16"/>
      <c r="JGK71" s="16"/>
      <c r="JGL71" s="16"/>
      <c r="JGM71" s="16"/>
      <c r="JGN71" s="16"/>
      <c r="JGO71" s="16"/>
      <c r="JGP71" s="16"/>
      <c r="JGQ71" s="16"/>
      <c r="JGR71" s="16"/>
      <c r="JGS71" s="16"/>
      <c r="JGT71" s="16"/>
      <c r="JGU71" s="16"/>
      <c r="JGV71" s="16"/>
      <c r="JGW71" s="16"/>
      <c r="JGX71" s="16"/>
      <c r="JGY71" s="16"/>
      <c r="JGZ71" s="16"/>
      <c r="JHA71" s="16"/>
      <c r="JHB71" s="16"/>
      <c r="JHC71" s="16"/>
      <c r="JHD71" s="16"/>
      <c r="JHE71" s="16"/>
      <c r="JHF71" s="16"/>
      <c r="JHG71" s="16"/>
      <c r="JHH71" s="16"/>
      <c r="JHI71" s="16"/>
      <c r="JHJ71" s="16"/>
      <c r="JHK71" s="16"/>
      <c r="JHL71" s="16"/>
      <c r="JHM71" s="16"/>
      <c r="JHN71" s="16"/>
      <c r="JHO71" s="16"/>
      <c r="JHP71" s="16"/>
      <c r="JHQ71" s="16"/>
      <c r="JHR71" s="16"/>
      <c r="JHS71" s="16"/>
      <c r="JHT71" s="16"/>
      <c r="JHU71" s="16"/>
      <c r="JHV71" s="16"/>
      <c r="JHW71" s="16"/>
      <c r="JHX71" s="16"/>
      <c r="JHY71" s="16"/>
      <c r="JHZ71" s="16"/>
      <c r="JIA71" s="16"/>
      <c r="JIB71" s="16"/>
      <c r="JIC71" s="16"/>
      <c r="JID71" s="16"/>
      <c r="JIE71" s="16"/>
      <c r="JIF71" s="16"/>
      <c r="JIG71" s="16"/>
      <c r="JIH71" s="16"/>
      <c r="JII71" s="16"/>
      <c r="JIJ71" s="16"/>
      <c r="JIK71" s="16"/>
      <c r="JIL71" s="16"/>
      <c r="JIM71" s="16"/>
      <c r="JIN71" s="16"/>
      <c r="JIO71" s="16"/>
      <c r="JIP71" s="16"/>
      <c r="JIQ71" s="16"/>
      <c r="JIR71" s="16"/>
      <c r="JIS71" s="16"/>
      <c r="JIT71" s="16"/>
      <c r="JIU71" s="16"/>
      <c r="JIV71" s="16"/>
      <c r="JIW71" s="16"/>
      <c r="JIX71" s="16"/>
      <c r="JIY71" s="16"/>
      <c r="JIZ71" s="16"/>
      <c r="JJA71" s="16"/>
      <c r="JJB71" s="16"/>
      <c r="JJC71" s="16"/>
      <c r="JJD71" s="16"/>
      <c r="JJE71" s="16"/>
      <c r="JJF71" s="16"/>
      <c r="JJG71" s="16"/>
      <c r="JJH71" s="16"/>
      <c r="JJI71" s="16"/>
      <c r="JJJ71" s="16"/>
      <c r="JJK71" s="16"/>
      <c r="JJL71" s="16"/>
      <c r="JJM71" s="16"/>
      <c r="JJN71" s="16"/>
      <c r="JJO71" s="16"/>
      <c r="JJP71" s="16"/>
      <c r="JJQ71" s="16"/>
      <c r="JJR71" s="16"/>
      <c r="JJS71" s="16"/>
      <c r="JJT71" s="16"/>
      <c r="JJU71" s="16"/>
      <c r="JJV71" s="16"/>
      <c r="JJW71" s="16"/>
      <c r="JJX71" s="16"/>
      <c r="JJY71" s="16"/>
      <c r="JJZ71" s="16"/>
      <c r="JKA71" s="16"/>
      <c r="JKB71" s="16"/>
      <c r="JKC71" s="16"/>
      <c r="JKD71" s="16"/>
      <c r="JKE71" s="16"/>
      <c r="JKF71" s="16"/>
      <c r="JKG71" s="16"/>
      <c r="JKH71" s="16"/>
      <c r="JKI71" s="16"/>
      <c r="JKJ71" s="16"/>
      <c r="JKK71" s="16"/>
      <c r="JKL71" s="16"/>
      <c r="JKM71" s="16"/>
      <c r="JKN71" s="16"/>
      <c r="JKO71" s="16"/>
      <c r="JKP71" s="16"/>
      <c r="JKQ71" s="16"/>
      <c r="JKR71" s="16"/>
      <c r="JKS71" s="16"/>
      <c r="JKT71" s="16"/>
      <c r="JKU71" s="16"/>
      <c r="JKV71" s="16"/>
      <c r="JKW71" s="16"/>
      <c r="JKX71" s="16"/>
      <c r="JKY71" s="16"/>
      <c r="JKZ71" s="16"/>
      <c r="JLA71" s="16"/>
      <c r="JLB71" s="16"/>
      <c r="JLC71" s="16"/>
      <c r="JLD71" s="16"/>
      <c r="JLE71" s="16"/>
      <c r="JLF71" s="16"/>
      <c r="JLG71" s="16"/>
      <c r="JLH71" s="16"/>
      <c r="JLI71" s="16"/>
      <c r="JLJ71" s="16"/>
      <c r="JLK71" s="16"/>
      <c r="JLL71" s="16"/>
      <c r="JLM71" s="16"/>
      <c r="JLN71" s="16"/>
      <c r="JLO71" s="16"/>
      <c r="JLP71" s="16"/>
      <c r="JLQ71" s="16"/>
      <c r="JLR71" s="16"/>
      <c r="JLS71" s="16"/>
      <c r="JLT71" s="16"/>
      <c r="JLU71" s="16"/>
      <c r="JLV71" s="16"/>
      <c r="JLW71" s="16"/>
      <c r="JLX71" s="16"/>
      <c r="JLY71" s="16"/>
      <c r="JLZ71" s="16"/>
      <c r="JMA71" s="16"/>
      <c r="JMB71" s="16"/>
      <c r="JMC71" s="16"/>
      <c r="JMD71" s="16"/>
      <c r="JME71" s="16"/>
      <c r="JMF71" s="16"/>
      <c r="JMG71" s="16"/>
      <c r="JMH71" s="16"/>
      <c r="JMI71" s="16"/>
      <c r="JMJ71" s="16"/>
      <c r="JMK71" s="16"/>
      <c r="JML71" s="16"/>
      <c r="JMM71" s="16"/>
      <c r="JMN71" s="16"/>
      <c r="JMO71" s="16"/>
      <c r="JMP71" s="16"/>
      <c r="JMQ71" s="16"/>
      <c r="JMR71" s="16"/>
      <c r="JMS71" s="16"/>
      <c r="JMT71" s="16"/>
      <c r="JMU71" s="16"/>
      <c r="JMV71" s="16"/>
      <c r="JMW71" s="16"/>
      <c r="JMX71" s="16"/>
      <c r="JMY71" s="16"/>
      <c r="JMZ71" s="16"/>
      <c r="JNA71" s="16"/>
      <c r="JNB71" s="16"/>
      <c r="JNC71" s="16"/>
      <c r="JND71" s="16"/>
      <c r="JNE71" s="16"/>
      <c r="JNF71" s="16"/>
      <c r="JNG71" s="16"/>
      <c r="JNH71" s="16"/>
      <c r="JNI71" s="16"/>
      <c r="JNJ71" s="16"/>
      <c r="JNK71" s="16"/>
      <c r="JNL71" s="16"/>
      <c r="JNM71" s="16"/>
      <c r="JNN71" s="16"/>
      <c r="JNO71" s="16"/>
      <c r="JNP71" s="16"/>
      <c r="JNQ71" s="16"/>
      <c r="JNR71" s="16"/>
      <c r="JNS71" s="16"/>
      <c r="JNT71" s="16"/>
      <c r="JNU71" s="16"/>
      <c r="JNV71" s="16"/>
      <c r="JNW71" s="16"/>
      <c r="JNX71" s="16"/>
      <c r="JNY71" s="16"/>
      <c r="JNZ71" s="16"/>
      <c r="JOA71" s="16"/>
      <c r="JOB71" s="16"/>
      <c r="JOC71" s="16"/>
      <c r="JOD71" s="16"/>
      <c r="JOE71" s="16"/>
      <c r="JOF71" s="16"/>
      <c r="JOG71" s="16"/>
      <c r="JOH71" s="16"/>
      <c r="JOI71" s="16"/>
      <c r="JOJ71" s="16"/>
      <c r="JOK71" s="16"/>
      <c r="JOL71" s="16"/>
      <c r="JOM71" s="16"/>
      <c r="JON71" s="16"/>
      <c r="JOO71" s="16"/>
      <c r="JOP71" s="16"/>
      <c r="JOQ71" s="16"/>
      <c r="JOR71" s="16"/>
      <c r="JOS71" s="16"/>
      <c r="JOT71" s="16"/>
      <c r="JOU71" s="16"/>
      <c r="JOV71" s="16"/>
      <c r="JOW71" s="16"/>
      <c r="JOX71" s="16"/>
      <c r="JOY71" s="16"/>
      <c r="JOZ71" s="16"/>
      <c r="JPA71" s="16"/>
      <c r="JPB71" s="16"/>
      <c r="JPC71" s="16"/>
      <c r="JPD71" s="16"/>
      <c r="JPE71" s="16"/>
      <c r="JPF71" s="16"/>
      <c r="JPG71" s="16"/>
      <c r="JPH71" s="16"/>
      <c r="JPI71" s="16"/>
      <c r="JPJ71" s="16"/>
      <c r="JPK71" s="16"/>
      <c r="JPL71" s="16"/>
      <c r="JPM71" s="16"/>
      <c r="JPN71" s="16"/>
      <c r="JPO71" s="16"/>
      <c r="JPP71" s="16"/>
      <c r="JPQ71" s="16"/>
      <c r="JPR71" s="16"/>
      <c r="JPS71" s="16"/>
      <c r="JPT71" s="16"/>
      <c r="JPU71" s="16"/>
      <c r="JPV71" s="16"/>
      <c r="JPW71" s="16"/>
      <c r="JPX71" s="16"/>
      <c r="JPY71" s="16"/>
      <c r="JPZ71" s="16"/>
      <c r="JQA71" s="16"/>
      <c r="JQB71" s="16"/>
      <c r="JQC71" s="16"/>
      <c r="JQD71" s="16"/>
      <c r="JQE71" s="16"/>
      <c r="JQF71" s="16"/>
      <c r="JQG71" s="16"/>
      <c r="JQH71" s="16"/>
      <c r="JQI71" s="16"/>
      <c r="JQJ71" s="16"/>
      <c r="JQK71" s="16"/>
      <c r="JQL71" s="16"/>
      <c r="JQM71" s="16"/>
      <c r="JQN71" s="16"/>
      <c r="JQO71" s="16"/>
      <c r="JQP71" s="16"/>
      <c r="JQQ71" s="16"/>
      <c r="JQR71" s="16"/>
      <c r="JQS71" s="16"/>
      <c r="JQT71" s="16"/>
      <c r="JQU71" s="16"/>
      <c r="JQV71" s="16"/>
      <c r="JQW71" s="16"/>
      <c r="JQX71" s="16"/>
      <c r="JQY71" s="16"/>
      <c r="JQZ71" s="16"/>
      <c r="JRA71" s="16"/>
      <c r="JRB71" s="16"/>
      <c r="JRC71" s="16"/>
      <c r="JRD71" s="16"/>
      <c r="JRE71" s="16"/>
      <c r="JRF71" s="16"/>
      <c r="JRG71" s="16"/>
      <c r="JRH71" s="16"/>
      <c r="JRI71" s="16"/>
      <c r="JRJ71" s="16"/>
      <c r="JRK71" s="16"/>
      <c r="JRL71" s="16"/>
      <c r="JRM71" s="16"/>
      <c r="JRN71" s="16"/>
      <c r="JRO71" s="16"/>
      <c r="JRP71" s="16"/>
      <c r="JRQ71" s="16"/>
      <c r="JRR71" s="16"/>
      <c r="JRS71" s="16"/>
      <c r="JRT71" s="16"/>
      <c r="JRU71" s="16"/>
      <c r="JRV71" s="16"/>
      <c r="JRW71" s="16"/>
      <c r="JRX71" s="16"/>
      <c r="JRY71" s="16"/>
      <c r="JRZ71" s="16"/>
      <c r="JSA71" s="16"/>
      <c r="JSB71" s="16"/>
      <c r="JSC71" s="16"/>
      <c r="JSD71" s="16"/>
      <c r="JSE71" s="16"/>
      <c r="JSF71" s="16"/>
      <c r="JSG71" s="16"/>
      <c r="JSH71" s="16"/>
      <c r="JSI71" s="16"/>
      <c r="JSJ71" s="16"/>
      <c r="JSK71" s="16"/>
      <c r="JSL71" s="16"/>
      <c r="JSM71" s="16"/>
      <c r="JSN71" s="16"/>
      <c r="JSO71" s="16"/>
      <c r="JSP71" s="16"/>
      <c r="JSQ71" s="16"/>
      <c r="JSR71" s="16"/>
      <c r="JSS71" s="16"/>
      <c r="JST71" s="16"/>
      <c r="JSU71" s="16"/>
      <c r="JSV71" s="16"/>
      <c r="JSW71" s="16"/>
      <c r="JSX71" s="16"/>
      <c r="JSY71" s="16"/>
      <c r="JSZ71" s="16"/>
      <c r="JTA71" s="16"/>
      <c r="JTB71" s="16"/>
      <c r="JTC71" s="16"/>
      <c r="JTD71" s="16"/>
      <c r="JTE71" s="16"/>
      <c r="JTF71" s="16"/>
      <c r="JTG71" s="16"/>
      <c r="JTH71" s="16"/>
      <c r="JTI71" s="16"/>
      <c r="JTJ71" s="16"/>
      <c r="JTK71" s="16"/>
      <c r="JTL71" s="16"/>
      <c r="JTM71" s="16"/>
      <c r="JTN71" s="16"/>
      <c r="JTO71" s="16"/>
      <c r="JTP71" s="16"/>
      <c r="JTQ71" s="16"/>
      <c r="JTR71" s="16"/>
      <c r="JTS71" s="16"/>
      <c r="JTT71" s="16"/>
      <c r="JTU71" s="16"/>
      <c r="JTV71" s="16"/>
      <c r="JTW71" s="16"/>
      <c r="JTX71" s="16"/>
      <c r="JTY71" s="16"/>
      <c r="JTZ71" s="16"/>
      <c r="JUA71" s="16"/>
      <c r="JUB71" s="16"/>
      <c r="JUC71" s="16"/>
      <c r="JUD71" s="16"/>
      <c r="JUE71" s="16"/>
      <c r="JUF71" s="16"/>
      <c r="JUG71" s="16"/>
      <c r="JUH71" s="16"/>
      <c r="JUI71" s="16"/>
      <c r="JUJ71" s="16"/>
      <c r="JUK71" s="16"/>
      <c r="JUL71" s="16"/>
      <c r="JUM71" s="16"/>
      <c r="JUN71" s="16"/>
      <c r="JUO71" s="16"/>
      <c r="JUP71" s="16"/>
      <c r="JUQ71" s="16"/>
      <c r="JUR71" s="16"/>
      <c r="JUS71" s="16"/>
      <c r="JUT71" s="16"/>
      <c r="JUU71" s="16"/>
      <c r="JUV71" s="16"/>
      <c r="JUW71" s="16"/>
      <c r="JUX71" s="16"/>
      <c r="JUY71" s="16"/>
      <c r="JUZ71" s="16"/>
      <c r="JVA71" s="16"/>
      <c r="JVB71" s="16"/>
      <c r="JVC71" s="16"/>
      <c r="JVD71" s="16"/>
      <c r="JVE71" s="16"/>
      <c r="JVF71" s="16"/>
      <c r="JVG71" s="16"/>
      <c r="JVH71" s="16"/>
      <c r="JVI71" s="16"/>
      <c r="JVJ71" s="16"/>
      <c r="JVK71" s="16"/>
      <c r="JVL71" s="16"/>
      <c r="JVM71" s="16"/>
      <c r="JVN71" s="16"/>
      <c r="JVO71" s="16"/>
      <c r="JVP71" s="16"/>
      <c r="JVQ71" s="16"/>
      <c r="JVR71" s="16"/>
      <c r="JVS71" s="16"/>
      <c r="JVT71" s="16"/>
      <c r="JVU71" s="16"/>
      <c r="JVV71" s="16"/>
      <c r="JVW71" s="16"/>
      <c r="JVX71" s="16"/>
      <c r="JVY71" s="16"/>
      <c r="JVZ71" s="16"/>
      <c r="JWA71" s="16"/>
      <c r="JWB71" s="16"/>
      <c r="JWC71" s="16"/>
      <c r="JWD71" s="16"/>
      <c r="JWE71" s="16"/>
      <c r="JWF71" s="16"/>
      <c r="JWG71" s="16"/>
      <c r="JWH71" s="16"/>
      <c r="JWI71" s="16"/>
      <c r="JWJ71" s="16"/>
      <c r="JWK71" s="16"/>
      <c r="JWL71" s="16"/>
      <c r="JWM71" s="16"/>
      <c r="JWN71" s="16"/>
      <c r="JWO71" s="16"/>
      <c r="JWP71" s="16"/>
      <c r="JWQ71" s="16"/>
      <c r="JWR71" s="16"/>
      <c r="JWS71" s="16"/>
      <c r="JWT71" s="16"/>
      <c r="JWU71" s="16"/>
      <c r="JWV71" s="16"/>
      <c r="JWW71" s="16"/>
      <c r="JWX71" s="16"/>
      <c r="JWY71" s="16"/>
      <c r="JWZ71" s="16"/>
      <c r="JXA71" s="16"/>
      <c r="JXB71" s="16"/>
      <c r="JXC71" s="16"/>
      <c r="JXD71" s="16"/>
      <c r="JXE71" s="16"/>
      <c r="JXF71" s="16"/>
      <c r="JXG71" s="16"/>
      <c r="JXH71" s="16"/>
      <c r="JXI71" s="16"/>
      <c r="JXJ71" s="16"/>
      <c r="JXK71" s="16"/>
      <c r="JXL71" s="16"/>
      <c r="JXM71" s="16"/>
      <c r="JXN71" s="16"/>
      <c r="JXO71" s="16"/>
      <c r="JXP71" s="16"/>
      <c r="JXQ71" s="16"/>
      <c r="JXR71" s="16"/>
      <c r="JXS71" s="16"/>
      <c r="JXT71" s="16"/>
      <c r="JXU71" s="16"/>
      <c r="JXV71" s="16"/>
      <c r="JXW71" s="16"/>
      <c r="JXX71" s="16"/>
      <c r="JXY71" s="16"/>
      <c r="JXZ71" s="16"/>
      <c r="JYA71" s="16"/>
      <c r="JYB71" s="16"/>
      <c r="JYC71" s="16"/>
      <c r="JYD71" s="16"/>
      <c r="JYE71" s="16"/>
      <c r="JYF71" s="16"/>
      <c r="JYG71" s="16"/>
      <c r="JYH71" s="16"/>
      <c r="JYI71" s="16"/>
      <c r="JYJ71" s="16"/>
      <c r="JYK71" s="16"/>
      <c r="JYL71" s="16"/>
      <c r="JYM71" s="16"/>
      <c r="JYN71" s="16"/>
      <c r="JYO71" s="16"/>
      <c r="JYP71" s="16"/>
      <c r="JYQ71" s="16"/>
      <c r="JYR71" s="16"/>
      <c r="JYS71" s="16"/>
      <c r="JYT71" s="16"/>
      <c r="JYU71" s="16"/>
      <c r="JYV71" s="16"/>
      <c r="JYW71" s="16"/>
      <c r="JYX71" s="16"/>
      <c r="JYY71" s="16"/>
      <c r="JYZ71" s="16"/>
      <c r="JZA71" s="16"/>
      <c r="JZB71" s="16"/>
      <c r="JZC71" s="16"/>
      <c r="JZD71" s="16"/>
      <c r="JZE71" s="16"/>
      <c r="JZF71" s="16"/>
      <c r="JZG71" s="16"/>
      <c r="JZH71" s="16"/>
      <c r="JZI71" s="16"/>
      <c r="JZJ71" s="16"/>
      <c r="JZK71" s="16"/>
      <c r="JZL71" s="16"/>
      <c r="JZM71" s="16"/>
      <c r="JZN71" s="16"/>
      <c r="JZO71" s="16"/>
      <c r="JZP71" s="16"/>
      <c r="JZQ71" s="16"/>
      <c r="JZR71" s="16"/>
      <c r="JZS71" s="16"/>
      <c r="JZT71" s="16"/>
      <c r="JZU71" s="16"/>
      <c r="JZV71" s="16"/>
      <c r="JZW71" s="16"/>
      <c r="JZX71" s="16"/>
      <c r="JZY71" s="16"/>
      <c r="JZZ71" s="16"/>
      <c r="KAA71" s="16"/>
      <c r="KAB71" s="16"/>
      <c r="KAC71" s="16"/>
      <c r="KAD71" s="16"/>
      <c r="KAE71" s="16"/>
      <c r="KAF71" s="16"/>
      <c r="KAG71" s="16"/>
      <c r="KAH71" s="16"/>
      <c r="KAI71" s="16"/>
      <c r="KAJ71" s="16"/>
      <c r="KAK71" s="16"/>
      <c r="KAL71" s="16"/>
      <c r="KAM71" s="16"/>
      <c r="KAN71" s="16"/>
      <c r="KAO71" s="16"/>
      <c r="KAP71" s="16"/>
      <c r="KAQ71" s="16"/>
      <c r="KAR71" s="16"/>
      <c r="KAS71" s="16"/>
      <c r="KAT71" s="16"/>
      <c r="KAU71" s="16"/>
      <c r="KAV71" s="16"/>
      <c r="KAW71" s="16"/>
      <c r="KAX71" s="16"/>
      <c r="KAY71" s="16"/>
      <c r="KAZ71" s="16"/>
      <c r="KBA71" s="16"/>
      <c r="KBB71" s="16"/>
      <c r="KBC71" s="16"/>
      <c r="KBD71" s="16"/>
      <c r="KBE71" s="16"/>
      <c r="KBF71" s="16"/>
      <c r="KBG71" s="16"/>
      <c r="KBH71" s="16"/>
      <c r="KBI71" s="16"/>
      <c r="KBJ71" s="16"/>
      <c r="KBK71" s="16"/>
      <c r="KBL71" s="16"/>
      <c r="KBM71" s="16"/>
      <c r="KBN71" s="16"/>
      <c r="KBO71" s="16"/>
      <c r="KBP71" s="16"/>
      <c r="KBQ71" s="16"/>
      <c r="KBR71" s="16"/>
      <c r="KBS71" s="16"/>
      <c r="KBT71" s="16"/>
      <c r="KBU71" s="16"/>
      <c r="KBV71" s="16"/>
      <c r="KBW71" s="16"/>
      <c r="KBX71" s="16"/>
      <c r="KBY71" s="16"/>
      <c r="KBZ71" s="16"/>
      <c r="KCA71" s="16"/>
      <c r="KCB71" s="16"/>
      <c r="KCC71" s="16"/>
      <c r="KCD71" s="16"/>
      <c r="KCE71" s="16"/>
      <c r="KCF71" s="16"/>
      <c r="KCG71" s="16"/>
      <c r="KCH71" s="16"/>
      <c r="KCI71" s="16"/>
      <c r="KCJ71" s="16"/>
      <c r="KCK71" s="16"/>
      <c r="KCL71" s="16"/>
      <c r="KCM71" s="16"/>
      <c r="KCN71" s="16"/>
      <c r="KCO71" s="16"/>
      <c r="KCP71" s="16"/>
      <c r="KCQ71" s="16"/>
      <c r="KCR71" s="16"/>
      <c r="KCS71" s="16"/>
      <c r="KCT71" s="16"/>
      <c r="KCU71" s="16"/>
      <c r="KCV71" s="16"/>
      <c r="KCW71" s="16"/>
      <c r="KCX71" s="16"/>
      <c r="KCY71" s="16"/>
      <c r="KCZ71" s="16"/>
      <c r="KDA71" s="16"/>
      <c r="KDB71" s="16"/>
      <c r="KDC71" s="16"/>
      <c r="KDD71" s="16"/>
      <c r="KDE71" s="16"/>
      <c r="KDF71" s="16"/>
      <c r="KDG71" s="16"/>
      <c r="KDH71" s="16"/>
      <c r="KDI71" s="16"/>
      <c r="KDJ71" s="16"/>
      <c r="KDK71" s="16"/>
      <c r="KDL71" s="16"/>
      <c r="KDM71" s="16"/>
      <c r="KDN71" s="16"/>
      <c r="KDO71" s="16"/>
      <c r="KDP71" s="16"/>
      <c r="KDQ71" s="16"/>
      <c r="KDR71" s="16"/>
      <c r="KDS71" s="16"/>
      <c r="KDT71" s="16"/>
      <c r="KDU71" s="16"/>
      <c r="KDV71" s="16"/>
      <c r="KDW71" s="16"/>
      <c r="KDX71" s="16"/>
      <c r="KDY71" s="16"/>
      <c r="KDZ71" s="16"/>
      <c r="KEA71" s="16"/>
      <c r="KEB71" s="16"/>
      <c r="KEC71" s="16"/>
      <c r="KED71" s="16"/>
      <c r="KEE71" s="16"/>
      <c r="KEF71" s="16"/>
      <c r="KEG71" s="16"/>
      <c r="KEH71" s="16"/>
      <c r="KEI71" s="16"/>
      <c r="KEJ71" s="16"/>
      <c r="KEK71" s="16"/>
      <c r="KEL71" s="16"/>
      <c r="KEM71" s="16"/>
      <c r="KEN71" s="16"/>
      <c r="KEO71" s="16"/>
      <c r="KEP71" s="16"/>
      <c r="KEQ71" s="16"/>
      <c r="KER71" s="16"/>
      <c r="KES71" s="16"/>
      <c r="KET71" s="16"/>
      <c r="KEU71" s="16"/>
      <c r="KEV71" s="16"/>
      <c r="KEW71" s="16"/>
      <c r="KEX71" s="16"/>
      <c r="KEY71" s="16"/>
      <c r="KEZ71" s="16"/>
      <c r="KFA71" s="16"/>
      <c r="KFB71" s="16"/>
      <c r="KFC71" s="16"/>
      <c r="KFD71" s="16"/>
      <c r="KFE71" s="16"/>
      <c r="KFF71" s="16"/>
      <c r="KFG71" s="16"/>
      <c r="KFH71" s="16"/>
      <c r="KFI71" s="16"/>
      <c r="KFJ71" s="16"/>
      <c r="KFK71" s="16"/>
      <c r="KFL71" s="16"/>
      <c r="KFM71" s="16"/>
      <c r="KFN71" s="16"/>
      <c r="KFO71" s="16"/>
      <c r="KFP71" s="16"/>
      <c r="KFQ71" s="16"/>
      <c r="KFR71" s="16"/>
      <c r="KFS71" s="16"/>
      <c r="KFT71" s="16"/>
      <c r="KFU71" s="16"/>
      <c r="KFV71" s="16"/>
      <c r="KFW71" s="16"/>
      <c r="KFX71" s="16"/>
      <c r="KFY71" s="16"/>
      <c r="KFZ71" s="16"/>
      <c r="KGA71" s="16"/>
      <c r="KGB71" s="16"/>
      <c r="KGC71" s="16"/>
      <c r="KGD71" s="16"/>
      <c r="KGE71" s="16"/>
      <c r="KGF71" s="16"/>
      <c r="KGG71" s="16"/>
      <c r="KGH71" s="16"/>
      <c r="KGI71" s="16"/>
      <c r="KGJ71" s="16"/>
      <c r="KGK71" s="16"/>
      <c r="KGL71" s="16"/>
      <c r="KGM71" s="16"/>
      <c r="KGN71" s="16"/>
      <c r="KGO71" s="16"/>
      <c r="KGP71" s="16"/>
      <c r="KGQ71" s="16"/>
      <c r="KGR71" s="16"/>
      <c r="KGS71" s="16"/>
      <c r="KGT71" s="16"/>
      <c r="KGU71" s="16"/>
      <c r="KGV71" s="16"/>
      <c r="KGW71" s="16"/>
      <c r="KGX71" s="16"/>
      <c r="KGY71" s="16"/>
      <c r="KGZ71" s="16"/>
      <c r="KHA71" s="16"/>
      <c r="KHB71" s="16"/>
      <c r="KHC71" s="16"/>
      <c r="KHD71" s="16"/>
      <c r="KHE71" s="16"/>
      <c r="KHF71" s="16"/>
      <c r="KHG71" s="16"/>
      <c r="KHH71" s="16"/>
      <c r="KHI71" s="16"/>
      <c r="KHJ71" s="16"/>
      <c r="KHK71" s="16"/>
      <c r="KHL71" s="16"/>
      <c r="KHM71" s="16"/>
      <c r="KHN71" s="16"/>
      <c r="KHO71" s="16"/>
      <c r="KHP71" s="16"/>
      <c r="KHQ71" s="16"/>
      <c r="KHR71" s="16"/>
      <c r="KHS71" s="16"/>
      <c r="KHT71" s="16"/>
      <c r="KHU71" s="16"/>
      <c r="KHV71" s="16"/>
      <c r="KHW71" s="16"/>
      <c r="KHX71" s="16"/>
      <c r="KHY71" s="16"/>
      <c r="KHZ71" s="16"/>
      <c r="KIA71" s="16"/>
      <c r="KIB71" s="16"/>
      <c r="KIC71" s="16"/>
      <c r="KID71" s="16"/>
      <c r="KIE71" s="16"/>
      <c r="KIF71" s="16"/>
      <c r="KIG71" s="16"/>
      <c r="KIH71" s="16"/>
      <c r="KII71" s="16"/>
      <c r="KIJ71" s="16"/>
      <c r="KIK71" s="16"/>
      <c r="KIL71" s="16"/>
      <c r="KIM71" s="16"/>
      <c r="KIN71" s="16"/>
      <c r="KIO71" s="16"/>
      <c r="KIP71" s="16"/>
      <c r="KIQ71" s="16"/>
      <c r="KIR71" s="16"/>
      <c r="KIS71" s="16"/>
      <c r="KIT71" s="16"/>
      <c r="KIU71" s="16"/>
      <c r="KIV71" s="16"/>
      <c r="KIW71" s="16"/>
      <c r="KIX71" s="16"/>
      <c r="KIY71" s="16"/>
      <c r="KIZ71" s="16"/>
      <c r="KJA71" s="16"/>
      <c r="KJB71" s="16"/>
      <c r="KJC71" s="16"/>
      <c r="KJD71" s="16"/>
      <c r="KJE71" s="16"/>
      <c r="KJF71" s="16"/>
      <c r="KJG71" s="16"/>
      <c r="KJH71" s="16"/>
      <c r="KJI71" s="16"/>
      <c r="KJJ71" s="16"/>
      <c r="KJK71" s="16"/>
      <c r="KJL71" s="16"/>
      <c r="KJM71" s="16"/>
      <c r="KJN71" s="16"/>
      <c r="KJO71" s="16"/>
      <c r="KJP71" s="16"/>
      <c r="KJQ71" s="16"/>
      <c r="KJR71" s="16"/>
      <c r="KJS71" s="16"/>
      <c r="KJT71" s="16"/>
      <c r="KJU71" s="16"/>
      <c r="KJV71" s="16"/>
      <c r="KJW71" s="16"/>
      <c r="KJX71" s="16"/>
      <c r="KJY71" s="16"/>
      <c r="KJZ71" s="16"/>
      <c r="KKA71" s="16"/>
      <c r="KKB71" s="16"/>
      <c r="KKC71" s="16"/>
      <c r="KKD71" s="16"/>
      <c r="KKE71" s="16"/>
      <c r="KKF71" s="16"/>
      <c r="KKG71" s="16"/>
      <c r="KKH71" s="16"/>
      <c r="KKI71" s="16"/>
      <c r="KKJ71" s="16"/>
      <c r="KKK71" s="16"/>
      <c r="KKL71" s="16"/>
      <c r="KKM71" s="16"/>
      <c r="KKN71" s="16"/>
      <c r="KKO71" s="16"/>
      <c r="KKP71" s="16"/>
      <c r="KKQ71" s="16"/>
      <c r="KKR71" s="16"/>
      <c r="KKS71" s="16"/>
      <c r="KKT71" s="16"/>
      <c r="KKU71" s="16"/>
      <c r="KKV71" s="16"/>
      <c r="KKW71" s="16"/>
      <c r="KKX71" s="16"/>
      <c r="KKY71" s="16"/>
      <c r="KKZ71" s="16"/>
      <c r="KLA71" s="16"/>
      <c r="KLB71" s="16"/>
      <c r="KLC71" s="16"/>
      <c r="KLD71" s="16"/>
      <c r="KLE71" s="16"/>
      <c r="KLF71" s="16"/>
      <c r="KLG71" s="16"/>
      <c r="KLH71" s="16"/>
      <c r="KLI71" s="16"/>
      <c r="KLJ71" s="16"/>
      <c r="KLK71" s="16"/>
      <c r="KLL71" s="16"/>
      <c r="KLM71" s="16"/>
      <c r="KLN71" s="16"/>
      <c r="KLO71" s="16"/>
      <c r="KLP71" s="16"/>
      <c r="KLQ71" s="16"/>
      <c r="KLR71" s="16"/>
      <c r="KLS71" s="16"/>
      <c r="KLT71" s="16"/>
      <c r="KLU71" s="16"/>
      <c r="KLV71" s="16"/>
      <c r="KLW71" s="16"/>
      <c r="KLX71" s="16"/>
      <c r="KLY71" s="16"/>
      <c r="KLZ71" s="16"/>
      <c r="KMA71" s="16"/>
      <c r="KMB71" s="16"/>
      <c r="KMC71" s="16"/>
      <c r="KMD71" s="16"/>
      <c r="KME71" s="16"/>
      <c r="KMF71" s="16"/>
      <c r="KMG71" s="16"/>
      <c r="KMH71" s="16"/>
      <c r="KMI71" s="16"/>
      <c r="KMJ71" s="16"/>
      <c r="KMK71" s="16"/>
      <c r="KML71" s="16"/>
      <c r="KMM71" s="16"/>
      <c r="KMN71" s="16"/>
      <c r="KMO71" s="16"/>
      <c r="KMP71" s="16"/>
      <c r="KMQ71" s="16"/>
      <c r="KMR71" s="16"/>
      <c r="KMS71" s="16"/>
      <c r="KMT71" s="16"/>
      <c r="KMU71" s="16"/>
      <c r="KMV71" s="16"/>
      <c r="KMW71" s="16"/>
      <c r="KMX71" s="16"/>
      <c r="KMY71" s="16"/>
      <c r="KMZ71" s="16"/>
      <c r="KNA71" s="16"/>
      <c r="KNB71" s="16"/>
      <c r="KNC71" s="16"/>
      <c r="KND71" s="16"/>
      <c r="KNE71" s="16"/>
      <c r="KNF71" s="16"/>
      <c r="KNG71" s="16"/>
      <c r="KNH71" s="16"/>
      <c r="KNI71" s="16"/>
      <c r="KNJ71" s="16"/>
      <c r="KNK71" s="16"/>
      <c r="KNL71" s="16"/>
      <c r="KNM71" s="16"/>
      <c r="KNN71" s="16"/>
      <c r="KNO71" s="16"/>
      <c r="KNP71" s="16"/>
      <c r="KNQ71" s="16"/>
      <c r="KNR71" s="16"/>
      <c r="KNS71" s="16"/>
      <c r="KNT71" s="16"/>
      <c r="KNU71" s="16"/>
      <c r="KNV71" s="16"/>
      <c r="KNW71" s="16"/>
      <c r="KNX71" s="16"/>
      <c r="KNY71" s="16"/>
      <c r="KNZ71" s="16"/>
      <c r="KOA71" s="16"/>
      <c r="KOB71" s="16"/>
      <c r="KOC71" s="16"/>
      <c r="KOD71" s="16"/>
      <c r="KOE71" s="16"/>
      <c r="KOF71" s="16"/>
      <c r="KOG71" s="16"/>
      <c r="KOH71" s="16"/>
      <c r="KOI71" s="16"/>
      <c r="KOJ71" s="16"/>
      <c r="KOK71" s="16"/>
      <c r="KOL71" s="16"/>
      <c r="KOM71" s="16"/>
      <c r="KON71" s="16"/>
      <c r="KOO71" s="16"/>
      <c r="KOP71" s="16"/>
      <c r="KOQ71" s="16"/>
      <c r="KOR71" s="16"/>
      <c r="KOS71" s="16"/>
      <c r="KOT71" s="16"/>
      <c r="KOU71" s="16"/>
      <c r="KOV71" s="16"/>
      <c r="KOW71" s="16"/>
      <c r="KOX71" s="16"/>
      <c r="KOY71" s="16"/>
      <c r="KOZ71" s="16"/>
      <c r="KPA71" s="16"/>
      <c r="KPB71" s="16"/>
      <c r="KPC71" s="16"/>
      <c r="KPD71" s="16"/>
      <c r="KPE71" s="16"/>
      <c r="KPF71" s="16"/>
      <c r="KPG71" s="16"/>
      <c r="KPH71" s="16"/>
      <c r="KPI71" s="16"/>
      <c r="KPJ71" s="16"/>
      <c r="KPK71" s="16"/>
      <c r="KPL71" s="16"/>
      <c r="KPM71" s="16"/>
      <c r="KPN71" s="16"/>
      <c r="KPO71" s="16"/>
      <c r="KPP71" s="16"/>
      <c r="KPQ71" s="16"/>
      <c r="KPR71" s="16"/>
      <c r="KPS71" s="16"/>
      <c r="KPT71" s="16"/>
      <c r="KPU71" s="16"/>
      <c r="KPV71" s="16"/>
      <c r="KPW71" s="16"/>
      <c r="KPX71" s="16"/>
      <c r="KPY71" s="16"/>
      <c r="KPZ71" s="16"/>
      <c r="KQA71" s="16"/>
      <c r="KQB71" s="16"/>
      <c r="KQC71" s="16"/>
      <c r="KQD71" s="16"/>
      <c r="KQE71" s="16"/>
      <c r="KQF71" s="16"/>
      <c r="KQG71" s="16"/>
      <c r="KQH71" s="16"/>
      <c r="KQI71" s="16"/>
      <c r="KQJ71" s="16"/>
      <c r="KQK71" s="16"/>
      <c r="KQL71" s="16"/>
      <c r="KQM71" s="16"/>
      <c r="KQN71" s="16"/>
      <c r="KQO71" s="16"/>
      <c r="KQP71" s="16"/>
      <c r="KQQ71" s="16"/>
      <c r="KQR71" s="16"/>
      <c r="KQS71" s="16"/>
      <c r="KQT71" s="16"/>
      <c r="KQU71" s="16"/>
      <c r="KQV71" s="16"/>
      <c r="KQW71" s="16"/>
      <c r="KQX71" s="16"/>
      <c r="KQY71" s="16"/>
      <c r="KQZ71" s="16"/>
      <c r="KRA71" s="16"/>
      <c r="KRB71" s="16"/>
      <c r="KRC71" s="16"/>
      <c r="KRD71" s="16"/>
      <c r="KRE71" s="16"/>
      <c r="KRF71" s="16"/>
      <c r="KRG71" s="16"/>
      <c r="KRH71" s="16"/>
      <c r="KRI71" s="16"/>
      <c r="KRJ71" s="16"/>
      <c r="KRK71" s="16"/>
      <c r="KRL71" s="16"/>
      <c r="KRM71" s="16"/>
      <c r="KRN71" s="16"/>
      <c r="KRO71" s="16"/>
      <c r="KRP71" s="16"/>
      <c r="KRQ71" s="16"/>
      <c r="KRR71" s="16"/>
      <c r="KRS71" s="16"/>
      <c r="KRT71" s="16"/>
      <c r="KRU71" s="16"/>
      <c r="KRV71" s="16"/>
      <c r="KRW71" s="16"/>
      <c r="KRX71" s="16"/>
      <c r="KRY71" s="16"/>
      <c r="KRZ71" s="16"/>
      <c r="KSA71" s="16"/>
      <c r="KSB71" s="16"/>
      <c r="KSC71" s="16"/>
      <c r="KSD71" s="16"/>
      <c r="KSE71" s="16"/>
      <c r="KSF71" s="16"/>
      <c r="KSG71" s="16"/>
      <c r="KSH71" s="16"/>
      <c r="KSI71" s="16"/>
      <c r="KSJ71" s="16"/>
      <c r="KSK71" s="16"/>
      <c r="KSL71" s="16"/>
      <c r="KSM71" s="16"/>
      <c r="KSN71" s="16"/>
      <c r="KSO71" s="16"/>
      <c r="KSP71" s="16"/>
      <c r="KSQ71" s="16"/>
      <c r="KSR71" s="16"/>
      <c r="KSS71" s="16"/>
      <c r="KST71" s="16"/>
      <c r="KSU71" s="16"/>
      <c r="KSV71" s="16"/>
      <c r="KSW71" s="16"/>
      <c r="KSX71" s="16"/>
      <c r="KSY71" s="16"/>
      <c r="KSZ71" s="16"/>
      <c r="KTA71" s="16"/>
      <c r="KTB71" s="16"/>
      <c r="KTC71" s="16"/>
      <c r="KTD71" s="16"/>
      <c r="KTE71" s="16"/>
      <c r="KTF71" s="16"/>
      <c r="KTG71" s="16"/>
      <c r="KTH71" s="16"/>
      <c r="KTI71" s="16"/>
      <c r="KTJ71" s="16"/>
      <c r="KTK71" s="16"/>
      <c r="KTL71" s="16"/>
      <c r="KTM71" s="16"/>
      <c r="KTN71" s="16"/>
      <c r="KTO71" s="16"/>
      <c r="KTP71" s="16"/>
      <c r="KTQ71" s="16"/>
      <c r="KTR71" s="16"/>
      <c r="KTS71" s="16"/>
      <c r="KTT71" s="16"/>
      <c r="KTU71" s="16"/>
      <c r="KTV71" s="16"/>
      <c r="KTW71" s="16"/>
      <c r="KTX71" s="16"/>
      <c r="KTY71" s="16"/>
      <c r="KTZ71" s="16"/>
      <c r="KUA71" s="16"/>
      <c r="KUB71" s="16"/>
      <c r="KUC71" s="16"/>
      <c r="KUD71" s="16"/>
      <c r="KUE71" s="16"/>
      <c r="KUF71" s="16"/>
      <c r="KUG71" s="16"/>
      <c r="KUH71" s="16"/>
      <c r="KUI71" s="16"/>
      <c r="KUJ71" s="16"/>
      <c r="KUK71" s="16"/>
      <c r="KUL71" s="16"/>
      <c r="KUM71" s="16"/>
      <c r="KUN71" s="16"/>
      <c r="KUO71" s="16"/>
      <c r="KUP71" s="16"/>
      <c r="KUQ71" s="16"/>
      <c r="KUR71" s="16"/>
      <c r="KUS71" s="16"/>
      <c r="KUT71" s="16"/>
      <c r="KUU71" s="16"/>
      <c r="KUV71" s="16"/>
      <c r="KUW71" s="16"/>
      <c r="KUX71" s="16"/>
      <c r="KUY71" s="16"/>
      <c r="KUZ71" s="16"/>
      <c r="KVA71" s="16"/>
      <c r="KVB71" s="16"/>
      <c r="KVC71" s="16"/>
      <c r="KVD71" s="16"/>
      <c r="KVE71" s="16"/>
      <c r="KVF71" s="16"/>
      <c r="KVG71" s="16"/>
      <c r="KVH71" s="16"/>
      <c r="KVI71" s="16"/>
      <c r="KVJ71" s="16"/>
      <c r="KVK71" s="16"/>
      <c r="KVL71" s="16"/>
      <c r="KVM71" s="16"/>
      <c r="KVN71" s="16"/>
      <c r="KVO71" s="16"/>
      <c r="KVP71" s="16"/>
      <c r="KVQ71" s="16"/>
      <c r="KVR71" s="16"/>
      <c r="KVS71" s="16"/>
      <c r="KVT71" s="16"/>
      <c r="KVU71" s="16"/>
      <c r="KVV71" s="16"/>
      <c r="KVW71" s="16"/>
      <c r="KVX71" s="16"/>
      <c r="KVY71" s="16"/>
      <c r="KVZ71" s="16"/>
      <c r="KWA71" s="16"/>
      <c r="KWB71" s="16"/>
      <c r="KWC71" s="16"/>
      <c r="KWD71" s="16"/>
      <c r="KWE71" s="16"/>
      <c r="KWF71" s="16"/>
      <c r="KWG71" s="16"/>
      <c r="KWH71" s="16"/>
      <c r="KWI71" s="16"/>
      <c r="KWJ71" s="16"/>
      <c r="KWK71" s="16"/>
      <c r="KWL71" s="16"/>
      <c r="KWM71" s="16"/>
      <c r="KWN71" s="16"/>
      <c r="KWO71" s="16"/>
      <c r="KWP71" s="16"/>
      <c r="KWQ71" s="16"/>
      <c r="KWR71" s="16"/>
      <c r="KWS71" s="16"/>
      <c r="KWT71" s="16"/>
      <c r="KWU71" s="16"/>
      <c r="KWV71" s="16"/>
      <c r="KWW71" s="16"/>
      <c r="KWX71" s="16"/>
      <c r="KWY71" s="16"/>
      <c r="KWZ71" s="16"/>
      <c r="KXA71" s="16"/>
      <c r="KXB71" s="16"/>
      <c r="KXC71" s="16"/>
      <c r="KXD71" s="16"/>
      <c r="KXE71" s="16"/>
      <c r="KXF71" s="16"/>
      <c r="KXG71" s="16"/>
      <c r="KXH71" s="16"/>
      <c r="KXI71" s="16"/>
      <c r="KXJ71" s="16"/>
      <c r="KXK71" s="16"/>
      <c r="KXL71" s="16"/>
      <c r="KXM71" s="16"/>
      <c r="KXN71" s="16"/>
      <c r="KXO71" s="16"/>
      <c r="KXP71" s="16"/>
      <c r="KXQ71" s="16"/>
      <c r="KXR71" s="16"/>
      <c r="KXS71" s="16"/>
      <c r="KXT71" s="16"/>
      <c r="KXU71" s="16"/>
      <c r="KXV71" s="16"/>
      <c r="KXW71" s="16"/>
      <c r="KXX71" s="16"/>
      <c r="KXY71" s="16"/>
      <c r="KXZ71" s="16"/>
      <c r="KYA71" s="16"/>
      <c r="KYB71" s="16"/>
      <c r="KYC71" s="16"/>
      <c r="KYD71" s="16"/>
      <c r="KYE71" s="16"/>
      <c r="KYF71" s="16"/>
      <c r="KYG71" s="16"/>
      <c r="KYH71" s="16"/>
      <c r="KYI71" s="16"/>
      <c r="KYJ71" s="16"/>
      <c r="KYK71" s="16"/>
      <c r="KYL71" s="16"/>
      <c r="KYM71" s="16"/>
      <c r="KYN71" s="16"/>
      <c r="KYO71" s="16"/>
      <c r="KYP71" s="16"/>
      <c r="KYQ71" s="16"/>
      <c r="KYR71" s="16"/>
      <c r="KYS71" s="16"/>
      <c r="KYT71" s="16"/>
      <c r="KYU71" s="16"/>
      <c r="KYV71" s="16"/>
      <c r="KYW71" s="16"/>
      <c r="KYX71" s="16"/>
      <c r="KYY71" s="16"/>
      <c r="KYZ71" s="16"/>
      <c r="KZA71" s="16"/>
      <c r="KZB71" s="16"/>
      <c r="KZC71" s="16"/>
      <c r="KZD71" s="16"/>
      <c r="KZE71" s="16"/>
      <c r="KZF71" s="16"/>
      <c r="KZG71" s="16"/>
      <c r="KZH71" s="16"/>
      <c r="KZI71" s="16"/>
      <c r="KZJ71" s="16"/>
      <c r="KZK71" s="16"/>
      <c r="KZL71" s="16"/>
      <c r="KZM71" s="16"/>
      <c r="KZN71" s="16"/>
      <c r="KZO71" s="16"/>
      <c r="KZP71" s="16"/>
      <c r="KZQ71" s="16"/>
      <c r="KZR71" s="16"/>
      <c r="KZS71" s="16"/>
      <c r="KZT71" s="16"/>
      <c r="KZU71" s="16"/>
      <c r="KZV71" s="16"/>
      <c r="KZW71" s="16"/>
      <c r="KZX71" s="16"/>
      <c r="KZY71" s="16"/>
      <c r="KZZ71" s="16"/>
      <c r="LAA71" s="16"/>
      <c r="LAB71" s="16"/>
      <c r="LAC71" s="16"/>
      <c r="LAD71" s="16"/>
      <c r="LAE71" s="16"/>
      <c r="LAF71" s="16"/>
      <c r="LAG71" s="16"/>
      <c r="LAH71" s="16"/>
      <c r="LAI71" s="16"/>
      <c r="LAJ71" s="16"/>
      <c r="LAK71" s="16"/>
      <c r="LAL71" s="16"/>
      <c r="LAM71" s="16"/>
      <c r="LAN71" s="16"/>
      <c r="LAO71" s="16"/>
      <c r="LAP71" s="16"/>
      <c r="LAQ71" s="16"/>
      <c r="LAR71" s="16"/>
      <c r="LAS71" s="16"/>
      <c r="LAT71" s="16"/>
      <c r="LAU71" s="16"/>
      <c r="LAV71" s="16"/>
      <c r="LAW71" s="16"/>
      <c r="LAX71" s="16"/>
      <c r="LAY71" s="16"/>
      <c r="LAZ71" s="16"/>
      <c r="LBA71" s="16"/>
      <c r="LBB71" s="16"/>
      <c r="LBC71" s="16"/>
      <c r="LBD71" s="16"/>
      <c r="LBE71" s="16"/>
      <c r="LBF71" s="16"/>
      <c r="LBG71" s="16"/>
      <c r="LBH71" s="16"/>
      <c r="LBI71" s="16"/>
      <c r="LBJ71" s="16"/>
      <c r="LBK71" s="16"/>
      <c r="LBL71" s="16"/>
      <c r="LBM71" s="16"/>
      <c r="LBN71" s="16"/>
      <c r="LBO71" s="16"/>
      <c r="LBP71" s="16"/>
      <c r="LBQ71" s="16"/>
      <c r="LBR71" s="16"/>
      <c r="LBS71" s="16"/>
      <c r="LBT71" s="16"/>
      <c r="LBU71" s="16"/>
      <c r="LBV71" s="16"/>
      <c r="LBW71" s="16"/>
      <c r="LBX71" s="16"/>
      <c r="LBY71" s="16"/>
      <c r="LBZ71" s="16"/>
      <c r="LCA71" s="16"/>
      <c r="LCB71" s="16"/>
      <c r="LCC71" s="16"/>
      <c r="LCD71" s="16"/>
      <c r="LCE71" s="16"/>
      <c r="LCF71" s="16"/>
      <c r="LCG71" s="16"/>
      <c r="LCH71" s="16"/>
      <c r="LCI71" s="16"/>
      <c r="LCJ71" s="16"/>
      <c r="LCK71" s="16"/>
      <c r="LCL71" s="16"/>
      <c r="LCM71" s="16"/>
      <c r="LCN71" s="16"/>
      <c r="LCO71" s="16"/>
      <c r="LCP71" s="16"/>
      <c r="LCQ71" s="16"/>
      <c r="LCR71" s="16"/>
      <c r="LCS71" s="16"/>
      <c r="LCT71" s="16"/>
      <c r="LCU71" s="16"/>
      <c r="LCV71" s="16"/>
      <c r="LCW71" s="16"/>
      <c r="LCX71" s="16"/>
      <c r="LCY71" s="16"/>
      <c r="LCZ71" s="16"/>
      <c r="LDA71" s="16"/>
      <c r="LDB71" s="16"/>
      <c r="LDC71" s="16"/>
      <c r="LDD71" s="16"/>
      <c r="LDE71" s="16"/>
      <c r="LDF71" s="16"/>
      <c r="LDG71" s="16"/>
      <c r="LDH71" s="16"/>
      <c r="LDI71" s="16"/>
      <c r="LDJ71" s="16"/>
      <c r="LDK71" s="16"/>
      <c r="LDL71" s="16"/>
      <c r="LDM71" s="16"/>
      <c r="LDN71" s="16"/>
      <c r="LDO71" s="16"/>
      <c r="LDP71" s="16"/>
      <c r="LDQ71" s="16"/>
      <c r="LDR71" s="16"/>
      <c r="LDS71" s="16"/>
      <c r="LDT71" s="16"/>
      <c r="LDU71" s="16"/>
      <c r="LDV71" s="16"/>
      <c r="LDW71" s="16"/>
      <c r="LDX71" s="16"/>
      <c r="LDY71" s="16"/>
      <c r="LDZ71" s="16"/>
      <c r="LEA71" s="16"/>
      <c r="LEB71" s="16"/>
      <c r="LEC71" s="16"/>
      <c r="LED71" s="16"/>
      <c r="LEE71" s="16"/>
      <c r="LEF71" s="16"/>
      <c r="LEG71" s="16"/>
      <c r="LEH71" s="16"/>
      <c r="LEI71" s="16"/>
      <c r="LEJ71" s="16"/>
      <c r="LEK71" s="16"/>
      <c r="LEL71" s="16"/>
      <c r="LEM71" s="16"/>
      <c r="LEN71" s="16"/>
      <c r="LEO71" s="16"/>
      <c r="LEP71" s="16"/>
      <c r="LEQ71" s="16"/>
      <c r="LER71" s="16"/>
      <c r="LES71" s="16"/>
      <c r="LET71" s="16"/>
      <c r="LEU71" s="16"/>
      <c r="LEV71" s="16"/>
      <c r="LEW71" s="16"/>
      <c r="LEX71" s="16"/>
      <c r="LEY71" s="16"/>
      <c r="LEZ71" s="16"/>
      <c r="LFA71" s="16"/>
      <c r="LFB71" s="16"/>
      <c r="LFC71" s="16"/>
      <c r="LFD71" s="16"/>
      <c r="LFE71" s="16"/>
      <c r="LFF71" s="16"/>
      <c r="LFG71" s="16"/>
      <c r="LFH71" s="16"/>
      <c r="LFI71" s="16"/>
      <c r="LFJ71" s="16"/>
      <c r="LFK71" s="16"/>
      <c r="LFL71" s="16"/>
      <c r="LFM71" s="16"/>
      <c r="LFN71" s="16"/>
      <c r="LFO71" s="16"/>
      <c r="LFP71" s="16"/>
      <c r="LFQ71" s="16"/>
      <c r="LFR71" s="16"/>
      <c r="LFS71" s="16"/>
      <c r="LFT71" s="16"/>
      <c r="LFU71" s="16"/>
      <c r="LFV71" s="16"/>
      <c r="LFW71" s="16"/>
      <c r="LFX71" s="16"/>
      <c r="LFY71" s="16"/>
      <c r="LFZ71" s="16"/>
      <c r="LGA71" s="16"/>
      <c r="LGB71" s="16"/>
      <c r="LGC71" s="16"/>
      <c r="LGD71" s="16"/>
      <c r="LGE71" s="16"/>
      <c r="LGF71" s="16"/>
      <c r="LGG71" s="16"/>
      <c r="LGH71" s="16"/>
      <c r="LGI71" s="16"/>
      <c r="LGJ71" s="16"/>
      <c r="LGK71" s="16"/>
      <c r="LGL71" s="16"/>
      <c r="LGM71" s="16"/>
      <c r="LGN71" s="16"/>
      <c r="LGO71" s="16"/>
      <c r="LGP71" s="16"/>
      <c r="LGQ71" s="16"/>
      <c r="LGR71" s="16"/>
      <c r="LGS71" s="16"/>
      <c r="LGT71" s="16"/>
      <c r="LGU71" s="16"/>
      <c r="LGV71" s="16"/>
      <c r="LGW71" s="16"/>
      <c r="LGX71" s="16"/>
      <c r="LGY71" s="16"/>
      <c r="LGZ71" s="16"/>
      <c r="LHA71" s="16"/>
      <c r="LHB71" s="16"/>
      <c r="LHC71" s="16"/>
      <c r="LHD71" s="16"/>
      <c r="LHE71" s="16"/>
      <c r="LHF71" s="16"/>
      <c r="LHG71" s="16"/>
      <c r="LHH71" s="16"/>
      <c r="LHI71" s="16"/>
      <c r="LHJ71" s="16"/>
      <c r="LHK71" s="16"/>
      <c r="LHL71" s="16"/>
      <c r="LHM71" s="16"/>
      <c r="LHN71" s="16"/>
      <c r="LHO71" s="16"/>
      <c r="LHP71" s="16"/>
      <c r="LHQ71" s="16"/>
      <c r="LHR71" s="16"/>
      <c r="LHS71" s="16"/>
      <c r="LHT71" s="16"/>
      <c r="LHU71" s="16"/>
      <c r="LHV71" s="16"/>
      <c r="LHW71" s="16"/>
      <c r="LHX71" s="16"/>
      <c r="LHY71" s="16"/>
      <c r="LHZ71" s="16"/>
      <c r="LIA71" s="16"/>
      <c r="LIB71" s="16"/>
      <c r="LIC71" s="16"/>
      <c r="LID71" s="16"/>
      <c r="LIE71" s="16"/>
      <c r="LIF71" s="16"/>
      <c r="LIG71" s="16"/>
      <c r="LIH71" s="16"/>
      <c r="LII71" s="16"/>
      <c r="LIJ71" s="16"/>
      <c r="LIK71" s="16"/>
      <c r="LIL71" s="16"/>
      <c r="LIM71" s="16"/>
      <c r="LIN71" s="16"/>
      <c r="LIO71" s="16"/>
      <c r="LIP71" s="16"/>
      <c r="LIQ71" s="16"/>
      <c r="LIR71" s="16"/>
      <c r="LIS71" s="16"/>
      <c r="LIT71" s="16"/>
      <c r="LIU71" s="16"/>
      <c r="LIV71" s="16"/>
      <c r="LIW71" s="16"/>
      <c r="LIX71" s="16"/>
      <c r="LIY71" s="16"/>
      <c r="LIZ71" s="16"/>
      <c r="LJA71" s="16"/>
      <c r="LJB71" s="16"/>
      <c r="LJC71" s="16"/>
      <c r="LJD71" s="16"/>
      <c r="LJE71" s="16"/>
      <c r="LJF71" s="16"/>
      <c r="LJG71" s="16"/>
      <c r="LJH71" s="16"/>
      <c r="LJI71" s="16"/>
      <c r="LJJ71" s="16"/>
      <c r="LJK71" s="16"/>
      <c r="LJL71" s="16"/>
      <c r="LJM71" s="16"/>
      <c r="LJN71" s="16"/>
      <c r="LJO71" s="16"/>
      <c r="LJP71" s="16"/>
      <c r="LJQ71" s="16"/>
      <c r="LJR71" s="16"/>
      <c r="LJS71" s="16"/>
      <c r="LJT71" s="16"/>
      <c r="LJU71" s="16"/>
      <c r="LJV71" s="16"/>
      <c r="LJW71" s="16"/>
      <c r="LJX71" s="16"/>
      <c r="LJY71" s="16"/>
      <c r="LJZ71" s="16"/>
      <c r="LKA71" s="16"/>
      <c r="LKB71" s="16"/>
      <c r="LKC71" s="16"/>
      <c r="LKD71" s="16"/>
      <c r="LKE71" s="16"/>
      <c r="LKF71" s="16"/>
      <c r="LKG71" s="16"/>
      <c r="LKH71" s="16"/>
      <c r="LKI71" s="16"/>
      <c r="LKJ71" s="16"/>
      <c r="LKK71" s="16"/>
      <c r="LKL71" s="16"/>
      <c r="LKM71" s="16"/>
      <c r="LKN71" s="16"/>
      <c r="LKO71" s="16"/>
      <c r="LKP71" s="16"/>
      <c r="LKQ71" s="16"/>
      <c r="LKR71" s="16"/>
      <c r="LKS71" s="16"/>
      <c r="LKT71" s="16"/>
      <c r="LKU71" s="16"/>
      <c r="LKV71" s="16"/>
      <c r="LKW71" s="16"/>
      <c r="LKX71" s="16"/>
      <c r="LKY71" s="16"/>
      <c r="LKZ71" s="16"/>
      <c r="LLA71" s="16"/>
      <c r="LLB71" s="16"/>
      <c r="LLC71" s="16"/>
      <c r="LLD71" s="16"/>
      <c r="LLE71" s="16"/>
      <c r="LLF71" s="16"/>
      <c r="LLG71" s="16"/>
      <c r="LLH71" s="16"/>
      <c r="LLI71" s="16"/>
      <c r="LLJ71" s="16"/>
      <c r="LLK71" s="16"/>
      <c r="LLL71" s="16"/>
      <c r="LLM71" s="16"/>
      <c r="LLN71" s="16"/>
      <c r="LLO71" s="16"/>
      <c r="LLP71" s="16"/>
      <c r="LLQ71" s="16"/>
      <c r="LLR71" s="16"/>
      <c r="LLS71" s="16"/>
      <c r="LLT71" s="16"/>
      <c r="LLU71" s="16"/>
      <c r="LLV71" s="16"/>
      <c r="LLW71" s="16"/>
      <c r="LLX71" s="16"/>
      <c r="LLY71" s="16"/>
      <c r="LLZ71" s="16"/>
      <c r="LMA71" s="16"/>
      <c r="LMB71" s="16"/>
      <c r="LMC71" s="16"/>
      <c r="LMD71" s="16"/>
      <c r="LME71" s="16"/>
      <c r="LMF71" s="16"/>
      <c r="LMG71" s="16"/>
      <c r="LMH71" s="16"/>
      <c r="LMI71" s="16"/>
      <c r="LMJ71" s="16"/>
      <c r="LMK71" s="16"/>
      <c r="LML71" s="16"/>
      <c r="LMM71" s="16"/>
      <c r="LMN71" s="16"/>
      <c r="LMO71" s="16"/>
      <c r="LMP71" s="16"/>
      <c r="LMQ71" s="16"/>
      <c r="LMR71" s="16"/>
      <c r="LMS71" s="16"/>
      <c r="LMT71" s="16"/>
      <c r="LMU71" s="16"/>
      <c r="LMV71" s="16"/>
      <c r="LMW71" s="16"/>
      <c r="LMX71" s="16"/>
      <c r="LMY71" s="16"/>
      <c r="LMZ71" s="16"/>
      <c r="LNA71" s="16"/>
      <c r="LNB71" s="16"/>
      <c r="LNC71" s="16"/>
      <c r="LND71" s="16"/>
      <c r="LNE71" s="16"/>
      <c r="LNF71" s="16"/>
      <c r="LNG71" s="16"/>
      <c r="LNH71" s="16"/>
      <c r="LNI71" s="16"/>
      <c r="LNJ71" s="16"/>
      <c r="LNK71" s="16"/>
      <c r="LNL71" s="16"/>
      <c r="LNM71" s="16"/>
      <c r="LNN71" s="16"/>
      <c r="LNO71" s="16"/>
      <c r="LNP71" s="16"/>
      <c r="LNQ71" s="16"/>
      <c r="LNR71" s="16"/>
      <c r="LNS71" s="16"/>
      <c r="LNT71" s="16"/>
      <c r="LNU71" s="16"/>
      <c r="LNV71" s="16"/>
      <c r="LNW71" s="16"/>
      <c r="LNX71" s="16"/>
      <c r="LNY71" s="16"/>
      <c r="LNZ71" s="16"/>
      <c r="LOA71" s="16"/>
      <c r="LOB71" s="16"/>
      <c r="LOC71" s="16"/>
      <c r="LOD71" s="16"/>
      <c r="LOE71" s="16"/>
      <c r="LOF71" s="16"/>
      <c r="LOG71" s="16"/>
      <c r="LOH71" s="16"/>
      <c r="LOI71" s="16"/>
      <c r="LOJ71" s="16"/>
      <c r="LOK71" s="16"/>
      <c r="LOL71" s="16"/>
      <c r="LOM71" s="16"/>
      <c r="LON71" s="16"/>
      <c r="LOO71" s="16"/>
      <c r="LOP71" s="16"/>
      <c r="LOQ71" s="16"/>
      <c r="LOR71" s="16"/>
      <c r="LOS71" s="16"/>
      <c r="LOT71" s="16"/>
      <c r="LOU71" s="16"/>
      <c r="LOV71" s="16"/>
      <c r="LOW71" s="16"/>
      <c r="LOX71" s="16"/>
      <c r="LOY71" s="16"/>
      <c r="LOZ71" s="16"/>
      <c r="LPA71" s="16"/>
      <c r="LPB71" s="16"/>
      <c r="LPC71" s="16"/>
      <c r="LPD71" s="16"/>
      <c r="LPE71" s="16"/>
      <c r="LPF71" s="16"/>
      <c r="LPG71" s="16"/>
      <c r="LPH71" s="16"/>
      <c r="LPI71" s="16"/>
      <c r="LPJ71" s="16"/>
      <c r="LPK71" s="16"/>
      <c r="LPL71" s="16"/>
      <c r="LPM71" s="16"/>
      <c r="LPN71" s="16"/>
      <c r="LPO71" s="16"/>
      <c r="LPP71" s="16"/>
      <c r="LPQ71" s="16"/>
      <c r="LPR71" s="16"/>
      <c r="LPS71" s="16"/>
      <c r="LPT71" s="16"/>
      <c r="LPU71" s="16"/>
      <c r="LPV71" s="16"/>
      <c r="LPW71" s="16"/>
      <c r="LPX71" s="16"/>
      <c r="LPY71" s="16"/>
      <c r="LPZ71" s="16"/>
      <c r="LQA71" s="16"/>
      <c r="LQB71" s="16"/>
      <c r="LQC71" s="16"/>
      <c r="LQD71" s="16"/>
      <c r="LQE71" s="16"/>
      <c r="LQF71" s="16"/>
      <c r="LQG71" s="16"/>
      <c r="LQH71" s="16"/>
      <c r="LQI71" s="16"/>
      <c r="LQJ71" s="16"/>
      <c r="LQK71" s="16"/>
      <c r="LQL71" s="16"/>
      <c r="LQM71" s="16"/>
      <c r="LQN71" s="16"/>
      <c r="LQO71" s="16"/>
      <c r="LQP71" s="16"/>
      <c r="LQQ71" s="16"/>
      <c r="LQR71" s="16"/>
      <c r="LQS71" s="16"/>
      <c r="LQT71" s="16"/>
      <c r="LQU71" s="16"/>
      <c r="LQV71" s="16"/>
      <c r="LQW71" s="16"/>
      <c r="LQX71" s="16"/>
      <c r="LQY71" s="16"/>
      <c r="LQZ71" s="16"/>
      <c r="LRA71" s="16"/>
      <c r="LRB71" s="16"/>
      <c r="LRC71" s="16"/>
      <c r="LRD71" s="16"/>
      <c r="LRE71" s="16"/>
      <c r="LRF71" s="16"/>
      <c r="LRG71" s="16"/>
      <c r="LRH71" s="16"/>
      <c r="LRI71" s="16"/>
      <c r="LRJ71" s="16"/>
      <c r="LRK71" s="16"/>
      <c r="LRL71" s="16"/>
      <c r="LRM71" s="16"/>
      <c r="LRN71" s="16"/>
      <c r="LRO71" s="16"/>
      <c r="LRP71" s="16"/>
      <c r="LRQ71" s="16"/>
      <c r="LRR71" s="16"/>
      <c r="LRS71" s="16"/>
      <c r="LRT71" s="16"/>
      <c r="LRU71" s="16"/>
      <c r="LRV71" s="16"/>
      <c r="LRW71" s="16"/>
      <c r="LRX71" s="16"/>
      <c r="LRY71" s="16"/>
      <c r="LRZ71" s="16"/>
      <c r="LSA71" s="16"/>
      <c r="LSB71" s="16"/>
      <c r="LSC71" s="16"/>
      <c r="LSD71" s="16"/>
      <c r="LSE71" s="16"/>
      <c r="LSF71" s="16"/>
      <c r="LSG71" s="16"/>
      <c r="LSH71" s="16"/>
      <c r="LSI71" s="16"/>
      <c r="LSJ71" s="16"/>
      <c r="LSK71" s="16"/>
      <c r="LSL71" s="16"/>
      <c r="LSM71" s="16"/>
      <c r="LSN71" s="16"/>
      <c r="LSO71" s="16"/>
      <c r="LSP71" s="16"/>
      <c r="LSQ71" s="16"/>
      <c r="LSR71" s="16"/>
      <c r="LSS71" s="16"/>
      <c r="LST71" s="16"/>
      <c r="LSU71" s="16"/>
      <c r="LSV71" s="16"/>
      <c r="LSW71" s="16"/>
      <c r="LSX71" s="16"/>
      <c r="LSY71" s="16"/>
      <c r="LSZ71" s="16"/>
      <c r="LTA71" s="16"/>
      <c r="LTB71" s="16"/>
      <c r="LTC71" s="16"/>
      <c r="LTD71" s="16"/>
      <c r="LTE71" s="16"/>
      <c r="LTF71" s="16"/>
      <c r="LTG71" s="16"/>
      <c r="LTH71" s="16"/>
      <c r="LTI71" s="16"/>
      <c r="LTJ71" s="16"/>
      <c r="LTK71" s="16"/>
      <c r="LTL71" s="16"/>
      <c r="LTM71" s="16"/>
      <c r="LTN71" s="16"/>
      <c r="LTO71" s="16"/>
      <c r="LTP71" s="16"/>
      <c r="LTQ71" s="16"/>
      <c r="LTR71" s="16"/>
      <c r="LTS71" s="16"/>
      <c r="LTT71" s="16"/>
      <c r="LTU71" s="16"/>
      <c r="LTV71" s="16"/>
      <c r="LTW71" s="16"/>
      <c r="LTX71" s="16"/>
      <c r="LTY71" s="16"/>
      <c r="LTZ71" s="16"/>
      <c r="LUA71" s="16"/>
      <c r="LUB71" s="16"/>
      <c r="LUC71" s="16"/>
      <c r="LUD71" s="16"/>
      <c r="LUE71" s="16"/>
      <c r="LUF71" s="16"/>
      <c r="LUG71" s="16"/>
      <c r="LUH71" s="16"/>
      <c r="LUI71" s="16"/>
      <c r="LUJ71" s="16"/>
      <c r="LUK71" s="16"/>
      <c r="LUL71" s="16"/>
      <c r="LUM71" s="16"/>
      <c r="LUN71" s="16"/>
      <c r="LUO71" s="16"/>
      <c r="LUP71" s="16"/>
      <c r="LUQ71" s="16"/>
      <c r="LUR71" s="16"/>
      <c r="LUS71" s="16"/>
      <c r="LUT71" s="16"/>
      <c r="LUU71" s="16"/>
      <c r="LUV71" s="16"/>
      <c r="LUW71" s="16"/>
      <c r="LUX71" s="16"/>
      <c r="LUY71" s="16"/>
      <c r="LUZ71" s="16"/>
      <c r="LVA71" s="16"/>
      <c r="LVB71" s="16"/>
      <c r="LVC71" s="16"/>
      <c r="LVD71" s="16"/>
      <c r="LVE71" s="16"/>
      <c r="LVF71" s="16"/>
      <c r="LVG71" s="16"/>
      <c r="LVH71" s="16"/>
      <c r="LVI71" s="16"/>
      <c r="LVJ71" s="16"/>
      <c r="LVK71" s="16"/>
      <c r="LVL71" s="16"/>
      <c r="LVM71" s="16"/>
      <c r="LVN71" s="16"/>
      <c r="LVO71" s="16"/>
      <c r="LVP71" s="16"/>
      <c r="LVQ71" s="16"/>
      <c r="LVR71" s="16"/>
      <c r="LVS71" s="16"/>
      <c r="LVT71" s="16"/>
      <c r="LVU71" s="16"/>
      <c r="LVV71" s="16"/>
      <c r="LVW71" s="16"/>
      <c r="LVX71" s="16"/>
      <c r="LVY71" s="16"/>
      <c r="LVZ71" s="16"/>
      <c r="LWA71" s="16"/>
      <c r="LWB71" s="16"/>
      <c r="LWC71" s="16"/>
      <c r="LWD71" s="16"/>
      <c r="LWE71" s="16"/>
      <c r="LWF71" s="16"/>
      <c r="LWG71" s="16"/>
      <c r="LWH71" s="16"/>
      <c r="LWI71" s="16"/>
      <c r="LWJ71" s="16"/>
      <c r="LWK71" s="16"/>
      <c r="LWL71" s="16"/>
      <c r="LWM71" s="16"/>
      <c r="LWN71" s="16"/>
      <c r="LWO71" s="16"/>
      <c r="LWP71" s="16"/>
      <c r="LWQ71" s="16"/>
      <c r="LWR71" s="16"/>
      <c r="LWS71" s="16"/>
      <c r="LWT71" s="16"/>
      <c r="LWU71" s="16"/>
      <c r="LWV71" s="16"/>
      <c r="LWW71" s="16"/>
      <c r="LWX71" s="16"/>
      <c r="LWY71" s="16"/>
      <c r="LWZ71" s="16"/>
      <c r="LXA71" s="16"/>
      <c r="LXB71" s="16"/>
      <c r="LXC71" s="16"/>
      <c r="LXD71" s="16"/>
      <c r="LXE71" s="16"/>
      <c r="LXF71" s="16"/>
      <c r="LXG71" s="16"/>
      <c r="LXH71" s="16"/>
      <c r="LXI71" s="16"/>
      <c r="LXJ71" s="16"/>
      <c r="LXK71" s="16"/>
      <c r="LXL71" s="16"/>
      <c r="LXM71" s="16"/>
      <c r="LXN71" s="16"/>
      <c r="LXO71" s="16"/>
      <c r="LXP71" s="16"/>
      <c r="LXQ71" s="16"/>
      <c r="LXR71" s="16"/>
      <c r="LXS71" s="16"/>
      <c r="LXT71" s="16"/>
      <c r="LXU71" s="16"/>
      <c r="LXV71" s="16"/>
      <c r="LXW71" s="16"/>
      <c r="LXX71" s="16"/>
      <c r="LXY71" s="16"/>
      <c r="LXZ71" s="16"/>
      <c r="LYA71" s="16"/>
      <c r="LYB71" s="16"/>
      <c r="LYC71" s="16"/>
      <c r="LYD71" s="16"/>
      <c r="LYE71" s="16"/>
      <c r="LYF71" s="16"/>
      <c r="LYG71" s="16"/>
      <c r="LYH71" s="16"/>
      <c r="LYI71" s="16"/>
      <c r="LYJ71" s="16"/>
      <c r="LYK71" s="16"/>
      <c r="LYL71" s="16"/>
      <c r="LYM71" s="16"/>
      <c r="LYN71" s="16"/>
      <c r="LYO71" s="16"/>
      <c r="LYP71" s="16"/>
      <c r="LYQ71" s="16"/>
      <c r="LYR71" s="16"/>
      <c r="LYS71" s="16"/>
      <c r="LYT71" s="16"/>
      <c r="LYU71" s="16"/>
      <c r="LYV71" s="16"/>
      <c r="LYW71" s="16"/>
      <c r="LYX71" s="16"/>
      <c r="LYY71" s="16"/>
      <c r="LYZ71" s="16"/>
      <c r="LZA71" s="16"/>
      <c r="LZB71" s="16"/>
      <c r="LZC71" s="16"/>
      <c r="LZD71" s="16"/>
      <c r="LZE71" s="16"/>
      <c r="LZF71" s="16"/>
      <c r="LZG71" s="16"/>
      <c r="LZH71" s="16"/>
      <c r="LZI71" s="16"/>
      <c r="LZJ71" s="16"/>
      <c r="LZK71" s="16"/>
      <c r="LZL71" s="16"/>
      <c r="LZM71" s="16"/>
      <c r="LZN71" s="16"/>
      <c r="LZO71" s="16"/>
      <c r="LZP71" s="16"/>
      <c r="LZQ71" s="16"/>
      <c r="LZR71" s="16"/>
      <c r="LZS71" s="16"/>
      <c r="LZT71" s="16"/>
      <c r="LZU71" s="16"/>
      <c r="LZV71" s="16"/>
      <c r="LZW71" s="16"/>
      <c r="LZX71" s="16"/>
      <c r="LZY71" s="16"/>
      <c r="LZZ71" s="16"/>
      <c r="MAA71" s="16"/>
      <c r="MAB71" s="16"/>
      <c r="MAC71" s="16"/>
      <c r="MAD71" s="16"/>
      <c r="MAE71" s="16"/>
      <c r="MAF71" s="16"/>
      <c r="MAG71" s="16"/>
      <c r="MAH71" s="16"/>
      <c r="MAI71" s="16"/>
      <c r="MAJ71" s="16"/>
      <c r="MAK71" s="16"/>
      <c r="MAL71" s="16"/>
      <c r="MAM71" s="16"/>
      <c r="MAN71" s="16"/>
      <c r="MAO71" s="16"/>
      <c r="MAP71" s="16"/>
      <c r="MAQ71" s="16"/>
      <c r="MAR71" s="16"/>
      <c r="MAS71" s="16"/>
      <c r="MAT71" s="16"/>
      <c r="MAU71" s="16"/>
      <c r="MAV71" s="16"/>
      <c r="MAW71" s="16"/>
      <c r="MAX71" s="16"/>
      <c r="MAY71" s="16"/>
      <c r="MAZ71" s="16"/>
      <c r="MBA71" s="16"/>
      <c r="MBB71" s="16"/>
      <c r="MBC71" s="16"/>
      <c r="MBD71" s="16"/>
      <c r="MBE71" s="16"/>
      <c r="MBF71" s="16"/>
      <c r="MBG71" s="16"/>
      <c r="MBH71" s="16"/>
      <c r="MBI71" s="16"/>
      <c r="MBJ71" s="16"/>
      <c r="MBK71" s="16"/>
      <c r="MBL71" s="16"/>
      <c r="MBM71" s="16"/>
      <c r="MBN71" s="16"/>
      <c r="MBO71" s="16"/>
      <c r="MBP71" s="16"/>
      <c r="MBQ71" s="16"/>
      <c r="MBR71" s="16"/>
      <c r="MBS71" s="16"/>
      <c r="MBT71" s="16"/>
      <c r="MBU71" s="16"/>
      <c r="MBV71" s="16"/>
      <c r="MBW71" s="16"/>
      <c r="MBX71" s="16"/>
      <c r="MBY71" s="16"/>
      <c r="MBZ71" s="16"/>
      <c r="MCA71" s="16"/>
      <c r="MCB71" s="16"/>
      <c r="MCC71" s="16"/>
      <c r="MCD71" s="16"/>
      <c r="MCE71" s="16"/>
      <c r="MCF71" s="16"/>
      <c r="MCG71" s="16"/>
      <c r="MCH71" s="16"/>
      <c r="MCI71" s="16"/>
      <c r="MCJ71" s="16"/>
      <c r="MCK71" s="16"/>
      <c r="MCL71" s="16"/>
      <c r="MCM71" s="16"/>
      <c r="MCN71" s="16"/>
      <c r="MCO71" s="16"/>
      <c r="MCP71" s="16"/>
      <c r="MCQ71" s="16"/>
      <c r="MCR71" s="16"/>
      <c r="MCS71" s="16"/>
      <c r="MCT71" s="16"/>
      <c r="MCU71" s="16"/>
      <c r="MCV71" s="16"/>
      <c r="MCW71" s="16"/>
      <c r="MCX71" s="16"/>
      <c r="MCY71" s="16"/>
      <c r="MCZ71" s="16"/>
      <c r="MDA71" s="16"/>
      <c r="MDB71" s="16"/>
      <c r="MDC71" s="16"/>
      <c r="MDD71" s="16"/>
      <c r="MDE71" s="16"/>
      <c r="MDF71" s="16"/>
      <c r="MDG71" s="16"/>
      <c r="MDH71" s="16"/>
      <c r="MDI71" s="16"/>
      <c r="MDJ71" s="16"/>
      <c r="MDK71" s="16"/>
      <c r="MDL71" s="16"/>
      <c r="MDM71" s="16"/>
      <c r="MDN71" s="16"/>
      <c r="MDO71" s="16"/>
      <c r="MDP71" s="16"/>
      <c r="MDQ71" s="16"/>
      <c r="MDR71" s="16"/>
      <c r="MDS71" s="16"/>
      <c r="MDT71" s="16"/>
      <c r="MDU71" s="16"/>
      <c r="MDV71" s="16"/>
      <c r="MDW71" s="16"/>
      <c r="MDX71" s="16"/>
      <c r="MDY71" s="16"/>
      <c r="MDZ71" s="16"/>
      <c r="MEA71" s="16"/>
      <c r="MEB71" s="16"/>
      <c r="MEC71" s="16"/>
      <c r="MED71" s="16"/>
      <c r="MEE71" s="16"/>
      <c r="MEF71" s="16"/>
      <c r="MEG71" s="16"/>
      <c r="MEH71" s="16"/>
      <c r="MEI71" s="16"/>
      <c r="MEJ71" s="16"/>
      <c r="MEK71" s="16"/>
      <c r="MEL71" s="16"/>
      <c r="MEM71" s="16"/>
      <c r="MEN71" s="16"/>
      <c r="MEO71" s="16"/>
      <c r="MEP71" s="16"/>
      <c r="MEQ71" s="16"/>
      <c r="MER71" s="16"/>
      <c r="MES71" s="16"/>
      <c r="MET71" s="16"/>
      <c r="MEU71" s="16"/>
      <c r="MEV71" s="16"/>
      <c r="MEW71" s="16"/>
      <c r="MEX71" s="16"/>
      <c r="MEY71" s="16"/>
      <c r="MEZ71" s="16"/>
      <c r="MFA71" s="16"/>
      <c r="MFB71" s="16"/>
      <c r="MFC71" s="16"/>
      <c r="MFD71" s="16"/>
      <c r="MFE71" s="16"/>
      <c r="MFF71" s="16"/>
      <c r="MFG71" s="16"/>
      <c r="MFH71" s="16"/>
      <c r="MFI71" s="16"/>
      <c r="MFJ71" s="16"/>
      <c r="MFK71" s="16"/>
      <c r="MFL71" s="16"/>
      <c r="MFM71" s="16"/>
      <c r="MFN71" s="16"/>
      <c r="MFO71" s="16"/>
      <c r="MFP71" s="16"/>
      <c r="MFQ71" s="16"/>
      <c r="MFR71" s="16"/>
      <c r="MFS71" s="16"/>
      <c r="MFT71" s="16"/>
      <c r="MFU71" s="16"/>
      <c r="MFV71" s="16"/>
      <c r="MFW71" s="16"/>
      <c r="MFX71" s="16"/>
      <c r="MFY71" s="16"/>
      <c r="MFZ71" s="16"/>
      <c r="MGA71" s="16"/>
      <c r="MGB71" s="16"/>
      <c r="MGC71" s="16"/>
      <c r="MGD71" s="16"/>
      <c r="MGE71" s="16"/>
      <c r="MGF71" s="16"/>
      <c r="MGG71" s="16"/>
      <c r="MGH71" s="16"/>
      <c r="MGI71" s="16"/>
      <c r="MGJ71" s="16"/>
      <c r="MGK71" s="16"/>
      <c r="MGL71" s="16"/>
      <c r="MGM71" s="16"/>
      <c r="MGN71" s="16"/>
      <c r="MGO71" s="16"/>
      <c r="MGP71" s="16"/>
      <c r="MGQ71" s="16"/>
      <c r="MGR71" s="16"/>
      <c r="MGS71" s="16"/>
      <c r="MGT71" s="16"/>
      <c r="MGU71" s="16"/>
      <c r="MGV71" s="16"/>
      <c r="MGW71" s="16"/>
      <c r="MGX71" s="16"/>
      <c r="MGY71" s="16"/>
      <c r="MGZ71" s="16"/>
      <c r="MHA71" s="16"/>
      <c r="MHB71" s="16"/>
      <c r="MHC71" s="16"/>
      <c r="MHD71" s="16"/>
      <c r="MHE71" s="16"/>
      <c r="MHF71" s="16"/>
      <c r="MHG71" s="16"/>
      <c r="MHH71" s="16"/>
      <c r="MHI71" s="16"/>
      <c r="MHJ71" s="16"/>
      <c r="MHK71" s="16"/>
      <c r="MHL71" s="16"/>
      <c r="MHM71" s="16"/>
      <c r="MHN71" s="16"/>
      <c r="MHO71" s="16"/>
      <c r="MHP71" s="16"/>
      <c r="MHQ71" s="16"/>
      <c r="MHR71" s="16"/>
      <c r="MHS71" s="16"/>
      <c r="MHT71" s="16"/>
      <c r="MHU71" s="16"/>
      <c r="MHV71" s="16"/>
      <c r="MHW71" s="16"/>
      <c r="MHX71" s="16"/>
      <c r="MHY71" s="16"/>
      <c r="MHZ71" s="16"/>
      <c r="MIA71" s="16"/>
      <c r="MIB71" s="16"/>
      <c r="MIC71" s="16"/>
      <c r="MID71" s="16"/>
      <c r="MIE71" s="16"/>
      <c r="MIF71" s="16"/>
      <c r="MIG71" s="16"/>
      <c r="MIH71" s="16"/>
      <c r="MII71" s="16"/>
      <c r="MIJ71" s="16"/>
      <c r="MIK71" s="16"/>
      <c r="MIL71" s="16"/>
      <c r="MIM71" s="16"/>
      <c r="MIN71" s="16"/>
      <c r="MIO71" s="16"/>
      <c r="MIP71" s="16"/>
      <c r="MIQ71" s="16"/>
      <c r="MIR71" s="16"/>
      <c r="MIS71" s="16"/>
      <c r="MIT71" s="16"/>
      <c r="MIU71" s="16"/>
      <c r="MIV71" s="16"/>
      <c r="MIW71" s="16"/>
      <c r="MIX71" s="16"/>
      <c r="MIY71" s="16"/>
      <c r="MIZ71" s="16"/>
      <c r="MJA71" s="16"/>
      <c r="MJB71" s="16"/>
      <c r="MJC71" s="16"/>
      <c r="MJD71" s="16"/>
      <c r="MJE71" s="16"/>
      <c r="MJF71" s="16"/>
      <c r="MJG71" s="16"/>
      <c r="MJH71" s="16"/>
      <c r="MJI71" s="16"/>
      <c r="MJJ71" s="16"/>
      <c r="MJK71" s="16"/>
      <c r="MJL71" s="16"/>
      <c r="MJM71" s="16"/>
      <c r="MJN71" s="16"/>
      <c r="MJO71" s="16"/>
      <c r="MJP71" s="16"/>
      <c r="MJQ71" s="16"/>
      <c r="MJR71" s="16"/>
      <c r="MJS71" s="16"/>
      <c r="MJT71" s="16"/>
      <c r="MJU71" s="16"/>
      <c r="MJV71" s="16"/>
      <c r="MJW71" s="16"/>
      <c r="MJX71" s="16"/>
      <c r="MJY71" s="16"/>
      <c r="MJZ71" s="16"/>
      <c r="MKA71" s="16"/>
      <c r="MKB71" s="16"/>
      <c r="MKC71" s="16"/>
      <c r="MKD71" s="16"/>
      <c r="MKE71" s="16"/>
      <c r="MKF71" s="16"/>
      <c r="MKG71" s="16"/>
      <c r="MKH71" s="16"/>
      <c r="MKI71" s="16"/>
      <c r="MKJ71" s="16"/>
      <c r="MKK71" s="16"/>
      <c r="MKL71" s="16"/>
      <c r="MKM71" s="16"/>
      <c r="MKN71" s="16"/>
      <c r="MKO71" s="16"/>
      <c r="MKP71" s="16"/>
      <c r="MKQ71" s="16"/>
      <c r="MKR71" s="16"/>
      <c r="MKS71" s="16"/>
      <c r="MKT71" s="16"/>
      <c r="MKU71" s="16"/>
      <c r="MKV71" s="16"/>
      <c r="MKW71" s="16"/>
      <c r="MKX71" s="16"/>
      <c r="MKY71" s="16"/>
      <c r="MKZ71" s="16"/>
      <c r="MLA71" s="16"/>
      <c r="MLB71" s="16"/>
      <c r="MLC71" s="16"/>
      <c r="MLD71" s="16"/>
      <c r="MLE71" s="16"/>
      <c r="MLF71" s="16"/>
      <c r="MLG71" s="16"/>
      <c r="MLH71" s="16"/>
      <c r="MLI71" s="16"/>
      <c r="MLJ71" s="16"/>
      <c r="MLK71" s="16"/>
      <c r="MLL71" s="16"/>
      <c r="MLM71" s="16"/>
      <c r="MLN71" s="16"/>
      <c r="MLO71" s="16"/>
      <c r="MLP71" s="16"/>
      <c r="MLQ71" s="16"/>
      <c r="MLR71" s="16"/>
      <c r="MLS71" s="16"/>
      <c r="MLT71" s="16"/>
      <c r="MLU71" s="16"/>
      <c r="MLV71" s="16"/>
      <c r="MLW71" s="16"/>
      <c r="MLX71" s="16"/>
      <c r="MLY71" s="16"/>
      <c r="MLZ71" s="16"/>
      <c r="MMA71" s="16"/>
      <c r="MMB71" s="16"/>
      <c r="MMC71" s="16"/>
      <c r="MMD71" s="16"/>
      <c r="MME71" s="16"/>
      <c r="MMF71" s="16"/>
      <c r="MMG71" s="16"/>
      <c r="MMH71" s="16"/>
      <c r="MMI71" s="16"/>
      <c r="MMJ71" s="16"/>
      <c r="MMK71" s="16"/>
      <c r="MML71" s="16"/>
      <c r="MMM71" s="16"/>
      <c r="MMN71" s="16"/>
      <c r="MMO71" s="16"/>
      <c r="MMP71" s="16"/>
      <c r="MMQ71" s="16"/>
      <c r="MMR71" s="16"/>
      <c r="MMS71" s="16"/>
      <c r="MMT71" s="16"/>
      <c r="MMU71" s="16"/>
      <c r="MMV71" s="16"/>
      <c r="MMW71" s="16"/>
      <c r="MMX71" s="16"/>
      <c r="MMY71" s="16"/>
      <c r="MMZ71" s="16"/>
      <c r="MNA71" s="16"/>
      <c r="MNB71" s="16"/>
      <c r="MNC71" s="16"/>
      <c r="MND71" s="16"/>
      <c r="MNE71" s="16"/>
      <c r="MNF71" s="16"/>
      <c r="MNG71" s="16"/>
      <c r="MNH71" s="16"/>
      <c r="MNI71" s="16"/>
      <c r="MNJ71" s="16"/>
      <c r="MNK71" s="16"/>
      <c r="MNL71" s="16"/>
      <c r="MNM71" s="16"/>
      <c r="MNN71" s="16"/>
      <c r="MNO71" s="16"/>
      <c r="MNP71" s="16"/>
      <c r="MNQ71" s="16"/>
      <c r="MNR71" s="16"/>
      <c r="MNS71" s="16"/>
      <c r="MNT71" s="16"/>
      <c r="MNU71" s="16"/>
      <c r="MNV71" s="16"/>
      <c r="MNW71" s="16"/>
      <c r="MNX71" s="16"/>
      <c r="MNY71" s="16"/>
      <c r="MNZ71" s="16"/>
      <c r="MOA71" s="16"/>
      <c r="MOB71" s="16"/>
      <c r="MOC71" s="16"/>
      <c r="MOD71" s="16"/>
      <c r="MOE71" s="16"/>
      <c r="MOF71" s="16"/>
      <c r="MOG71" s="16"/>
      <c r="MOH71" s="16"/>
      <c r="MOI71" s="16"/>
      <c r="MOJ71" s="16"/>
      <c r="MOK71" s="16"/>
      <c r="MOL71" s="16"/>
      <c r="MOM71" s="16"/>
      <c r="MON71" s="16"/>
      <c r="MOO71" s="16"/>
      <c r="MOP71" s="16"/>
      <c r="MOQ71" s="16"/>
      <c r="MOR71" s="16"/>
      <c r="MOS71" s="16"/>
      <c r="MOT71" s="16"/>
      <c r="MOU71" s="16"/>
      <c r="MOV71" s="16"/>
      <c r="MOW71" s="16"/>
      <c r="MOX71" s="16"/>
      <c r="MOY71" s="16"/>
      <c r="MOZ71" s="16"/>
      <c r="MPA71" s="16"/>
      <c r="MPB71" s="16"/>
      <c r="MPC71" s="16"/>
      <c r="MPD71" s="16"/>
      <c r="MPE71" s="16"/>
      <c r="MPF71" s="16"/>
      <c r="MPG71" s="16"/>
      <c r="MPH71" s="16"/>
      <c r="MPI71" s="16"/>
      <c r="MPJ71" s="16"/>
      <c r="MPK71" s="16"/>
      <c r="MPL71" s="16"/>
      <c r="MPM71" s="16"/>
      <c r="MPN71" s="16"/>
      <c r="MPO71" s="16"/>
      <c r="MPP71" s="16"/>
      <c r="MPQ71" s="16"/>
      <c r="MPR71" s="16"/>
      <c r="MPS71" s="16"/>
      <c r="MPT71" s="16"/>
      <c r="MPU71" s="16"/>
      <c r="MPV71" s="16"/>
      <c r="MPW71" s="16"/>
      <c r="MPX71" s="16"/>
      <c r="MPY71" s="16"/>
      <c r="MPZ71" s="16"/>
      <c r="MQA71" s="16"/>
      <c r="MQB71" s="16"/>
      <c r="MQC71" s="16"/>
      <c r="MQD71" s="16"/>
      <c r="MQE71" s="16"/>
      <c r="MQF71" s="16"/>
      <c r="MQG71" s="16"/>
      <c r="MQH71" s="16"/>
      <c r="MQI71" s="16"/>
      <c r="MQJ71" s="16"/>
      <c r="MQK71" s="16"/>
      <c r="MQL71" s="16"/>
      <c r="MQM71" s="16"/>
      <c r="MQN71" s="16"/>
      <c r="MQO71" s="16"/>
      <c r="MQP71" s="16"/>
      <c r="MQQ71" s="16"/>
      <c r="MQR71" s="16"/>
      <c r="MQS71" s="16"/>
      <c r="MQT71" s="16"/>
      <c r="MQU71" s="16"/>
      <c r="MQV71" s="16"/>
      <c r="MQW71" s="16"/>
      <c r="MQX71" s="16"/>
      <c r="MQY71" s="16"/>
      <c r="MQZ71" s="16"/>
      <c r="MRA71" s="16"/>
      <c r="MRB71" s="16"/>
      <c r="MRC71" s="16"/>
      <c r="MRD71" s="16"/>
      <c r="MRE71" s="16"/>
      <c r="MRF71" s="16"/>
      <c r="MRG71" s="16"/>
      <c r="MRH71" s="16"/>
      <c r="MRI71" s="16"/>
      <c r="MRJ71" s="16"/>
      <c r="MRK71" s="16"/>
      <c r="MRL71" s="16"/>
      <c r="MRM71" s="16"/>
      <c r="MRN71" s="16"/>
      <c r="MRO71" s="16"/>
      <c r="MRP71" s="16"/>
      <c r="MRQ71" s="16"/>
      <c r="MRR71" s="16"/>
      <c r="MRS71" s="16"/>
      <c r="MRT71" s="16"/>
      <c r="MRU71" s="16"/>
      <c r="MRV71" s="16"/>
      <c r="MRW71" s="16"/>
      <c r="MRX71" s="16"/>
      <c r="MRY71" s="16"/>
      <c r="MRZ71" s="16"/>
      <c r="MSA71" s="16"/>
      <c r="MSB71" s="16"/>
      <c r="MSC71" s="16"/>
      <c r="MSD71" s="16"/>
      <c r="MSE71" s="16"/>
      <c r="MSF71" s="16"/>
      <c r="MSG71" s="16"/>
      <c r="MSH71" s="16"/>
      <c r="MSI71" s="16"/>
      <c r="MSJ71" s="16"/>
      <c r="MSK71" s="16"/>
      <c r="MSL71" s="16"/>
      <c r="MSM71" s="16"/>
      <c r="MSN71" s="16"/>
      <c r="MSO71" s="16"/>
      <c r="MSP71" s="16"/>
      <c r="MSQ71" s="16"/>
      <c r="MSR71" s="16"/>
      <c r="MSS71" s="16"/>
      <c r="MST71" s="16"/>
      <c r="MSU71" s="16"/>
      <c r="MSV71" s="16"/>
      <c r="MSW71" s="16"/>
      <c r="MSX71" s="16"/>
      <c r="MSY71" s="16"/>
      <c r="MSZ71" s="16"/>
      <c r="MTA71" s="16"/>
      <c r="MTB71" s="16"/>
      <c r="MTC71" s="16"/>
      <c r="MTD71" s="16"/>
      <c r="MTE71" s="16"/>
      <c r="MTF71" s="16"/>
      <c r="MTG71" s="16"/>
      <c r="MTH71" s="16"/>
      <c r="MTI71" s="16"/>
      <c r="MTJ71" s="16"/>
      <c r="MTK71" s="16"/>
      <c r="MTL71" s="16"/>
      <c r="MTM71" s="16"/>
      <c r="MTN71" s="16"/>
      <c r="MTO71" s="16"/>
      <c r="MTP71" s="16"/>
      <c r="MTQ71" s="16"/>
      <c r="MTR71" s="16"/>
      <c r="MTS71" s="16"/>
      <c r="MTT71" s="16"/>
      <c r="MTU71" s="16"/>
      <c r="MTV71" s="16"/>
      <c r="MTW71" s="16"/>
      <c r="MTX71" s="16"/>
      <c r="MTY71" s="16"/>
      <c r="MTZ71" s="16"/>
      <c r="MUA71" s="16"/>
      <c r="MUB71" s="16"/>
      <c r="MUC71" s="16"/>
      <c r="MUD71" s="16"/>
      <c r="MUE71" s="16"/>
      <c r="MUF71" s="16"/>
      <c r="MUG71" s="16"/>
      <c r="MUH71" s="16"/>
      <c r="MUI71" s="16"/>
      <c r="MUJ71" s="16"/>
      <c r="MUK71" s="16"/>
      <c r="MUL71" s="16"/>
      <c r="MUM71" s="16"/>
      <c r="MUN71" s="16"/>
      <c r="MUO71" s="16"/>
      <c r="MUP71" s="16"/>
      <c r="MUQ71" s="16"/>
      <c r="MUR71" s="16"/>
      <c r="MUS71" s="16"/>
      <c r="MUT71" s="16"/>
      <c r="MUU71" s="16"/>
      <c r="MUV71" s="16"/>
      <c r="MUW71" s="16"/>
      <c r="MUX71" s="16"/>
      <c r="MUY71" s="16"/>
      <c r="MUZ71" s="16"/>
      <c r="MVA71" s="16"/>
      <c r="MVB71" s="16"/>
      <c r="MVC71" s="16"/>
      <c r="MVD71" s="16"/>
      <c r="MVE71" s="16"/>
      <c r="MVF71" s="16"/>
      <c r="MVG71" s="16"/>
      <c r="MVH71" s="16"/>
      <c r="MVI71" s="16"/>
      <c r="MVJ71" s="16"/>
      <c r="MVK71" s="16"/>
      <c r="MVL71" s="16"/>
      <c r="MVM71" s="16"/>
      <c r="MVN71" s="16"/>
      <c r="MVO71" s="16"/>
      <c r="MVP71" s="16"/>
      <c r="MVQ71" s="16"/>
      <c r="MVR71" s="16"/>
      <c r="MVS71" s="16"/>
      <c r="MVT71" s="16"/>
      <c r="MVU71" s="16"/>
      <c r="MVV71" s="16"/>
      <c r="MVW71" s="16"/>
      <c r="MVX71" s="16"/>
      <c r="MVY71" s="16"/>
      <c r="MVZ71" s="16"/>
      <c r="MWA71" s="16"/>
      <c r="MWB71" s="16"/>
      <c r="MWC71" s="16"/>
      <c r="MWD71" s="16"/>
      <c r="MWE71" s="16"/>
      <c r="MWF71" s="16"/>
      <c r="MWG71" s="16"/>
      <c r="MWH71" s="16"/>
      <c r="MWI71" s="16"/>
      <c r="MWJ71" s="16"/>
      <c r="MWK71" s="16"/>
      <c r="MWL71" s="16"/>
      <c r="MWM71" s="16"/>
      <c r="MWN71" s="16"/>
      <c r="MWO71" s="16"/>
      <c r="MWP71" s="16"/>
      <c r="MWQ71" s="16"/>
      <c r="MWR71" s="16"/>
      <c r="MWS71" s="16"/>
      <c r="MWT71" s="16"/>
      <c r="MWU71" s="16"/>
      <c r="MWV71" s="16"/>
      <c r="MWW71" s="16"/>
      <c r="MWX71" s="16"/>
      <c r="MWY71" s="16"/>
      <c r="MWZ71" s="16"/>
      <c r="MXA71" s="16"/>
      <c r="MXB71" s="16"/>
      <c r="MXC71" s="16"/>
      <c r="MXD71" s="16"/>
      <c r="MXE71" s="16"/>
      <c r="MXF71" s="16"/>
      <c r="MXG71" s="16"/>
      <c r="MXH71" s="16"/>
      <c r="MXI71" s="16"/>
      <c r="MXJ71" s="16"/>
      <c r="MXK71" s="16"/>
      <c r="MXL71" s="16"/>
      <c r="MXM71" s="16"/>
      <c r="MXN71" s="16"/>
      <c r="MXO71" s="16"/>
      <c r="MXP71" s="16"/>
      <c r="MXQ71" s="16"/>
      <c r="MXR71" s="16"/>
      <c r="MXS71" s="16"/>
      <c r="MXT71" s="16"/>
      <c r="MXU71" s="16"/>
      <c r="MXV71" s="16"/>
      <c r="MXW71" s="16"/>
      <c r="MXX71" s="16"/>
      <c r="MXY71" s="16"/>
      <c r="MXZ71" s="16"/>
      <c r="MYA71" s="16"/>
      <c r="MYB71" s="16"/>
      <c r="MYC71" s="16"/>
      <c r="MYD71" s="16"/>
      <c r="MYE71" s="16"/>
      <c r="MYF71" s="16"/>
      <c r="MYG71" s="16"/>
      <c r="MYH71" s="16"/>
      <c r="MYI71" s="16"/>
      <c r="MYJ71" s="16"/>
      <c r="MYK71" s="16"/>
      <c r="MYL71" s="16"/>
      <c r="MYM71" s="16"/>
      <c r="MYN71" s="16"/>
      <c r="MYO71" s="16"/>
      <c r="MYP71" s="16"/>
      <c r="MYQ71" s="16"/>
      <c r="MYR71" s="16"/>
      <c r="MYS71" s="16"/>
      <c r="MYT71" s="16"/>
      <c r="MYU71" s="16"/>
      <c r="MYV71" s="16"/>
      <c r="MYW71" s="16"/>
      <c r="MYX71" s="16"/>
      <c r="MYY71" s="16"/>
      <c r="MYZ71" s="16"/>
      <c r="MZA71" s="16"/>
      <c r="MZB71" s="16"/>
      <c r="MZC71" s="16"/>
      <c r="MZD71" s="16"/>
      <c r="MZE71" s="16"/>
      <c r="MZF71" s="16"/>
      <c r="MZG71" s="16"/>
      <c r="MZH71" s="16"/>
      <c r="MZI71" s="16"/>
      <c r="MZJ71" s="16"/>
      <c r="MZK71" s="16"/>
      <c r="MZL71" s="16"/>
      <c r="MZM71" s="16"/>
      <c r="MZN71" s="16"/>
      <c r="MZO71" s="16"/>
      <c r="MZP71" s="16"/>
      <c r="MZQ71" s="16"/>
      <c r="MZR71" s="16"/>
      <c r="MZS71" s="16"/>
      <c r="MZT71" s="16"/>
      <c r="MZU71" s="16"/>
      <c r="MZV71" s="16"/>
      <c r="MZW71" s="16"/>
      <c r="MZX71" s="16"/>
      <c r="MZY71" s="16"/>
      <c r="MZZ71" s="16"/>
      <c r="NAA71" s="16"/>
      <c r="NAB71" s="16"/>
      <c r="NAC71" s="16"/>
      <c r="NAD71" s="16"/>
      <c r="NAE71" s="16"/>
      <c r="NAF71" s="16"/>
      <c r="NAG71" s="16"/>
      <c r="NAH71" s="16"/>
      <c r="NAI71" s="16"/>
      <c r="NAJ71" s="16"/>
      <c r="NAK71" s="16"/>
      <c r="NAL71" s="16"/>
      <c r="NAM71" s="16"/>
      <c r="NAN71" s="16"/>
      <c r="NAO71" s="16"/>
      <c r="NAP71" s="16"/>
      <c r="NAQ71" s="16"/>
      <c r="NAR71" s="16"/>
      <c r="NAS71" s="16"/>
      <c r="NAT71" s="16"/>
      <c r="NAU71" s="16"/>
      <c r="NAV71" s="16"/>
      <c r="NAW71" s="16"/>
      <c r="NAX71" s="16"/>
      <c r="NAY71" s="16"/>
      <c r="NAZ71" s="16"/>
      <c r="NBA71" s="16"/>
      <c r="NBB71" s="16"/>
      <c r="NBC71" s="16"/>
      <c r="NBD71" s="16"/>
      <c r="NBE71" s="16"/>
      <c r="NBF71" s="16"/>
      <c r="NBG71" s="16"/>
      <c r="NBH71" s="16"/>
      <c r="NBI71" s="16"/>
      <c r="NBJ71" s="16"/>
      <c r="NBK71" s="16"/>
      <c r="NBL71" s="16"/>
      <c r="NBM71" s="16"/>
      <c r="NBN71" s="16"/>
      <c r="NBO71" s="16"/>
      <c r="NBP71" s="16"/>
      <c r="NBQ71" s="16"/>
      <c r="NBR71" s="16"/>
      <c r="NBS71" s="16"/>
      <c r="NBT71" s="16"/>
      <c r="NBU71" s="16"/>
      <c r="NBV71" s="16"/>
      <c r="NBW71" s="16"/>
      <c r="NBX71" s="16"/>
      <c r="NBY71" s="16"/>
      <c r="NBZ71" s="16"/>
      <c r="NCA71" s="16"/>
      <c r="NCB71" s="16"/>
      <c r="NCC71" s="16"/>
      <c r="NCD71" s="16"/>
      <c r="NCE71" s="16"/>
      <c r="NCF71" s="16"/>
      <c r="NCG71" s="16"/>
      <c r="NCH71" s="16"/>
      <c r="NCI71" s="16"/>
      <c r="NCJ71" s="16"/>
      <c r="NCK71" s="16"/>
      <c r="NCL71" s="16"/>
      <c r="NCM71" s="16"/>
      <c r="NCN71" s="16"/>
      <c r="NCO71" s="16"/>
      <c r="NCP71" s="16"/>
      <c r="NCQ71" s="16"/>
      <c r="NCR71" s="16"/>
      <c r="NCS71" s="16"/>
      <c r="NCT71" s="16"/>
      <c r="NCU71" s="16"/>
      <c r="NCV71" s="16"/>
      <c r="NCW71" s="16"/>
      <c r="NCX71" s="16"/>
      <c r="NCY71" s="16"/>
      <c r="NCZ71" s="16"/>
      <c r="NDA71" s="16"/>
      <c r="NDB71" s="16"/>
      <c r="NDC71" s="16"/>
      <c r="NDD71" s="16"/>
      <c r="NDE71" s="16"/>
      <c r="NDF71" s="16"/>
      <c r="NDG71" s="16"/>
      <c r="NDH71" s="16"/>
      <c r="NDI71" s="16"/>
      <c r="NDJ71" s="16"/>
      <c r="NDK71" s="16"/>
      <c r="NDL71" s="16"/>
      <c r="NDM71" s="16"/>
      <c r="NDN71" s="16"/>
      <c r="NDO71" s="16"/>
      <c r="NDP71" s="16"/>
      <c r="NDQ71" s="16"/>
      <c r="NDR71" s="16"/>
      <c r="NDS71" s="16"/>
      <c r="NDT71" s="16"/>
      <c r="NDU71" s="16"/>
      <c r="NDV71" s="16"/>
      <c r="NDW71" s="16"/>
      <c r="NDX71" s="16"/>
      <c r="NDY71" s="16"/>
      <c r="NDZ71" s="16"/>
      <c r="NEA71" s="16"/>
      <c r="NEB71" s="16"/>
      <c r="NEC71" s="16"/>
      <c r="NED71" s="16"/>
      <c r="NEE71" s="16"/>
      <c r="NEF71" s="16"/>
      <c r="NEG71" s="16"/>
      <c r="NEH71" s="16"/>
      <c r="NEI71" s="16"/>
      <c r="NEJ71" s="16"/>
      <c r="NEK71" s="16"/>
      <c r="NEL71" s="16"/>
      <c r="NEM71" s="16"/>
      <c r="NEN71" s="16"/>
      <c r="NEO71" s="16"/>
      <c r="NEP71" s="16"/>
      <c r="NEQ71" s="16"/>
      <c r="NER71" s="16"/>
      <c r="NES71" s="16"/>
      <c r="NET71" s="16"/>
      <c r="NEU71" s="16"/>
      <c r="NEV71" s="16"/>
      <c r="NEW71" s="16"/>
      <c r="NEX71" s="16"/>
      <c r="NEY71" s="16"/>
      <c r="NEZ71" s="16"/>
      <c r="NFA71" s="16"/>
      <c r="NFB71" s="16"/>
      <c r="NFC71" s="16"/>
      <c r="NFD71" s="16"/>
      <c r="NFE71" s="16"/>
      <c r="NFF71" s="16"/>
      <c r="NFG71" s="16"/>
      <c r="NFH71" s="16"/>
      <c r="NFI71" s="16"/>
      <c r="NFJ71" s="16"/>
      <c r="NFK71" s="16"/>
      <c r="NFL71" s="16"/>
      <c r="NFM71" s="16"/>
      <c r="NFN71" s="16"/>
      <c r="NFO71" s="16"/>
      <c r="NFP71" s="16"/>
      <c r="NFQ71" s="16"/>
      <c r="NFR71" s="16"/>
      <c r="NFS71" s="16"/>
      <c r="NFT71" s="16"/>
      <c r="NFU71" s="16"/>
      <c r="NFV71" s="16"/>
      <c r="NFW71" s="16"/>
      <c r="NFX71" s="16"/>
      <c r="NFY71" s="16"/>
      <c r="NFZ71" s="16"/>
      <c r="NGA71" s="16"/>
      <c r="NGB71" s="16"/>
      <c r="NGC71" s="16"/>
      <c r="NGD71" s="16"/>
      <c r="NGE71" s="16"/>
      <c r="NGF71" s="16"/>
      <c r="NGG71" s="16"/>
      <c r="NGH71" s="16"/>
      <c r="NGI71" s="16"/>
      <c r="NGJ71" s="16"/>
      <c r="NGK71" s="16"/>
      <c r="NGL71" s="16"/>
      <c r="NGM71" s="16"/>
      <c r="NGN71" s="16"/>
      <c r="NGO71" s="16"/>
      <c r="NGP71" s="16"/>
      <c r="NGQ71" s="16"/>
      <c r="NGR71" s="16"/>
      <c r="NGS71" s="16"/>
      <c r="NGT71" s="16"/>
      <c r="NGU71" s="16"/>
      <c r="NGV71" s="16"/>
      <c r="NGW71" s="16"/>
      <c r="NGX71" s="16"/>
      <c r="NGY71" s="16"/>
      <c r="NGZ71" s="16"/>
      <c r="NHA71" s="16"/>
      <c r="NHB71" s="16"/>
      <c r="NHC71" s="16"/>
      <c r="NHD71" s="16"/>
      <c r="NHE71" s="16"/>
      <c r="NHF71" s="16"/>
      <c r="NHG71" s="16"/>
      <c r="NHH71" s="16"/>
      <c r="NHI71" s="16"/>
      <c r="NHJ71" s="16"/>
      <c r="NHK71" s="16"/>
      <c r="NHL71" s="16"/>
      <c r="NHM71" s="16"/>
      <c r="NHN71" s="16"/>
      <c r="NHO71" s="16"/>
      <c r="NHP71" s="16"/>
      <c r="NHQ71" s="16"/>
      <c r="NHR71" s="16"/>
      <c r="NHS71" s="16"/>
      <c r="NHT71" s="16"/>
      <c r="NHU71" s="16"/>
      <c r="NHV71" s="16"/>
      <c r="NHW71" s="16"/>
      <c r="NHX71" s="16"/>
      <c r="NHY71" s="16"/>
      <c r="NHZ71" s="16"/>
      <c r="NIA71" s="16"/>
      <c r="NIB71" s="16"/>
      <c r="NIC71" s="16"/>
      <c r="NID71" s="16"/>
      <c r="NIE71" s="16"/>
      <c r="NIF71" s="16"/>
      <c r="NIG71" s="16"/>
      <c r="NIH71" s="16"/>
      <c r="NII71" s="16"/>
      <c r="NIJ71" s="16"/>
      <c r="NIK71" s="16"/>
      <c r="NIL71" s="16"/>
      <c r="NIM71" s="16"/>
      <c r="NIN71" s="16"/>
      <c r="NIO71" s="16"/>
      <c r="NIP71" s="16"/>
      <c r="NIQ71" s="16"/>
      <c r="NIR71" s="16"/>
      <c r="NIS71" s="16"/>
      <c r="NIT71" s="16"/>
      <c r="NIU71" s="16"/>
      <c r="NIV71" s="16"/>
      <c r="NIW71" s="16"/>
      <c r="NIX71" s="16"/>
      <c r="NIY71" s="16"/>
      <c r="NIZ71" s="16"/>
      <c r="NJA71" s="16"/>
      <c r="NJB71" s="16"/>
      <c r="NJC71" s="16"/>
      <c r="NJD71" s="16"/>
      <c r="NJE71" s="16"/>
      <c r="NJF71" s="16"/>
      <c r="NJG71" s="16"/>
      <c r="NJH71" s="16"/>
      <c r="NJI71" s="16"/>
      <c r="NJJ71" s="16"/>
      <c r="NJK71" s="16"/>
      <c r="NJL71" s="16"/>
      <c r="NJM71" s="16"/>
      <c r="NJN71" s="16"/>
      <c r="NJO71" s="16"/>
      <c r="NJP71" s="16"/>
      <c r="NJQ71" s="16"/>
      <c r="NJR71" s="16"/>
      <c r="NJS71" s="16"/>
      <c r="NJT71" s="16"/>
      <c r="NJU71" s="16"/>
      <c r="NJV71" s="16"/>
      <c r="NJW71" s="16"/>
      <c r="NJX71" s="16"/>
      <c r="NJY71" s="16"/>
      <c r="NJZ71" s="16"/>
      <c r="NKA71" s="16"/>
      <c r="NKB71" s="16"/>
      <c r="NKC71" s="16"/>
      <c r="NKD71" s="16"/>
      <c r="NKE71" s="16"/>
      <c r="NKF71" s="16"/>
      <c r="NKG71" s="16"/>
      <c r="NKH71" s="16"/>
      <c r="NKI71" s="16"/>
      <c r="NKJ71" s="16"/>
      <c r="NKK71" s="16"/>
      <c r="NKL71" s="16"/>
      <c r="NKM71" s="16"/>
      <c r="NKN71" s="16"/>
      <c r="NKO71" s="16"/>
      <c r="NKP71" s="16"/>
      <c r="NKQ71" s="16"/>
      <c r="NKR71" s="16"/>
      <c r="NKS71" s="16"/>
      <c r="NKT71" s="16"/>
      <c r="NKU71" s="16"/>
      <c r="NKV71" s="16"/>
      <c r="NKW71" s="16"/>
      <c r="NKX71" s="16"/>
      <c r="NKY71" s="16"/>
      <c r="NKZ71" s="16"/>
      <c r="NLA71" s="16"/>
      <c r="NLB71" s="16"/>
      <c r="NLC71" s="16"/>
      <c r="NLD71" s="16"/>
      <c r="NLE71" s="16"/>
      <c r="NLF71" s="16"/>
      <c r="NLG71" s="16"/>
      <c r="NLH71" s="16"/>
      <c r="NLI71" s="16"/>
      <c r="NLJ71" s="16"/>
      <c r="NLK71" s="16"/>
      <c r="NLL71" s="16"/>
      <c r="NLM71" s="16"/>
      <c r="NLN71" s="16"/>
      <c r="NLO71" s="16"/>
      <c r="NLP71" s="16"/>
      <c r="NLQ71" s="16"/>
      <c r="NLR71" s="16"/>
      <c r="NLS71" s="16"/>
      <c r="NLT71" s="16"/>
      <c r="NLU71" s="16"/>
      <c r="NLV71" s="16"/>
      <c r="NLW71" s="16"/>
      <c r="NLX71" s="16"/>
      <c r="NLY71" s="16"/>
      <c r="NLZ71" s="16"/>
      <c r="NMA71" s="16"/>
      <c r="NMB71" s="16"/>
      <c r="NMC71" s="16"/>
      <c r="NMD71" s="16"/>
      <c r="NME71" s="16"/>
      <c r="NMF71" s="16"/>
      <c r="NMG71" s="16"/>
      <c r="NMH71" s="16"/>
      <c r="NMI71" s="16"/>
      <c r="NMJ71" s="16"/>
      <c r="NMK71" s="16"/>
      <c r="NML71" s="16"/>
      <c r="NMM71" s="16"/>
      <c r="NMN71" s="16"/>
      <c r="NMO71" s="16"/>
      <c r="NMP71" s="16"/>
      <c r="NMQ71" s="16"/>
      <c r="NMR71" s="16"/>
      <c r="NMS71" s="16"/>
      <c r="NMT71" s="16"/>
      <c r="NMU71" s="16"/>
      <c r="NMV71" s="16"/>
      <c r="NMW71" s="16"/>
      <c r="NMX71" s="16"/>
      <c r="NMY71" s="16"/>
      <c r="NMZ71" s="16"/>
      <c r="NNA71" s="16"/>
      <c r="NNB71" s="16"/>
      <c r="NNC71" s="16"/>
      <c r="NND71" s="16"/>
      <c r="NNE71" s="16"/>
      <c r="NNF71" s="16"/>
      <c r="NNG71" s="16"/>
      <c r="NNH71" s="16"/>
      <c r="NNI71" s="16"/>
      <c r="NNJ71" s="16"/>
      <c r="NNK71" s="16"/>
      <c r="NNL71" s="16"/>
      <c r="NNM71" s="16"/>
      <c r="NNN71" s="16"/>
      <c r="NNO71" s="16"/>
      <c r="NNP71" s="16"/>
      <c r="NNQ71" s="16"/>
      <c r="NNR71" s="16"/>
      <c r="NNS71" s="16"/>
      <c r="NNT71" s="16"/>
      <c r="NNU71" s="16"/>
      <c r="NNV71" s="16"/>
      <c r="NNW71" s="16"/>
      <c r="NNX71" s="16"/>
      <c r="NNY71" s="16"/>
      <c r="NNZ71" s="16"/>
      <c r="NOA71" s="16"/>
      <c r="NOB71" s="16"/>
      <c r="NOC71" s="16"/>
      <c r="NOD71" s="16"/>
      <c r="NOE71" s="16"/>
      <c r="NOF71" s="16"/>
      <c r="NOG71" s="16"/>
      <c r="NOH71" s="16"/>
      <c r="NOI71" s="16"/>
      <c r="NOJ71" s="16"/>
      <c r="NOK71" s="16"/>
      <c r="NOL71" s="16"/>
      <c r="NOM71" s="16"/>
      <c r="NON71" s="16"/>
      <c r="NOO71" s="16"/>
      <c r="NOP71" s="16"/>
      <c r="NOQ71" s="16"/>
      <c r="NOR71" s="16"/>
      <c r="NOS71" s="16"/>
      <c r="NOT71" s="16"/>
      <c r="NOU71" s="16"/>
      <c r="NOV71" s="16"/>
      <c r="NOW71" s="16"/>
      <c r="NOX71" s="16"/>
      <c r="NOY71" s="16"/>
      <c r="NOZ71" s="16"/>
      <c r="NPA71" s="16"/>
      <c r="NPB71" s="16"/>
      <c r="NPC71" s="16"/>
      <c r="NPD71" s="16"/>
      <c r="NPE71" s="16"/>
      <c r="NPF71" s="16"/>
      <c r="NPG71" s="16"/>
      <c r="NPH71" s="16"/>
      <c r="NPI71" s="16"/>
      <c r="NPJ71" s="16"/>
      <c r="NPK71" s="16"/>
      <c r="NPL71" s="16"/>
      <c r="NPM71" s="16"/>
      <c r="NPN71" s="16"/>
      <c r="NPO71" s="16"/>
      <c r="NPP71" s="16"/>
      <c r="NPQ71" s="16"/>
      <c r="NPR71" s="16"/>
      <c r="NPS71" s="16"/>
      <c r="NPT71" s="16"/>
      <c r="NPU71" s="16"/>
      <c r="NPV71" s="16"/>
      <c r="NPW71" s="16"/>
      <c r="NPX71" s="16"/>
      <c r="NPY71" s="16"/>
      <c r="NPZ71" s="16"/>
      <c r="NQA71" s="16"/>
      <c r="NQB71" s="16"/>
      <c r="NQC71" s="16"/>
      <c r="NQD71" s="16"/>
      <c r="NQE71" s="16"/>
      <c r="NQF71" s="16"/>
      <c r="NQG71" s="16"/>
      <c r="NQH71" s="16"/>
      <c r="NQI71" s="16"/>
      <c r="NQJ71" s="16"/>
      <c r="NQK71" s="16"/>
      <c r="NQL71" s="16"/>
      <c r="NQM71" s="16"/>
      <c r="NQN71" s="16"/>
      <c r="NQO71" s="16"/>
      <c r="NQP71" s="16"/>
      <c r="NQQ71" s="16"/>
      <c r="NQR71" s="16"/>
      <c r="NQS71" s="16"/>
      <c r="NQT71" s="16"/>
      <c r="NQU71" s="16"/>
      <c r="NQV71" s="16"/>
      <c r="NQW71" s="16"/>
      <c r="NQX71" s="16"/>
      <c r="NQY71" s="16"/>
      <c r="NQZ71" s="16"/>
      <c r="NRA71" s="16"/>
      <c r="NRB71" s="16"/>
      <c r="NRC71" s="16"/>
      <c r="NRD71" s="16"/>
      <c r="NRE71" s="16"/>
      <c r="NRF71" s="16"/>
      <c r="NRG71" s="16"/>
      <c r="NRH71" s="16"/>
      <c r="NRI71" s="16"/>
      <c r="NRJ71" s="16"/>
      <c r="NRK71" s="16"/>
      <c r="NRL71" s="16"/>
      <c r="NRM71" s="16"/>
      <c r="NRN71" s="16"/>
      <c r="NRO71" s="16"/>
      <c r="NRP71" s="16"/>
      <c r="NRQ71" s="16"/>
      <c r="NRR71" s="16"/>
      <c r="NRS71" s="16"/>
      <c r="NRT71" s="16"/>
      <c r="NRU71" s="16"/>
      <c r="NRV71" s="16"/>
      <c r="NRW71" s="16"/>
      <c r="NRX71" s="16"/>
      <c r="NRY71" s="16"/>
      <c r="NRZ71" s="16"/>
      <c r="NSA71" s="16"/>
      <c r="NSB71" s="16"/>
      <c r="NSC71" s="16"/>
      <c r="NSD71" s="16"/>
      <c r="NSE71" s="16"/>
      <c r="NSF71" s="16"/>
      <c r="NSG71" s="16"/>
      <c r="NSH71" s="16"/>
      <c r="NSI71" s="16"/>
      <c r="NSJ71" s="16"/>
      <c r="NSK71" s="16"/>
      <c r="NSL71" s="16"/>
      <c r="NSM71" s="16"/>
      <c r="NSN71" s="16"/>
      <c r="NSO71" s="16"/>
      <c r="NSP71" s="16"/>
      <c r="NSQ71" s="16"/>
      <c r="NSR71" s="16"/>
      <c r="NSS71" s="16"/>
      <c r="NST71" s="16"/>
      <c r="NSU71" s="16"/>
      <c r="NSV71" s="16"/>
      <c r="NSW71" s="16"/>
      <c r="NSX71" s="16"/>
      <c r="NSY71" s="16"/>
      <c r="NSZ71" s="16"/>
      <c r="NTA71" s="16"/>
      <c r="NTB71" s="16"/>
      <c r="NTC71" s="16"/>
      <c r="NTD71" s="16"/>
      <c r="NTE71" s="16"/>
      <c r="NTF71" s="16"/>
      <c r="NTG71" s="16"/>
      <c r="NTH71" s="16"/>
      <c r="NTI71" s="16"/>
      <c r="NTJ71" s="16"/>
      <c r="NTK71" s="16"/>
      <c r="NTL71" s="16"/>
      <c r="NTM71" s="16"/>
      <c r="NTN71" s="16"/>
      <c r="NTO71" s="16"/>
      <c r="NTP71" s="16"/>
      <c r="NTQ71" s="16"/>
      <c r="NTR71" s="16"/>
      <c r="NTS71" s="16"/>
      <c r="NTT71" s="16"/>
      <c r="NTU71" s="16"/>
      <c r="NTV71" s="16"/>
      <c r="NTW71" s="16"/>
      <c r="NTX71" s="16"/>
      <c r="NTY71" s="16"/>
      <c r="NTZ71" s="16"/>
      <c r="NUA71" s="16"/>
      <c r="NUB71" s="16"/>
      <c r="NUC71" s="16"/>
      <c r="NUD71" s="16"/>
      <c r="NUE71" s="16"/>
      <c r="NUF71" s="16"/>
      <c r="NUG71" s="16"/>
      <c r="NUH71" s="16"/>
      <c r="NUI71" s="16"/>
      <c r="NUJ71" s="16"/>
      <c r="NUK71" s="16"/>
      <c r="NUL71" s="16"/>
      <c r="NUM71" s="16"/>
      <c r="NUN71" s="16"/>
      <c r="NUO71" s="16"/>
      <c r="NUP71" s="16"/>
      <c r="NUQ71" s="16"/>
      <c r="NUR71" s="16"/>
      <c r="NUS71" s="16"/>
      <c r="NUT71" s="16"/>
      <c r="NUU71" s="16"/>
      <c r="NUV71" s="16"/>
      <c r="NUW71" s="16"/>
      <c r="NUX71" s="16"/>
      <c r="NUY71" s="16"/>
      <c r="NUZ71" s="16"/>
      <c r="NVA71" s="16"/>
      <c r="NVB71" s="16"/>
      <c r="NVC71" s="16"/>
      <c r="NVD71" s="16"/>
      <c r="NVE71" s="16"/>
      <c r="NVF71" s="16"/>
      <c r="NVG71" s="16"/>
      <c r="NVH71" s="16"/>
      <c r="NVI71" s="16"/>
      <c r="NVJ71" s="16"/>
      <c r="NVK71" s="16"/>
      <c r="NVL71" s="16"/>
      <c r="NVM71" s="16"/>
      <c r="NVN71" s="16"/>
      <c r="NVO71" s="16"/>
      <c r="NVP71" s="16"/>
      <c r="NVQ71" s="16"/>
      <c r="NVR71" s="16"/>
      <c r="NVS71" s="16"/>
      <c r="NVT71" s="16"/>
      <c r="NVU71" s="16"/>
      <c r="NVV71" s="16"/>
      <c r="NVW71" s="16"/>
      <c r="NVX71" s="16"/>
      <c r="NVY71" s="16"/>
      <c r="NVZ71" s="16"/>
      <c r="NWA71" s="16"/>
      <c r="NWB71" s="16"/>
      <c r="NWC71" s="16"/>
      <c r="NWD71" s="16"/>
      <c r="NWE71" s="16"/>
      <c r="NWF71" s="16"/>
      <c r="NWG71" s="16"/>
      <c r="NWH71" s="16"/>
      <c r="NWI71" s="16"/>
      <c r="NWJ71" s="16"/>
      <c r="NWK71" s="16"/>
      <c r="NWL71" s="16"/>
      <c r="NWM71" s="16"/>
      <c r="NWN71" s="16"/>
      <c r="NWO71" s="16"/>
      <c r="NWP71" s="16"/>
      <c r="NWQ71" s="16"/>
      <c r="NWR71" s="16"/>
      <c r="NWS71" s="16"/>
      <c r="NWT71" s="16"/>
      <c r="NWU71" s="16"/>
      <c r="NWV71" s="16"/>
      <c r="NWW71" s="16"/>
      <c r="NWX71" s="16"/>
      <c r="NWY71" s="16"/>
      <c r="NWZ71" s="16"/>
      <c r="NXA71" s="16"/>
      <c r="NXB71" s="16"/>
      <c r="NXC71" s="16"/>
      <c r="NXD71" s="16"/>
      <c r="NXE71" s="16"/>
      <c r="NXF71" s="16"/>
      <c r="NXG71" s="16"/>
      <c r="NXH71" s="16"/>
      <c r="NXI71" s="16"/>
      <c r="NXJ71" s="16"/>
      <c r="NXK71" s="16"/>
      <c r="NXL71" s="16"/>
      <c r="NXM71" s="16"/>
      <c r="NXN71" s="16"/>
      <c r="NXO71" s="16"/>
      <c r="NXP71" s="16"/>
      <c r="NXQ71" s="16"/>
      <c r="NXR71" s="16"/>
      <c r="NXS71" s="16"/>
      <c r="NXT71" s="16"/>
      <c r="NXU71" s="16"/>
      <c r="NXV71" s="16"/>
      <c r="NXW71" s="16"/>
      <c r="NXX71" s="16"/>
      <c r="NXY71" s="16"/>
      <c r="NXZ71" s="16"/>
      <c r="NYA71" s="16"/>
      <c r="NYB71" s="16"/>
      <c r="NYC71" s="16"/>
      <c r="NYD71" s="16"/>
      <c r="NYE71" s="16"/>
      <c r="NYF71" s="16"/>
      <c r="NYG71" s="16"/>
      <c r="NYH71" s="16"/>
      <c r="NYI71" s="16"/>
      <c r="NYJ71" s="16"/>
      <c r="NYK71" s="16"/>
      <c r="NYL71" s="16"/>
      <c r="NYM71" s="16"/>
      <c r="NYN71" s="16"/>
      <c r="NYO71" s="16"/>
      <c r="NYP71" s="16"/>
      <c r="NYQ71" s="16"/>
      <c r="NYR71" s="16"/>
      <c r="NYS71" s="16"/>
      <c r="NYT71" s="16"/>
      <c r="NYU71" s="16"/>
      <c r="NYV71" s="16"/>
      <c r="NYW71" s="16"/>
      <c r="NYX71" s="16"/>
      <c r="NYY71" s="16"/>
      <c r="NYZ71" s="16"/>
      <c r="NZA71" s="16"/>
      <c r="NZB71" s="16"/>
      <c r="NZC71" s="16"/>
      <c r="NZD71" s="16"/>
      <c r="NZE71" s="16"/>
      <c r="NZF71" s="16"/>
      <c r="NZG71" s="16"/>
      <c r="NZH71" s="16"/>
      <c r="NZI71" s="16"/>
      <c r="NZJ71" s="16"/>
      <c r="NZK71" s="16"/>
      <c r="NZL71" s="16"/>
      <c r="NZM71" s="16"/>
      <c r="NZN71" s="16"/>
      <c r="NZO71" s="16"/>
      <c r="NZP71" s="16"/>
      <c r="NZQ71" s="16"/>
      <c r="NZR71" s="16"/>
      <c r="NZS71" s="16"/>
      <c r="NZT71" s="16"/>
      <c r="NZU71" s="16"/>
      <c r="NZV71" s="16"/>
      <c r="NZW71" s="16"/>
      <c r="NZX71" s="16"/>
      <c r="NZY71" s="16"/>
      <c r="NZZ71" s="16"/>
      <c r="OAA71" s="16"/>
      <c r="OAB71" s="16"/>
      <c r="OAC71" s="16"/>
      <c r="OAD71" s="16"/>
      <c r="OAE71" s="16"/>
      <c r="OAF71" s="16"/>
      <c r="OAG71" s="16"/>
      <c r="OAH71" s="16"/>
      <c r="OAI71" s="16"/>
      <c r="OAJ71" s="16"/>
      <c r="OAK71" s="16"/>
      <c r="OAL71" s="16"/>
      <c r="OAM71" s="16"/>
      <c r="OAN71" s="16"/>
      <c r="OAO71" s="16"/>
      <c r="OAP71" s="16"/>
      <c r="OAQ71" s="16"/>
      <c r="OAR71" s="16"/>
      <c r="OAS71" s="16"/>
      <c r="OAT71" s="16"/>
      <c r="OAU71" s="16"/>
      <c r="OAV71" s="16"/>
      <c r="OAW71" s="16"/>
      <c r="OAX71" s="16"/>
      <c r="OAY71" s="16"/>
      <c r="OAZ71" s="16"/>
      <c r="OBA71" s="16"/>
      <c r="OBB71" s="16"/>
      <c r="OBC71" s="16"/>
      <c r="OBD71" s="16"/>
      <c r="OBE71" s="16"/>
      <c r="OBF71" s="16"/>
      <c r="OBG71" s="16"/>
      <c r="OBH71" s="16"/>
      <c r="OBI71" s="16"/>
      <c r="OBJ71" s="16"/>
      <c r="OBK71" s="16"/>
      <c r="OBL71" s="16"/>
      <c r="OBM71" s="16"/>
      <c r="OBN71" s="16"/>
      <c r="OBO71" s="16"/>
      <c r="OBP71" s="16"/>
      <c r="OBQ71" s="16"/>
      <c r="OBR71" s="16"/>
      <c r="OBS71" s="16"/>
      <c r="OBT71" s="16"/>
      <c r="OBU71" s="16"/>
      <c r="OBV71" s="16"/>
      <c r="OBW71" s="16"/>
      <c r="OBX71" s="16"/>
      <c r="OBY71" s="16"/>
      <c r="OBZ71" s="16"/>
      <c r="OCA71" s="16"/>
      <c r="OCB71" s="16"/>
      <c r="OCC71" s="16"/>
      <c r="OCD71" s="16"/>
      <c r="OCE71" s="16"/>
      <c r="OCF71" s="16"/>
      <c r="OCG71" s="16"/>
      <c r="OCH71" s="16"/>
      <c r="OCI71" s="16"/>
      <c r="OCJ71" s="16"/>
      <c r="OCK71" s="16"/>
      <c r="OCL71" s="16"/>
      <c r="OCM71" s="16"/>
      <c r="OCN71" s="16"/>
      <c r="OCO71" s="16"/>
      <c r="OCP71" s="16"/>
      <c r="OCQ71" s="16"/>
      <c r="OCR71" s="16"/>
      <c r="OCS71" s="16"/>
      <c r="OCT71" s="16"/>
      <c r="OCU71" s="16"/>
      <c r="OCV71" s="16"/>
      <c r="OCW71" s="16"/>
      <c r="OCX71" s="16"/>
      <c r="OCY71" s="16"/>
      <c r="OCZ71" s="16"/>
      <c r="ODA71" s="16"/>
      <c r="ODB71" s="16"/>
      <c r="ODC71" s="16"/>
      <c r="ODD71" s="16"/>
      <c r="ODE71" s="16"/>
      <c r="ODF71" s="16"/>
      <c r="ODG71" s="16"/>
      <c r="ODH71" s="16"/>
      <c r="ODI71" s="16"/>
      <c r="ODJ71" s="16"/>
      <c r="ODK71" s="16"/>
      <c r="ODL71" s="16"/>
      <c r="ODM71" s="16"/>
      <c r="ODN71" s="16"/>
      <c r="ODO71" s="16"/>
      <c r="ODP71" s="16"/>
      <c r="ODQ71" s="16"/>
      <c r="ODR71" s="16"/>
      <c r="ODS71" s="16"/>
      <c r="ODT71" s="16"/>
      <c r="ODU71" s="16"/>
      <c r="ODV71" s="16"/>
      <c r="ODW71" s="16"/>
      <c r="ODX71" s="16"/>
      <c r="ODY71" s="16"/>
      <c r="ODZ71" s="16"/>
      <c r="OEA71" s="16"/>
      <c r="OEB71" s="16"/>
      <c r="OEC71" s="16"/>
      <c r="OED71" s="16"/>
      <c r="OEE71" s="16"/>
      <c r="OEF71" s="16"/>
      <c r="OEG71" s="16"/>
      <c r="OEH71" s="16"/>
      <c r="OEI71" s="16"/>
      <c r="OEJ71" s="16"/>
      <c r="OEK71" s="16"/>
      <c r="OEL71" s="16"/>
      <c r="OEM71" s="16"/>
      <c r="OEN71" s="16"/>
      <c r="OEO71" s="16"/>
      <c r="OEP71" s="16"/>
      <c r="OEQ71" s="16"/>
      <c r="OER71" s="16"/>
      <c r="OES71" s="16"/>
      <c r="OET71" s="16"/>
      <c r="OEU71" s="16"/>
      <c r="OEV71" s="16"/>
      <c r="OEW71" s="16"/>
      <c r="OEX71" s="16"/>
      <c r="OEY71" s="16"/>
      <c r="OEZ71" s="16"/>
      <c r="OFA71" s="16"/>
      <c r="OFB71" s="16"/>
      <c r="OFC71" s="16"/>
      <c r="OFD71" s="16"/>
      <c r="OFE71" s="16"/>
      <c r="OFF71" s="16"/>
      <c r="OFG71" s="16"/>
      <c r="OFH71" s="16"/>
      <c r="OFI71" s="16"/>
      <c r="OFJ71" s="16"/>
      <c r="OFK71" s="16"/>
      <c r="OFL71" s="16"/>
      <c r="OFM71" s="16"/>
      <c r="OFN71" s="16"/>
      <c r="OFO71" s="16"/>
      <c r="OFP71" s="16"/>
      <c r="OFQ71" s="16"/>
      <c r="OFR71" s="16"/>
      <c r="OFS71" s="16"/>
      <c r="OFT71" s="16"/>
      <c r="OFU71" s="16"/>
      <c r="OFV71" s="16"/>
      <c r="OFW71" s="16"/>
      <c r="OFX71" s="16"/>
      <c r="OFY71" s="16"/>
      <c r="OFZ71" s="16"/>
      <c r="OGA71" s="16"/>
      <c r="OGB71" s="16"/>
      <c r="OGC71" s="16"/>
      <c r="OGD71" s="16"/>
      <c r="OGE71" s="16"/>
      <c r="OGF71" s="16"/>
      <c r="OGG71" s="16"/>
      <c r="OGH71" s="16"/>
      <c r="OGI71" s="16"/>
      <c r="OGJ71" s="16"/>
      <c r="OGK71" s="16"/>
      <c r="OGL71" s="16"/>
      <c r="OGM71" s="16"/>
      <c r="OGN71" s="16"/>
      <c r="OGO71" s="16"/>
      <c r="OGP71" s="16"/>
      <c r="OGQ71" s="16"/>
      <c r="OGR71" s="16"/>
      <c r="OGS71" s="16"/>
      <c r="OGT71" s="16"/>
      <c r="OGU71" s="16"/>
      <c r="OGV71" s="16"/>
      <c r="OGW71" s="16"/>
      <c r="OGX71" s="16"/>
      <c r="OGY71" s="16"/>
      <c r="OGZ71" s="16"/>
      <c r="OHA71" s="16"/>
      <c r="OHB71" s="16"/>
      <c r="OHC71" s="16"/>
      <c r="OHD71" s="16"/>
      <c r="OHE71" s="16"/>
      <c r="OHF71" s="16"/>
      <c r="OHG71" s="16"/>
      <c r="OHH71" s="16"/>
      <c r="OHI71" s="16"/>
      <c r="OHJ71" s="16"/>
      <c r="OHK71" s="16"/>
      <c r="OHL71" s="16"/>
      <c r="OHM71" s="16"/>
      <c r="OHN71" s="16"/>
      <c r="OHO71" s="16"/>
      <c r="OHP71" s="16"/>
      <c r="OHQ71" s="16"/>
      <c r="OHR71" s="16"/>
      <c r="OHS71" s="16"/>
      <c r="OHT71" s="16"/>
      <c r="OHU71" s="16"/>
      <c r="OHV71" s="16"/>
      <c r="OHW71" s="16"/>
      <c r="OHX71" s="16"/>
      <c r="OHY71" s="16"/>
      <c r="OHZ71" s="16"/>
      <c r="OIA71" s="16"/>
      <c r="OIB71" s="16"/>
      <c r="OIC71" s="16"/>
      <c r="OID71" s="16"/>
      <c r="OIE71" s="16"/>
      <c r="OIF71" s="16"/>
      <c r="OIG71" s="16"/>
      <c r="OIH71" s="16"/>
      <c r="OII71" s="16"/>
      <c r="OIJ71" s="16"/>
      <c r="OIK71" s="16"/>
      <c r="OIL71" s="16"/>
      <c r="OIM71" s="16"/>
      <c r="OIN71" s="16"/>
      <c r="OIO71" s="16"/>
      <c r="OIP71" s="16"/>
      <c r="OIQ71" s="16"/>
      <c r="OIR71" s="16"/>
      <c r="OIS71" s="16"/>
      <c r="OIT71" s="16"/>
      <c r="OIU71" s="16"/>
      <c r="OIV71" s="16"/>
      <c r="OIW71" s="16"/>
      <c r="OIX71" s="16"/>
      <c r="OIY71" s="16"/>
      <c r="OIZ71" s="16"/>
      <c r="OJA71" s="16"/>
      <c r="OJB71" s="16"/>
      <c r="OJC71" s="16"/>
      <c r="OJD71" s="16"/>
      <c r="OJE71" s="16"/>
      <c r="OJF71" s="16"/>
      <c r="OJG71" s="16"/>
      <c r="OJH71" s="16"/>
      <c r="OJI71" s="16"/>
      <c r="OJJ71" s="16"/>
      <c r="OJK71" s="16"/>
      <c r="OJL71" s="16"/>
      <c r="OJM71" s="16"/>
      <c r="OJN71" s="16"/>
      <c r="OJO71" s="16"/>
      <c r="OJP71" s="16"/>
      <c r="OJQ71" s="16"/>
      <c r="OJR71" s="16"/>
      <c r="OJS71" s="16"/>
      <c r="OJT71" s="16"/>
      <c r="OJU71" s="16"/>
      <c r="OJV71" s="16"/>
      <c r="OJW71" s="16"/>
      <c r="OJX71" s="16"/>
      <c r="OJY71" s="16"/>
      <c r="OJZ71" s="16"/>
      <c r="OKA71" s="16"/>
      <c r="OKB71" s="16"/>
      <c r="OKC71" s="16"/>
      <c r="OKD71" s="16"/>
      <c r="OKE71" s="16"/>
      <c r="OKF71" s="16"/>
      <c r="OKG71" s="16"/>
      <c r="OKH71" s="16"/>
      <c r="OKI71" s="16"/>
      <c r="OKJ71" s="16"/>
      <c r="OKK71" s="16"/>
      <c r="OKL71" s="16"/>
      <c r="OKM71" s="16"/>
      <c r="OKN71" s="16"/>
      <c r="OKO71" s="16"/>
      <c r="OKP71" s="16"/>
      <c r="OKQ71" s="16"/>
      <c r="OKR71" s="16"/>
      <c r="OKS71" s="16"/>
      <c r="OKT71" s="16"/>
      <c r="OKU71" s="16"/>
      <c r="OKV71" s="16"/>
      <c r="OKW71" s="16"/>
      <c r="OKX71" s="16"/>
      <c r="OKY71" s="16"/>
      <c r="OKZ71" s="16"/>
      <c r="OLA71" s="16"/>
      <c r="OLB71" s="16"/>
      <c r="OLC71" s="16"/>
      <c r="OLD71" s="16"/>
      <c r="OLE71" s="16"/>
      <c r="OLF71" s="16"/>
      <c r="OLG71" s="16"/>
      <c r="OLH71" s="16"/>
      <c r="OLI71" s="16"/>
      <c r="OLJ71" s="16"/>
      <c r="OLK71" s="16"/>
      <c r="OLL71" s="16"/>
      <c r="OLM71" s="16"/>
      <c r="OLN71" s="16"/>
      <c r="OLO71" s="16"/>
      <c r="OLP71" s="16"/>
      <c r="OLQ71" s="16"/>
      <c r="OLR71" s="16"/>
      <c r="OLS71" s="16"/>
      <c r="OLT71" s="16"/>
      <c r="OLU71" s="16"/>
      <c r="OLV71" s="16"/>
      <c r="OLW71" s="16"/>
      <c r="OLX71" s="16"/>
      <c r="OLY71" s="16"/>
      <c r="OLZ71" s="16"/>
      <c r="OMA71" s="16"/>
      <c r="OMB71" s="16"/>
      <c r="OMC71" s="16"/>
      <c r="OMD71" s="16"/>
      <c r="OME71" s="16"/>
      <c r="OMF71" s="16"/>
      <c r="OMG71" s="16"/>
      <c r="OMH71" s="16"/>
      <c r="OMI71" s="16"/>
      <c r="OMJ71" s="16"/>
      <c r="OMK71" s="16"/>
      <c r="OML71" s="16"/>
      <c r="OMM71" s="16"/>
      <c r="OMN71" s="16"/>
      <c r="OMO71" s="16"/>
      <c r="OMP71" s="16"/>
      <c r="OMQ71" s="16"/>
      <c r="OMR71" s="16"/>
      <c r="OMS71" s="16"/>
      <c r="OMT71" s="16"/>
      <c r="OMU71" s="16"/>
      <c r="OMV71" s="16"/>
      <c r="OMW71" s="16"/>
      <c r="OMX71" s="16"/>
      <c r="OMY71" s="16"/>
      <c r="OMZ71" s="16"/>
      <c r="ONA71" s="16"/>
      <c r="ONB71" s="16"/>
      <c r="ONC71" s="16"/>
      <c r="OND71" s="16"/>
      <c r="ONE71" s="16"/>
      <c r="ONF71" s="16"/>
      <c r="ONG71" s="16"/>
      <c r="ONH71" s="16"/>
      <c r="ONI71" s="16"/>
      <c r="ONJ71" s="16"/>
      <c r="ONK71" s="16"/>
      <c r="ONL71" s="16"/>
      <c r="ONM71" s="16"/>
      <c r="ONN71" s="16"/>
      <c r="ONO71" s="16"/>
      <c r="ONP71" s="16"/>
      <c r="ONQ71" s="16"/>
      <c r="ONR71" s="16"/>
      <c r="ONS71" s="16"/>
      <c r="ONT71" s="16"/>
      <c r="ONU71" s="16"/>
      <c r="ONV71" s="16"/>
      <c r="ONW71" s="16"/>
      <c r="ONX71" s="16"/>
      <c r="ONY71" s="16"/>
      <c r="ONZ71" s="16"/>
      <c r="OOA71" s="16"/>
      <c r="OOB71" s="16"/>
      <c r="OOC71" s="16"/>
      <c r="OOD71" s="16"/>
      <c r="OOE71" s="16"/>
      <c r="OOF71" s="16"/>
      <c r="OOG71" s="16"/>
      <c r="OOH71" s="16"/>
      <c r="OOI71" s="16"/>
      <c r="OOJ71" s="16"/>
      <c r="OOK71" s="16"/>
      <c r="OOL71" s="16"/>
      <c r="OOM71" s="16"/>
      <c r="OON71" s="16"/>
      <c r="OOO71" s="16"/>
      <c r="OOP71" s="16"/>
      <c r="OOQ71" s="16"/>
      <c r="OOR71" s="16"/>
      <c r="OOS71" s="16"/>
      <c r="OOT71" s="16"/>
      <c r="OOU71" s="16"/>
      <c r="OOV71" s="16"/>
      <c r="OOW71" s="16"/>
      <c r="OOX71" s="16"/>
      <c r="OOY71" s="16"/>
      <c r="OOZ71" s="16"/>
      <c r="OPA71" s="16"/>
      <c r="OPB71" s="16"/>
      <c r="OPC71" s="16"/>
      <c r="OPD71" s="16"/>
      <c r="OPE71" s="16"/>
      <c r="OPF71" s="16"/>
      <c r="OPG71" s="16"/>
      <c r="OPH71" s="16"/>
      <c r="OPI71" s="16"/>
      <c r="OPJ71" s="16"/>
      <c r="OPK71" s="16"/>
      <c r="OPL71" s="16"/>
      <c r="OPM71" s="16"/>
      <c r="OPN71" s="16"/>
      <c r="OPO71" s="16"/>
      <c r="OPP71" s="16"/>
      <c r="OPQ71" s="16"/>
      <c r="OPR71" s="16"/>
      <c r="OPS71" s="16"/>
      <c r="OPT71" s="16"/>
      <c r="OPU71" s="16"/>
      <c r="OPV71" s="16"/>
      <c r="OPW71" s="16"/>
      <c r="OPX71" s="16"/>
      <c r="OPY71" s="16"/>
      <c r="OPZ71" s="16"/>
      <c r="OQA71" s="16"/>
      <c r="OQB71" s="16"/>
      <c r="OQC71" s="16"/>
      <c r="OQD71" s="16"/>
      <c r="OQE71" s="16"/>
      <c r="OQF71" s="16"/>
      <c r="OQG71" s="16"/>
      <c r="OQH71" s="16"/>
      <c r="OQI71" s="16"/>
      <c r="OQJ71" s="16"/>
      <c r="OQK71" s="16"/>
      <c r="OQL71" s="16"/>
      <c r="OQM71" s="16"/>
      <c r="OQN71" s="16"/>
      <c r="OQO71" s="16"/>
      <c r="OQP71" s="16"/>
      <c r="OQQ71" s="16"/>
      <c r="OQR71" s="16"/>
      <c r="OQS71" s="16"/>
      <c r="OQT71" s="16"/>
      <c r="OQU71" s="16"/>
      <c r="OQV71" s="16"/>
      <c r="OQW71" s="16"/>
      <c r="OQX71" s="16"/>
      <c r="OQY71" s="16"/>
      <c r="OQZ71" s="16"/>
      <c r="ORA71" s="16"/>
      <c r="ORB71" s="16"/>
      <c r="ORC71" s="16"/>
      <c r="ORD71" s="16"/>
      <c r="ORE71" s="16"/>
      <c r="ORF71" s="16"/>
      <c r="ORG71" s="16"/>
      <c r="ORH71" s="16"/>
      <c r="ORI71" s="16"/>
      <c r="ORJ71" s="16"/>
      <c r="ORK71" s="16"/>
      <c r="ORL71" s="16"/>
      <c r="ORM71" s="16"/>
      <c r="ORN71" s="16"/>
      <c r="ORO71" s="16"/>
      <c r="ORP71" s="16"/>
      <c r="ORQ71" s="16"/>
      <c r="ORR71" s="16"/>
      <c r="ORS71" s="16"/>
      <c r="ORT71" s="16"/>
      <c r="ORU71" s="16"/>
      <c r="ORV71" s="16"/>
      <c r="ORW71" s="16"/>
      <c r="ORX71" s="16"/>
      <c r="ORY71" s="16"/>
      <c r="ORZ71" s="16"/>
      <c r="OSA71" s="16"/>
      <c r="OSB71" s="16"/>
      <c r="OSC71" s="16"/>
      <c r="OSD71" s="16"/>
      <c r="OSE71" s="16"/>
      <c r="OSF71" s="16"/>
      <c r="OSG71" s="16"/>
      <c r="OSH71" s="16"/>
      <c r="OSI71" s="16"/>
      <c r="OSJ71" s="16"/>
      <c r="OSK71" s="16"/>
      <c r="OSL71" s="16"/>
      <c r="OSM71" s="16"/>
      <c r="OSN71" s="16"/>
      <c r="OSO71" s="16"/>
      <c r="OSP71" s="16"/>
      <c r="OSQ71" s="16"/>
      <c r="OSR71" s="16"/>
      <c r="OSS71" s="16"/>
      <c r="OST71" s="16"/>
      <c r="OSU71" s="16"/>
      <c r="OSV71" s="16"/>
      <c r="OSW71" s="16"/>
      <c r="OSX71" s="16"/>
      <c r="OSY71" s="16"/>
      <c r="OSZ71" s="16"/>
      <c r="OTA71" s="16"/>
      <c r="OTB71" s="16"/>
      <c r="OTC71" s="16"/>
      <c r="OTD71" s="16"/>
      <c r="OTE71" s="16"/>
      <c r="OTF71" s="16"/>
      <c r="OTG71" s="16"/>
      <c r="OTH71" s="16"/>
      <c r="OTI71" s="16"/>
      <c r="OTJ71" s="16"/>
      <c r="OTK71" s="16"/>
      <c r="OTL71" s="16"/>
      <c r="OTM71" s="16"/>
      <c r="OTN71" s="16"/>
      <c r="OTO71" s="16"/>
      <c r="OTP71" s="16"/>
      <c r="OTQ71" s="16"/>
      <c r="OTR71" s="16"/>
      <c r="OTS71" s="16"/>
      <c r="OTT71" s="16"/>
      <c r="OTU71" s="16"/>
      <c r="OTV71" s="16"/>
      <c r="OTW71" s="16"/>
      <c r="OTX71" s="16"/>
      <c r="OTY71" s="16"/>
      <c r="OTZ71" s="16"/>
      <c r="OUA71" s="16"/>
      <c r="OUB71" s="16"/>
      <c r="OUC71" s="16"/>
      <c r="OUD71" s="16"/>
      <c r="OUE71" s="16"/>
      <c r="OUF71" s="16"/>
      <c r="OUG71" s="16"/>
      <c r="OUH71" s="16"/>
      <c r="OUI71" s="16"/>
      <c r="OUJ71" s="16"/>
      <c r="OUK71" s="16"/>
      <c r="OUL71" s="16"/>
      <c r="OUM71" s="16"/>
      <c r="OUN71" s="16"/>
      <c r="OUO71" s="16"/>
      <c r="OUP71" s="16"/>
      <c r="OUQ71" s="16"/>
      <c r="OUR71" s="16"/>
      <c r="OUS71" s="16"/>
      <c r="OUT71" s="16"/>
      <c r="OUU71" s="16"/>
      <c r="OUV71" s="16"/>
      <c r="OUW71" s="16"/>
      <c r="OUX71" s="16"/>
      <c r="OUY71" s="16"/>
      <c r="OUZ71" s="16"/>
      <c r="OVA71" s="16"/>
      <c r="OVB71" s="16"/>
      <c r="OVC71" s="16"/>
      <c r="OVD71" s="16"/>
      <c r="OVE71" s="16"/>
      <c r="OVF71" s="16"/>
      <c r="OVG71" s="16"/>
      <c r="OVH71" s="16"/>
      <c r="OVI71" s="16"/>
      <c r="OVJ71" s="16"/>
      <c r="OVK71" s="16"/>
      <c r="OVL71" s="16"/>
      <c r="OVM71" s="16"/>
      <c r="OVN71" s="16"/>
      <c r="OVO71" s="16"/>
      <c r="OVP71" s="16"/>
      <c r="OVQ71" s="16"/>
      <c r="OVR71" s="16"/>
      <c r="OVS71" s="16"/>
      <c r="OVT71" s="16"/>
      <c r="OVU71" s="16"/>
      <c r="OVV71" s="16"/>
      <c r="OVW71" s="16"/>
      <c r="OVX71" s="16"/>
      <c r="OVY71" s="16"/>
      <c r="OVZ71" s="16"/>
      <c r="OWA71" s="16"/>
      <c r="OWB71" s="16"/>
      <c r="OWC71" s="16"/>
      <c r="OWD71" s="16"/>
      <c r="OWE71" s="16"/>
      <c r="OWF71" s="16"/>
      <c r="OWG71" s="16"/>
      <c r="OWH71" s="16"/>
      <c r="OWI71" s="16"/>
      <c r="OWJ71" s="16"/>
      <c r="OWK71" s="16"/>
      <c r="OWL71" s="16"/>
      <c r="OWM71" s="16"/>
      <c r="OWN71" s="16"/>
      <c r="OWO71" s="16"/>
      <c r="OWP71" s="16"/>
      <c r="OWQ71" s="16"/>
      <c r="OWR71" s="16"/>
      <c r="OWS71" s="16"/>
      <c r="OWT71" s="16"/>
      <c r="OWU71" s="16"/>
      <c r="OWV71" s="16"/>
      <c r="OWW71" s="16"/>
      <c r="OWX71" s="16"/>
      <c r="OWY71" s="16"/>
      <c r="OWZ71" s="16"/>
      <c r="OXA71" s="16"/>
      <c r="OXB71" s="16"/>
      <c r="OXC71" s="16"/>
      <c r="OXD71" s="16"/>
      <c r="OXE71" s="16"/>
      <c r="OXF71" s="16"/>
      <c r="OXG71" s="16"/>
      <c r="OXH71" s="16"/>
      <c r="OXI71" s="16"/>
      <c r="OXJ71" s="16"/>
      <c r="OXK71" s="16"/>
      <c r="OXL71" s="16"/>
      <c r="OXM71" s="16"/>
      <c r="OXN71" s="16"/>
      <c r="OXO71" s="16"/>
      <c r="OXP71" s="16"/>
      <c r="OXQ71" s="16"/>
      <c r="OXR71" s="16"/>
      <c r="OXS71" s="16"/>
      <c r="OXT71" s="16"/>
      <c r="OXU71" s="16"/>
      <c r="OXV71" s="16"/>
      <c r="OXW71" s="16"/>
      <c r="OXX71" s="16"/>
      <c r="OXY71" s="16"/>
      <c r="OXZ71" s="16"/>
      <c r="OYA71" s="16"/>
      <c r="OYB71" s="16"/>
      <c r="OYC71" s="16"/>
      <c r="OYD71" s="16"/>
      <c r="OYE71" s="16"/>
      <c r="OYF71" s="16"/>
      <c r="OYG71" s="16"/>
      <c r="OYH71" s="16"/>
      <c r="OYI71" s="16"/>
      <c r="OYJ71" s="16"/>
      <c r="OYK71" s="16"/>
      <c r="OYL71" s="16"/>
      <c r="OYM71" s="16"/>
      <c r="OYN71" s="16"/>
      <c r="OYO71" s="16"/>
      <c r="OYP71" s="16"/>
      <c r="OYQ71" s="16"/>
      <c r="OYR71" s="16"/>
      <c r="OYS71" s="16"/>
      <c r="OYT71" s="16"/>
      <c r="OYU71" s="16"/>
      <c r="OYV71" s="16"/>
      <c r="OYW71" s="16"/>
      <c r="OYX71" s="16"/>
      <c r="OYY71" s="16"/>
      <c r="OYZ71" s="16"/>
      <c r="OZA71" s="16"/>
      <c r="OZB71" s="16"/>
      <c r="OZC71" s="16"/>
      <c r="OZD71" s="16"/>
      <c r="OZE71" s="16"/>
      <c r="OZF71" s="16"/>
      <c r="OZG71" s="16"/>
      <c r="OZH71" s="16"/>
      <c r="OZI71" s="16"/>
      <c r="OZJ71" s="16"/>
      <c r="OZK71" s="16"/>
      <c r="OZL71" s="16"/>
      <c r="OZM71" s="16"/>
      <c r="OZN71" s="16"/>
      <c r="OZO71" s="16"/>
      <c r="OZP71" s="16"/>
      <c r="OZQ71" s="16"/>
      <c r="OZR71" s="16"/>
      <c r="OZS71" s="16"/>
      <c r="OZT71" s="16"/>
      <c r="OZU71" s="16"/>
      <c r="OZV71" s="16"/>
      <c r="OZW71" s="16"/>
      <c r="OZX71" s="16"/>
      <c r="OZY71" s="16"/>
      <c r="OZZ71" s="16"/>
      <c r="PAA71" s="16"/>
      <c r="PAB71" s="16"/>
      <c r="PAC71" s="16"/>
      <c r="PAD71" s="16"/>
      <c r="PAE71" s="16"/>
      <c r="PAF71" s="16"/>
      <c r="PAG71" s="16"/>
      <c r="PAH71" s="16"/>
      <c r="PAI71" s="16"/>
      <c r="PAJ71" s="16"/>
      <c r="PAK71" s="16"/>
      <c r="PAL71" s="16"/>
      <c r="PAM71" s="16"/>
      <c r="PAN71" s="16"/>
      <c r="PAO71" s="16"/>
      <c r="PAP71" s="16"/>
      <c r="PAQ71" s="16"/>
      <c r="PAR71" s="16"/>
      <c r="PAS71" s="16"/>
      <c r="PAT71" s="16"/>
      <c r="PAU71" s="16"/>
      <c r="PAV71" s="16"/>
      <c r="PAW71" s="16"/>
      <c r="PAX71" s="16"/>
      <c r="PAY71" s="16"/>
      <c r="PAZ71" s="16"/>
      <c r="PBA71" s="16"/>
      <c r="PBB71" s="16"/>
      <c r="PBC71" s="16"/>
      <c r="PBD71" s="16"/>
      <c r="PBE71" s="16"/>
      <c r="PBF71" s="16"/>
      <c r="PBG71" s="16"/>
      <c r="PBH71" s="16"/>
      <c r="PBI71" s="16"/>
      <c r="PBJ71" s="16"/>
      <c r="PBK71" s="16"/>
      <c r="PBL71" s="16"/>
      <c r="PBM71" s="16"/>
      <c r="PBN71" s="16"/>
      <c r="PBO71" s="16"/>
      <c r="PBP71" s="16"/>
      <c r="PBQ71" s="16"/>
      <c r="PBR71" s="16"/>
      <c r="PBS71" s="16"/>
      <c r="PBT71" s="16"/>
      <c r="PBU71" s="16"/>
      <c r="PBV71" s="16"/>
      <c r="PBW71" s="16"/>
      <c r="PBX71" s="16"/>
      <c r="PBY71" s="16"/>
      <c r="PBZ71" s="16"/>
      <c r="PCA71" s="16"/>
      <c r="PCB71" s="16"/>
      <c r="PCC71" s="16"/>
      <c r="PCD71" s="16"/>
      <c r="PCE71" s="16"/>
      <c r="PCF71" s="16"/>
      <c r="PCG71" s="16"/>
      <c r="PCH71" s="16"/>
      <c r="PCI71" s="16"/>
      <c r="PCJ71" s="16"/>
      <c r="PCK71" s="16"/>
      <c r="PCL71" s="16"/>
      <c r="PCM71" s="16"/>
      <c r="PCN71" s="16"/>
      <c r="PCO71" s="16"/>
      <c r="PCP71" s="16"/>
      <c r="PCQ71" s="16"/>
      <c r="PCR71" s="16"/>
      <c r="PCS71" s="16"/>
      <c r="PCT71" s="16"/>
      <c r="PCU71" s="16"/>
      <c r="PCV71" s="16"/>
      <c r="PCW71" s="16"/>
      <c r="PCX71" s="16"/>
      <c r="PCY71" s="16"/>
      <c r="PCZ71" s="16"/>
      <c r="PDA71" s="16"/>
      <c r="PDB71" s="16"/>
      <c r="PDC71" s="16"/>
      <c r="PDD71" s="16"/>
      <c r="PDE71" s="16"/>
      <c r="PDF71" s="16"/>
      <c r="PDG71" s="16"/>
      <c r="PDH71" s="16"/>
      <c r="PDI71" s="16"/>
      <c r="PDJ71" s="16"/>
      <c r="PDK71" s="16"/>
      <c r="PDL71" s="16"/>
      <c r="PDM71" s="16"/>
      <c r="PDN71" s="16"/>
      <c r="PDO71" s="16"/>
      <c r="PDP71" s="16"/>
      <c r="PDQ71" s="16"/>
      <c r="PDR71" s="16"/>
      <c r="PDS71" s="16"/>
      <c r="PDT71" s="16"/>
      <c r="PDU71" s="16"/>
      <c r="PDV71" s="16"/>
      <c r="PDW71" s="16"/>
      <c r="PDX71" s="16"/>
      <c r="PDY71" s="16"/>
      <c r="PDZ71" s="16"/>
      <c r="PEA71" s="16"/>
      <c r="PEB71" s="16"/>
      <c r="PEC71" s="16"/>
      <c r="PED71" s="16"/>
      <c r="PEE71" s="16"/>
      <c r="PEF71" s="16"/>
      <c r="PEG71" s="16"/>
      <c r="PEH71" s="16"/>
      <c r="PEI71" s="16"/>
      <c r="PEJ71" s="16"/>
      <c r="PEK71" s="16"/>
      <c r="PEL71" s="16"/>
      <c r="PEM71" s="16"/>
      <c r="PEN71" s="16"/>
      <c r="PEO71" s="16"/>
      <c r="PEP71" s="16"/>
      <c r="PEQ71" s="16"/>
      <c r="PER71" s="16"/>
      <c r="PES71" s="16"/>
      <c r="PET71" s="16"/>
      <c r="PEU71" s="16"/>
      <c r="PEV71" s="16"/>
      <c r="PEW71" s="16"/>
      <c r="PEX71" s="16"/>
      <c r="PEY71" s="16"/>
      <c r="PEZ71" s="16"/>
      <c r="PFA71" s="16"/>
      <c r="PFB71" s="16"/>
      <c r="PFC71" s="16"/>
      <c r="PFD71" s="16"/>
      <c r="PFE71" s="16"/>
      <c r="PFF71" s="16"/>
      <c r="PFG71" s="16"/>
      <c r="PFH71" s="16"/>
      <c r="PFI71" s="16"/>
      <c r="PFJ71" s="16"/>
      <c r="PFK71" s="16"/>
      <c r="PFL71" s="16"/>
      <c r="PFM71" s="16"/>
      <c r="PFN71" s="16"/>
      <c r="PFO71" s="16"/>
      <c r="PFP71" s="16"/>
      <c r="PFQ71" s="16"/>
      <c r="PFR71" s="16"/>
      <c r="PFS71" s="16"/>
      <c r="PFT71" s="16"/>
      <c r="PFU71" s="16"/>
      <c r="PFV71" s="16"/>
      <c r="PFW71" s="16"/>
      <c r="PFX71" s="16"/>
      <c r="PFY71" s="16"/>
      <c r="PFZ71" s="16"/>
      <c r="PGA71" s="16"/>
      <c r="PGB71" s="16"/>
      <c r="PGC71" s="16"/>
      <c r="PGD71" s="16"/>
      <c r="PGE71" s="16"/>
      <c r="PGF71" s="16"/>
      <c r="PGG71" s="16"/>
      <c r="PGH71" s="16"/>
      <c r="PGI71" s="16"/>
      <c r="PGJ71" s="16"/>
      <c r="PGK71" s="16"/>
      <c r="PGL71" s="16"/>
      <c r="PGM71" s="16"/>
      <c r="PGN71" s="16"/>
      <c r="PGO71" s="16"/>
      <c r="PGP71" s="16"/>
      <c r="PGQ71" s="16"/>
      <c r="PGR71" s="16"/>
      <c r="PGS71" s="16"/>
      <c r="PGT71" s="16"/>
      <c r="PGU71" s="16"/>
      <c r="PGV71" s="16"/>
      <c r="PGW71" s="16"/>
      <c r="PGX71" s="16"/>
      <c r="PGY71" s="16"/>
      <c r="PGZ71" s="16"/>
      <c r="PHA71" s="16"/>
      <c r="PHB71" s="16"/>
      <c r="PHC71" s="16"/>
      <c r="PHD71" s="16"/>
      <c r="PHE71" s="16"/>
      <c r="PHF71" s="16"/>
      <c r="PHG71" s="16"/>
      <c r="PHH71" s="16"/>
      <c r="PHI71" s="16"/>
      <c r="PHJ71" s="16"/>
      <c r="PHK71" s="16"/>
      <c r="PHL71" s="16"/>
      <c r="PHM71" s="16"/>
      <c r="PHN71" s="16"/>
      <c r="PHO71" s="16"/>
      <c r="PHP71" s="16"/>
      <c r="PHQ71" s="16"/>
      <c r="PHR71" s="16"/>
      <c r="PHS71" s="16"/>
      <c r="PHT71" s="16"/>
      <c r="PHU71" s="16"/>
      <c r="PHV71" s="16"/>
      <c r="PHW71" s="16"/>
      <c r="PHX71" s="16"/>
      <c r="PHY71" s="16"/>
      <c r="PHZ71" s="16"/>
      <c r="PIA71" s="16"/>
      <c r="PIB71" s="16"/>
      <c r="PIC71" s="16"/>
      <c r="PID71" s="16"/>
      <c r="PIE71" s="16"/>
      <c r="PIF71" s="16"/>
      <c r="PIG71" s="16"/>
      <c r="PIH71" s="16"/>
      <c r="PII71" s="16"/>
      <c r="PIJ71" s="16"/>
      <c r="PIK71" s="16"/>
      <c r="PIL71" s="16"/>
      <c r="PIM71" s="16"/>
      <c r="PIN71" s="16"/>
      <c r="PIO71" s="16"/>
      <c r="PIP71" s="16"/>
      <c r="PIQ71" s="16"/>
      <c r="PIR71" s="16"/>
      <c r="PIS71" s="16"/>
      <c r="PIT71" s="16"/>
      <c r="PIU71" s="16"/>
      <c r="PIV71" s="16"/>
      <c r="PIW71" s="16"/>
      <c r="PIX71" s="16"/>
      <c r="PIY71" s="16"/>
      <c r="PIZ71" s="16"/>
      <c r="PJA71" s="16"/>
      <c r="PJB71" s="16"/>
      <c r="PJC71" s="16"/>
      <c r="PJD71" s="16"/>
      <c r="PJE71" s="16"/>
      <c r="PJF71" s="16"/>
      <c r="PJG71" s="16"/>
      <c r="PJH71" s="16"/>
      <c r="PJI71" s="16"/>
      <c r="PJJ71" s="16"/>
      <c r="PJK71" s="16"/>
      <c r="PJL71" s="16"/>
      <c r="PJM71" s="16"/>
      <c r="PJN71" s="16"/>
      <c r="PJO71" s="16"/>
      <c r="PJP71" s="16"/>
      <c r="PJQ71" s="16"/>
      <c r="PJR71" s="16"/>
      <c r="PJS71" s="16"/>
      <c r="PJT71" s="16"/>
      <c r="PJU71" s="16"/>
      <c r="PJV71" s="16"/>
      <c r="PJW71" s="16"/>
      <c r="PJX71" s="16"/>
      <c r="PJY71" s="16"/>
      <c r="PJZ71" s="16"/>
      <c r="PKA71" s="16"/>
      <c r="PKB71" s="16"/>
      <c r="PKC71" s="16"/>
      <c r="PKD71" s="16"/>
      <c r="PKE71" s="16"/>
      <c r="PKF71" s="16"/>
      <c r="PKG71" s="16"/>
      <c r="PKH71" s="16"/>
      <c r="PKI71" s="16"/>
      <c r="PKJ71" s="16"/>
      <c r="PKK71" s="16"/>
      <c r="PKL71" s="16"/>
      <c r="PKM71" s="16"/>
      <c r="PKN71" s="16"/>
      <c r="PKO71" s="16"/>
      <c r="PKP71" s="16"/>
      <c r="PKQ71" s="16"/>
      <c r="PKR71" s="16"/>
      <c r="PKS71" s="16"/>
      <c r="PKT71" s="16"/>
      <c r="PKU71" s="16"/>
      <c r="PKV71" s="16"/>
      <c r="PKW71" s="16"/>
      <c r="PKX71" s="16"/>
      <c r="PKY71" s="16"/>
      <c r="PKZ71" s="16"/>
      <c r="PLA71" s="16"/>
      <c r="PLB71" s="16"/>
      <c r="PLC71" s="16"/>
      <c r="PLD71" s="16"/>
      <c r="PLE71" s="16"/>
      <c r="PLF71" s="16"/>
      <c r="PLG71" s="16"/>
      <c r="PLH71" s="16"/>
      <c r="PLI71" s="16"/>
      <c r="PLJ71" s="16"/>
      <c r="PLK71" s="16"/>
      <c r="PLL71" s="16"/>
      <c r="PLM71" s="16"/>
      <c r="PLN71" s="16"/>
      <c r="PLO71" s="16"/>
      <c r="PLP71" s="16"/>
      <c r="PLQ71" s="16"/>
      <c r="PLR71" s="16"/>
      <c r="PLS71" s="16"/>
      <c r="PLT71" s="16"/>
      <c r="PLU71" s="16"/>
      <c r="PLV71" s="16"/>
      <c r="PLW71" s="16"/>
      <c r="PLX71" s="16"/>
      <c r="PLY71" s="16"/>
      <c r="PLZ71" s="16"/>
      <c r="PMA71" s="16"/>
      <c r="PMB71" s="16"/>
      <c r="PMC71" s="16"/>
      <c r="PMD71" s="16"/>
      <c r="PME71" s="16"/>
      <c r="PMF71" s="16"/>
      <c r="PMG71" s="16"/>
      <c r="PMH71" s="16"/>
      <c r="PMI71" s="16"/>
      <c r="PMJ71" s="16"/>
      <c r="PMK71" s="16"/>
      <c r="PML71" s="16"/>
      <c r="PMM71" s="16"/>
      <c r="PMN71" s="16"/>
      <c r="PMO71" s="16"/>
      <c r="PMP71" s="16"/>
      <c r="PMQ71" s="16"/>
      <c r="PMR71" s="16"/>
      <c r="PMS71" s="16"/>
      <c r="PMT71" s="16"/>
      <c r="PMU71" s="16"/>
      <c r="PMV71" s="16"/>
      <c r="PMW71" s="16"/>
      <c r="PMX71" s="16"/>
      <c r="PMY71" s="16"/>
      <c r="PMZ71" s="16"/>
      <c r="PNA71" s="16"/>
      <c r="PNB71" s="16"/>
      <c r="PNC71" s="16"/>
      <c r="PND71" s="16"/>
      <c r="PNE71" s="16"/>
      <c r="PNF71" s="16"/>
      <c r="PNG71" s="16"/>
      <c r="PNH71" s="16"/>
      <c r="PNI71" s="16"/>
      <c r="PNJ71" s="16"/>
      <c r="PNK71" s="16"/>
      <c r="PNL71" s="16"/>
      <c r="PNM71" s="16"/>
      <c r="PNN71" s="16"/>
      <c r="PNO71" s="16"/>
      <c r="PNP71" s="16"/>
      <c r="PNQ71" s="16"/>
      <c r="PNR71" s="16"/>
      <c r="PNS71" s="16"/>
      <c r="PNT71" s="16"/>
      <c r="PNU71" s="16"/>
      <c r="PNV71" s="16"/>
      <c r="PNW71" s="16"/>
      <c r="PNX71" s="16"/>
      <c r="PNY71" s="16"/>
      <c r="PNZ71" s="16"/>
      <c r="POA71" s="16"/>
      <c r="POB71" s="16"/>
      <c r="POC71" s="16"/>
      <c r="POD71" s="16"/>
      <c r="POE71" s="16"/>
      <c r="POF71" s="16"/>
      <c r="POG71" s="16"/>
      <c r="POH71" s="16"/>
      <c r="POI71" s="16"/>
      <c r="POJ71" s="16"/>
      <c r="POK71" s="16"/>
      <c r="POL71" s="16"/>
      <c r="POM71" s="16"/>
      <c r="PON71" s="16"/>
      <c r="POO71" s="16"/>
      <c r="POP71" s="16"/>
      <c r="POQ71" s="16"/>
      <c r="POR71" s="16"/>
      <c r="POS71" s="16"/>
      <c r="POT71" s="16"/>
      <c r="POU71" s="16"/>
      <c r="POV71" s="16"/>
      <c r="POW71" s="16"/>
      <c r="POX71" s="16"/>
      <c r="POY71" s="16"/>
      <c r="POZ71" s="16"/>
      <c r="PPA71" s="16"/>
      <c r="PPB71" s="16"/>
      <c r="PPC71" s="16"/>
      <c r="PPD71" s="16"/>
      <c r="PPE71" s="16"/>
      <c r="PPF71" s="16"/>
      <c r="PPG71" s="16"/>
      <c r="PPH71" s="16"/>
      <c r="PPI71" s="16"/>
      <c r="PPJ71" s="16"/>
      <c r="PPK71" s="16"/>
      <c r="PPL71" s="16"/>
      <c r="PPM71" s="16"/>
      <c r="PPN71" s="16"/>
      <c r="PPO71" s="16"/>
      <c r="PPP71" s="16"/>
      <c r="PPQ71" s="16"/>
      <c r="PPR71" s="16"/>
      <c r="PPS71" s="16"/>
      <c r="PPT71" s="16"/>
      <c r="PPU71" s="16"/>
      <c r="PPV71" s="16"/>
      <c r="PPW71" s="16"/>
      <c r="PPX71" s="16"/>
      <c r="PPY71" s="16"/>
      <c r="PPZ71" s="16"/>
      <c r="PQA71" s="16"/>
      <c r="PQB71" s="16"/>
      <c r="PQC71" s="16"/>
      <c r="PQD71" s="16"/>
      <c r="PQE71" s="16"/>
      <c r="PQF71" s="16"/>
      <c r="PQG71" s="16"/>
      <c r="PQH71" s="16"/>
      <c r="PQI71" s="16"/>
      <c r="PQJ71" s="16"/>
      <c r="PQK71" s="16"/>
      <c r="PQL71" s="16"/>
      <c r="PQM71" s="16"/>
      <c r="PQN71" s="16"/>
      <c r="PQO71" s="16"/>
      <c r="PQP71" s="16"/>
      <c r="PQQ71" s="16"/>
      <c r="PQR71" s="16"/>
      <c r="PQS71" s="16"/>
      <c r="PQT71" s="16"/>
      <c r="PQU71" s="16"/>
      <c r="PQV71" s="16"/>
      <c r="PQW71" s="16"/>
      <c r="PQX71" s="16"/>
      <c r="PQY71" s="16"/>
      <c r="PQZ71" s="16"/>
      <c r="PRA71" s="16"/>
      <c r="PRB71" s="16"/>
      <c r="PRC71" s="16"/>
      <c r="PRD71" s="16"/>
      <c r="PRE71" s="16"/>
      <c r="PRF71" s="16"/>
      <c r="PRG71" s="16"/>
      <c r="PRH71" s="16"/>
      <c r="PRI71" s="16"/>
      <c r="PRJ71" s="16"/>
      <c r="PRK71" s="16"/>
      <c r="PRL71" s="16"/>
      <c r="PRM71" s="16"/>
      <c r="PRN71" s="16"/>
      <c r="PRO71" s="16"/>
      <c r="PRP71" s="16"/>
      <c r="PRQ71" s="16"/>
      <c r="PRR71" s="16"/>
      <c r="PRS71" s="16"/>
      <c r="PRT71" s="16"/>
      <c r="PRU71" s="16"/>
      <c r="PRV71" s="16"/>
      <c r="PRW71" s="16"/>
      <c r="PRX71" s="16"/>
      <c r="PRY71" s="16"/>
      <c r="PRZ71" s="16"/>
      <c r="PSA71" s="16"/>
      <c r="PSB71" s="16"/>
      <c r="PSC71" s="16"/>
      <c r="PSD71" s="16"/>
      <c r="PSE71" s="16"/>
      <c r="PSF71" s="16"/>
      <c r="PSG71" s="16"/>
      <c r="PSH71" s="16"/>
      <c r="PSI71" s="16"/>
      <c r="PSJ71" s="16"/>
      <c r="PSK71" s="16"/>
      <c r="PSL71" s="16"/>
      <c r="PSM71" s="16"/>
      <c r="PSN71" s="16"/>
      <c r="PSO71" s="16"/>
      <c r="PSP71" s="16"/>
      <c r="PSQ71" s="16"/>
      <c r="PSR71" s="16"/>
      <c r="PSS71" s="16"/>
      <c r="PST71" s="16"/>
      <c r="PSU71" s="16"/>
      <c r="PSV71" s="16"/>
      <c r="PSW71" s="16"/>
      <c r="PSX71" s="16"/>
      <c r="PSY71" s="16"/>
      <c r="PSZ71" s="16"/>
      <c r="PTA71" s="16"/>
      <c r="PTB71" s="16"/>
      <c r="PTC71" s="16"/>
      <c r="PTD71" s="16"/>
      <c r="PTE71" s="16"/>
      <c r="PTF71" s="16"/>
      <c r="PTG71" s="16"/>
      <c r="PTH71" s="16"/>
      <c r="PTI71" s="16"/>
      <c r="PTJ71" s="16"/>
      <c r="PTK71" s="16"/>
      <c r="PTL71" s="16"/>
      <c r="PTM71" s="16"/>
      <c r="PTN71" s="16"/>
      <c r="PTO71" s="16"/>
      <c r="PTP71" s="16"/>
      <c r="PTQ71" s="16"/>
      <c r="PTR71" s="16"/>
      <c r="PTS71" s="16"/>
      <c r="PTT71" s="16"/>
      <c r="PTU71" s="16"/>
      <c r="PTV71" s="16"/>
      <c r="PTW71" s="16"/>
      <c r="PTX71" s="16"/>
      <c r="PTY71" s="16"/>
      <c r="PTZ71" s="16"/>
      <c r="PUA71" s="16"/>
      <c r="PUB71" s="16"/>
      <c r="PUC71" s="16"/>
      <c r="PUD71" s="16"/>
      <c r="PUE71" s="16"/>
      <c r="PUF71" s="16"/>
      <c r="PUG71" s="16"/>
      <c r="PUH71" s="16"/>
      <c r="PUI71" s="16"/>
      <c r="PUJ71" s="16"/>
      <c r="PUK71" s="16"/>
      <c r="PUL71" s="16"/>
      <c r="PUM71" s="16"/>
      <c r="PUN71" s="16"/>
      <c r="PUO71" s="16"/>
      <c r="PUP71" s="16"/>
      <c r="PUQ71" s="16"/>
      <c r="PUR71" s="16"/>
      <c r="PUS71" s="16"/>
      <c r="PUT71" s="16"/>
      <c r="PUU71" s="16"/>
      <c r="PUV71" s="16"/>
      <c r="PUW71" s="16"/>
      <c r="PUX71" s="16"/>
      <c r="PUY71" s="16"/>
      <c r="PUZ71" s="16"/>
      <c r="PVA71" s="16"/>
      <c r="PVB71" s="16"/>
      <c r="PVC71" s="16"/>
      <c r="PVD71" s="16"/>
      <c r="PVE71" s="16"/>
      <c r="PVF71" s="16"/>
      <c r="PVG71" s="16"/>
      <c r="PVH71" s="16"/>
      <c r="PVI71" s="16"/>
      <c r="PVJ71" s="16"/>
      <c r="PVK71" s="16"/>
      <c r="PVL71" s="16"/>
      <c r="PVM71" s="16"/>
      <c r="PVN71" s="16"/>
      <c r="PVO71" s="16"/>
      <c r="PVP71" s="16"/>
      <c r="PVQ71" s="16"/>
      <c r="PVR71" s="16"/>
      <c r="PVS71" s="16"/>
      <c r="PVT71" s="16"/>
      <c r="PVU71" s="16"/>
      <c r="PVV71" s="16"/>
      <c r="PVW71" s="16"/>
      <c r="PVX71" s="16"/>
      <c r="PVY71" s="16"/>
      <c r="PVZ71" s="16"/>
      <c r="PWA71" s="16"/>
      <c r="PWB71" s="16"/>
      <c r="PWC71" s="16"/>
      <c r="PWD71" s="16"/>
      <c r="PWE71" s="16"/>
      <c r="PWF71" s="16"/>
      <c r="PWG71" s="16"/>
      <c r="PWH71" s="16"/>
      <c r="PWI71" s="16"/>
      <c r="PWJ71" s="16"/>
      <c r="PWK71" s="16"/>
      <c r="PWL71" s="16"/>
      <c r="PWM71" s="16"/>
      <c r="PWN71" s="16"/>
      <c r="PWO71" s="16"/>
      <c r="PWP71" s="16"/>
      <c r="PWQ71" s="16"/>
      <c r="PWR71" s="16"/>
      <c r="PWS71" s="16"/>
      <c r="PWT71" s="16"/>
      <c r="PWU71" s="16"/>
      <c r="PWV71" s="16"/>
      <c r="PWW71" s="16"/>
      <c r="PWX71" s="16"/>
      <c r="PWY71" s="16"/>
      <c r="PWZ71" s="16"/>
      <c r="PXA71" s="16"/>
      <c r="PXB71" s="16"/>
      <c r="PXC71" s="16"/>
      <c r="PXD71" s="16"/>
      <c r="PXE71" s="16"/>
      <c r="PXF71" s="16"/>
      <c r="PXG71" s="16"/>
      <c r="PXH71" s="16"/>
      <c r="PXI71" s="16"/>
      <c r="PXJ71" s="16"/>
      <c r="PXK71" s="16"/>
      <c r="PXL71" s="16"/>
      <c r="PXM71" s="16"/>
      <c r="PXN71" s="16"/>
      <c r="PXO71" s="16"/>
      <c r="PXP71" s="16"/>
      <c r="PXQ71" s="16"/>
      <c r="PXR71" s="16"/>
      <c r="PXS71" s="16"/>
      <c r="PXT71" s="16"/>
      <c r="PXU71" s="16"/>
      <c r="PXV71" s="16"/>
      <c r="PXW71" s="16"/>
      <c r="PXX71" s="16"/>
      <c r="PXY71" s="16"/>
      <c r="PXZ71" s="16"/>
      <c r="PYA71" s="16"/>
      <c r="PYB71" s="16"/>
      <c r="PYC71" s="16"/>
      <c r="PYD71" s="16"/>
      <c r="PYE71" s="16"/>
      <c r="PYF71" s="16"/>
      <c r="PYG71" s="16"/>
      <c r="PYH71" s="16"/>
      <c r="PYI71" s="16"/>
      <c r="PYJ71" s="16"/>
      <c r="PYK71" s="16"/>
      <c r="PYL71" s="16"/>
      <c r="PYM71" s="16"/>
      <c r="PYN71" s="16"/>
      <c r="PYO71" s="16"/>
      <c r="PYP71" s="16"/>
      <c r="PYQ71" s="16"/>
      <c r="PYR71" s="16"/>
      <c r="PYS71" s="16"/>
      <c r="PYT71" s="16"/>
      <c r="PYU71" s="16"/>
      <c r="PYV71" s="16"/>
      <c r="PYW71" s="16"/>
      <c r="PYX71" s="16"/>
      <c r="PYY71" s="16"/>
      <c r="PYZ71" s="16"/>
      <c r="PZA71" s="16"/>
      <c r="PZB71" s="16"/>
      <c r="PZC71" s="16"/>
      <c r="PZD71" s="16"/>
      <c r="PZE71" s="16"/>
      <c r="PZF71" s="16"/>
      <c r="PZG71" s="16"/>
      <c r="PZH71" s="16"/>
      <c r="PZI71" s="16"/>
      <c r="PZJ71" s="16"/>
      <c r="PZK71" s="16"/>
      <c r="PZL71" s="16"/>
      <c r="PZM71" s="16"/>
      <c r="PZN71" s="16"/>
      <c r="PZO71" s="16"/>
      <c r="PZP71" s="16"/>
      <c r="PZQ71" s="16"/>
      <c r="PZR71" s="16"/>
      <c r="PZS71" s="16"/>
      <c r="PZT71" s="16"/>
      <c r="PZU71" s="16"/>
      <c r="PZV71" s="16"/>
      <c r="PZW71" s="16"/>
      <c r="PZX71" s="16"/>
      <c r="PZY71" s="16"/>
      <c r="PZZ71" s="16"/>
      <c r="QAA71" s="16"/>
      <c r="QAB71" s="16"/>
      <c r="QAC71" s="16"/>
      <c r="QAD71" s="16"/>
      <c r="QAE71" s="16"/>
      <c r="QAF71" s="16"/>
      <c r="QAG71" s="16"/>
      <c r="QAH71" s="16"/>
      <c r="QAI71" s="16"/>
      <c r="QAJ71" s="16"/>
      <c r="QAK71" s="16"/>
      <c r="QAL71" s="16"/>
      <c r="QAM71" s="16"/>
      <c r="QAN71" s="16"/>
      <c r="QAO71" s="16"/>
      <c r="QAP71" s="16"/>
      <c r="QAQ71" s="16"/>
      <c r="QAR71" s="16"/>
      <c r="QAS71" s="16"/>
      <c r="QAT71" s="16"/>
      <c r="QAU71" s="16"/>
      <c r="QAV71" s="16"/>
      <c r="QAW71" s="16"/>
      <c r="QAX71" s="16"/>
      <c r="QAY71" s="16"/>
      <c r="QAZ71" s="16"/>
      <c r="QBA71" s="16"/>
      <c r="QBB71" s="16"/>
      <c r="QBC71" s="16"/>
      <c r="QBD71" s="16"/>
      <c r="QBE71" s="16"/>
      <c r="QBF71" s="16"/>
      <c r="QBG71" s="16"/>
      <c r="QBH71" s="16"/>
      <c r="QBI71" s="16"/>
      <c r="QBJ71" s="16"/>
      <c r="QBK71" s="16"/>
      <c r="QBL71" s="16"/>
      <c r="QBM71" s="16"/>
      <c r="QBN71" s="16"/>
      <c r="QBO71" s="16"/>
      <c r="QBP71" s="16"/>
      <c r="QBQ71" s="16"/>
      <c r="QBR71" s="16"/>
      <c r="QBS71" s="16"/>
      <c r="QBT71" s="16"/>
      <c r="QBU71" s="16"/>
      <c r="QBV71" s="16"/>
      <c r="QBW71" s="16"/>
      <c r="QBX71" s="16"/>
      <c r="QBY71" s="16"/>
      <c r="QBZ71" s="16"/>
      <c r="QCA71" s="16"/>
      <c r="QCB71" s="16"/>
      <c r="QCC71" s="16"/>
      <c r="QCD71" s="16"/>
      <c r="QCE71" s="16"/>
      <c r="QCF71" s="16"/>
      <c r="QCG71" s="16"/>
      <c r="QCH71" s="16"/>
      <c r="QCI71" s="16"/>
      <c r="QCJ71" s="16"/>
      <c r="QCK71" s="16"/>
      <c r="QCL71" s="16"/>
      <c r="QCM71" s="16"/>
      <c r="QCN71" s="16"/>
      <c r="QCO71" s="16"/>
      <c r="QCP71" s="16"/>
      <c r="QCQ71" s="16"/>
      <c r="QCR71" s="16"/>
      <c r="QCS71" s="16"/>
      <c r="QCT71" s="16"/>
      <c r="QCU71" s="16"/>
      <c r="QCV71" s="16"/>
      <c r="QCW71" s="16"/>
      <c r="QCX71" s="16"/>
      <c r="QCY71" s="16"/>
      <c r="QCZ71" s="16"/>
      <c r="QDA71" s="16"/>
      <c r="QDB71" s="16"/>
      <c r="QDC71" s="16"/>
      <c r="QDD71" s="16"/>
      <c r="QDE71" s="16"/>
      <c r="QDF71" s="16"/>
      <c r="QDG71" s="16"/>
      <c r="QDH71" s="16"/>
      <c r="QDI71" s="16"/>
      <c r="QDJ71" s="16"/>
      <c r="QDK71" s="16"/>
      <c r="QDL71" s="16"/>
      <c r="QDM71" s="16"/>
      <c r="QDN71" s="16"/>
      <c r="QDO71" s="16"/>
      <c r="QDP71" s="16"/>
      <c r="QDQ71" s="16"/>
      <c r="QDR71" s="16"/>
      <c r="QDS71" s="16"/>
      <c r="QDT71" s="16"/>
      <c r="QDU71" s="16"/>
      <c r="QDV71" s="16"/>
      <c r="QDW71" s="16"/>
      <c r="QDX71" s="16"/>
      <c r="QDY71" s="16"/>
      <c r="QDZ71" s="16"/>
      <c r="QEA71" s="16"/>
      <c r="QEB71" s="16"/>
      <c r="QEC71" s="16"/>
      <c r="QED71" s="16"/>
      <c r="QEE71" s="16"/>
      <c r="QEF71" s="16"/>
      <c r="QEG71" s="16"/>
      <c r="QEH71" s="16"/>
      <c r="QEI71" s="16"/>
      <c r="QEJ71" s="16"/>
      <c r="QEK71" s="16"/>
      <c r="QEL71" s="16"/>
      <c r="QEM71" s="16"/>
      <c r="QEN71" s="16"/>
      <c r="QEO71" s="16"/>
      <c r="QEP71" s="16"/>
      <c r="QEQ71" s="16"/>
      <c r="QER71" s="16"/>
      <c r="QES71" s="16"/>
      <c r="QET71" s="16"/>
      <c r="QEU71" s="16"/>
      <c r="QEV71" s="16"/>
      <c r="QEW71" s="16"/>
      <c r="QEX71" s="16"/>
      <c r="QEY71" s="16"/>
      <c r="QEZ71" s="16"/>
      <c r="QFA71" s="16"/>
      <c r="QFB71" s="16"/>
      <c r="QFC71" s="16"/>
      <c r="QFD71" s="16"/>
      <c r="QFE71" s="16"/>
      <c r="QFF71" s="16"/>
      <c r="QFG71" s="16"/>
      <c r="QFH71" s="16"/>
      <c r="QFI71" s="16"/>
      <c r="QFJ71" s="16"/>
      <c r="QFK71" s="16"/>
      <c r="QFL71" s="16"/>
      <c r="QFM71" s="16"/>
      <c r="QFN71" s="16"/>
      <c r="QFO71" s="16"/>
      <c r="QFP71" s="16"/>
      <c r="QFQ71" s="16"/>
      <c r="QFR71" s="16"/>
      <c r="QFS71" s="16"/>
      <c r="QFT71" s="16"/>
      <c r="QFU71" s="16"/>
      <c r="QFV71" s="16"/>
      <c r="QFW71" s="16"/>
      <c r="QFX71" s="16"/>
      <c r="QFY71" s="16"/>
      <c r="QFZ71" s="16"/>
      <c r="QGA71" s="16"/>
      <c r="QGB71" s="16"/>
      <c r="QGC71" s="16"/>
      <c r="QGD71" s="16"/>
      <c r="QGE71" s="16"/>
      <c r="QGF71" s="16"/>
      <c r="QGG71" s="16"/>
      <c r="QGH71" s="16"/>
      <c r="QGI71" s="16"/>
      <c r="QGJ71" s="16"/>
      <c r="QGK71" s="16"/>
      <c r="QGL71" s="16"/>
      <c r="QGM71" s="16"/>
      <c r="QGN71" s="16"/>
      <c r="QGO71" s="16"/>
      <c r="QGP71" s="16"/>
      <c r="QGQ71" s="16"/>
      <c r="QGR71" s="16"/>
      <c r="QGS71" s="16"/>
      <c r="QGT71" s="16"/>
      <c r="QGU71" s="16"/>
      <c r="QGV71" s="16"/>
      <c r="QGW71" s="16"/>
      <c r="QGX71" s="16"/>
      <c r="QGY71" s="16"/>
      <c r="QGZ71" s="16"/>
      <c r="QHA71" s="16"/>
      <c r="QHB71" s="16"/>
      <c r="QHC71" s="16"/>
      <c r="QHD71" s="16"/>
      <c r="QHE71" s="16"/>
      <c r="QHF71" s="16"/>
      <c r="QHG71" s="16"/>
      <c r="QHH71" s="16"/>
      <c r="QHI71" s="16"/>
      <c r="QHJ71" s="16"/>
      <c r="QHK71" s="16"/>
      <c r="QHL71" s="16"/>
      <c r="QHM71" s="16"/>
      <c r="QHN71" s="16"/>
      <c r="QHO71" s="16"/>
      <c r="QHP71" s="16"/>
      <c r="QHQ71" s="16"/>
      <c r="QHR71" s="16"/>
      <c r="QHS71" s="16"/>
      <c r="QHT71" s="16"/>
      <c r="QHU71" s="16"/>
      <c r="QHV71" s="16"/>
      <c r="QHW71" s="16"/>
      <c r="QHX71" s="16"/>
      <c r="QHY71" s="16"/>
      <c r="QHZ71" s="16"/>
      <c r="QIA71" s="16"/>
      <c r="QIB71" s="16"/>
      <c r="QIC71" s="16"/>
      <c r="QID71" s="16"/>
      <c r="QIE71" s="16"/>
      <c r="QIF71" s="16"/>
      <c r="QIG71" s="16"/>
      <c r="QIH71" s="16"/>
      <c r="QII71" s="16"/>
      <c r="QIJ71" s="16"/>
      <c r="QIK71" s="16"/>
      <c r="QIL71" s="16"/>
      <c r="QIM71" s="16"/>
      <c r="QIN71" s="16"/>
      <c r="QIO71" s="16"/>
      <c r="QIP71" s="16"/>
      <c r="QIQ71" s="16"/>
      <c r="QIR71" s="16"/>
      <c r="QIS71" s="16"/>
      <c r="QIT71" s="16"/>
      <c r="QIU71" s="16"/>
      <c r="QIV71" s="16"/>
      <c r="QIW71" s="16"/>
      <c r="QIX71" s="16"/>
      <c r="QIY71" s="16"/>
      <c r="QIZ71" s="16"/>
      <c r="QJA71" s="16"/>
      <c r="QJB71" s="16"/>
      <c r="QJC71" s="16"/>
      <c r="QJD71" s="16"/>
      <c r="QJE71" s="16"/>
      <c r="QJF71" s="16"/>
      <c r="QJG71" s="16"/>
      <c r="QJH71" s="16"/>
      <c r="QJI71" s="16"/>
      <c r="QJJ71" s="16"/>
      <c r="QJK71" s="16"/>
      <c r="QJL71" s="16"/>
      <c r="QJM71" s="16"/>
      <c r="QJN71" s="16"/>
      <c r="QJO71" s="16"/>
      <c r="QJP71" s="16"/>
      <c r="QJQ71" s="16"/>
      <c r="QJR71" s="16"/>
      <c r="QJS71" s="16"/>
      <c r="QJT71" s="16"/>
      <c r="QJU71" s="16"/>
      <c r="QJV71" s="16"/>
      <c r="QJW71" s="16"/>
      <c r="QJX71" s="16"/>
      <c r="QJY71" s="16"/>
      <c r="QJZ71" s="16"/>
      <c r="QKA71" s="16"/>
      <c r="QKB71" s="16"/>
      <c r="QKC71" s="16"/>
      <c r="QKD71" s="16"/>
      <c r="QKE71" s="16"/>
      <c r="QKF71" s="16"/>
      <c r="QKG71" s="16"/>
      <c r="QKH71" s="16"/>
      <c r="QKI71" s="16"/>
      <c r="QKJ71" s="16"/>
      <c r="QKK71" s="16"/>
      <c r="QKL71" s="16"/>
      <c r="QKM71" s="16"/>
      <c r="QKN71" s="16"/>
      <c r="QKO71" s="16"/>
      <c r="QKP71" s="16"/>
      <c r="QKQ71" s="16"/>
      <c r="QKR71" s="16"/>
      <c r="QKS71" s="16"/>
      <c r="QKT71" s="16"/>
      <c r="QKU71" s="16"/>
      <c r="QKV71" s="16"/>
      <c r="QKW71" s="16"/>
      <c r="QKX71" s="16"/>
      <c r="QKY71" s="16"/>
      <c r="QKZ71" s="16"/>
      <c r="QLA71" s="16"/>
      <c r="QLB71" s="16"/>
      <c r="QLC71" s="16"/>
      <c r="QLD71" s="16"/>
      <c r="QLE71" s="16"/>
      <c r="QLF71" s="16"/>
      <c r="QLG71" s="16"/>
      <c r="QLH71" s="16"/>
      <c r="QLI71" s="16"/>
      <c r="QLJ71" s="16"/>
      <c r="QLK71" s="16"/>
      <c r="QLL71" s="16"/>
      <c r="QLM71" s="16"/>
      <c r="QLN71" s="16"/>
      <c r="QLO71" s="16"/>
      <c r="QLP71" s="16"/>
      <c r="QLQ71" s="16"/>
      <c r="QLR71" s="16"/>
      <c r="QLS71" s="16"/>
      <c r="QLT71" s="16"/>
      <c r="QLU71" s="16"/>
      <c r="QLV71" s="16"/>
      <c r="QLW71" s="16"/>
      <c r="QLX71" s="16"/>
      <c r="QLY71" s="16"/>
      <c r="QLZ71" s="16"/>
      <c r="QMA71" s="16"/>
      <c r="QMB71" s="16"/>
      <c r="QMC71" s="16"/>
      <c r="QMD71" s="16"/>
      <c r="QME71" s="16"/>
      <c r="QMF71" s="16"/>
      <c r="QMG71" s="16"/>
      <c r="QMH71" s="16"/>
      <c r="QMI71" s="16"/>
      <c r="QMJ71" s="16"/>
      <c r="QMK71" s="16"/>
      <c r="QML71" s="16"/>
      <c r="QMM71" s="16"/>
      <c r="QMN71" s="16"/>
      <c r="QMO71" s="16"/>
      <c r="QMP71" s="16"/>
      <c r="QMQ71" s="16"/>
      <c r="QMR71" s="16"/>
      <c r="QMS71" s="16"/>
      <c r="QMT71" s="16"/>
      <c r="QMU71" s="16"/>
      <c r="QMV71" s="16"/>
      <c r="QMW71" s="16"/>
      <c r="QMX71" s="16"/>
      <c r="QMY71" s="16"/>
      <c r="QMZ71" s="16"/>
      <c r="QNA71" s="16"/>
      <c r="QNB71" s="16"/>
      <c r="QNC71" s="16"/>
      <c r="QND71" s="16"/>
      <c r="QNE71" s="16"/>
      <c r="QNF71" s="16"/>
      <c r="QNG71" s="16"/>
      <c r="QNH71" s="16"/>
      <c r="QNI71" s="16"/>
      <c r="QNJ71" s="16"/>
      <c r="QNK71" s="16"/>
      <c r="QNL71" s="16"/>
      <c r="QNM71" s="16"/>
      <c r="QNN71" s="16"/>
      <c r="QNO71" s="16"/>
      <c r="QNP71" s="16"/>
      <c r="QNQ71" s="16"/>
      <c r="QNR71" s="16"/>
      <c r="QNS71" s="16"/>
      <c r="QNT71" s="16"/>
      <c r="QNU71" s="16"/>
      <c r="QNV71" s="16"/>
      <c r="QNW71" s="16"/>
      <c r="QNX71" s="16"/>
      <c r="QNY71" s="16"/>
      <c r="QNZ71" s="16"/>
      <c r="QOA71" s="16"/>
      <c r="QOB71" s="16"/>
      <c r="QOC71" s="16"/>
      <c r="QOD71" s="16"/>
      <c r="QOE71" s="16"/>
      <c r="QOF71" s="16"/>
      <c r="QOG71" s="16"/>
      <c r="QOH71" s="16"/>
      <c r="QOI71" s="16"/>
      <c r="QOJ71" s="16"/>
      <c r="QOK71" s="16"/>
      <c r="QOL71" s="16"/>
      <c r="QOM71" s="16"/>
      <c r="QON71" s="16"/>
      <c r="QOO71" s="16"/>
      <c r="QOP71" s="16"/>
      <c r="QOQ71" s="16"/>
      <c r="QOR71" s="16"/>
      <c r="QOS71" s="16"/>
      <c r="QOT71" s="16"/>
      <c r="QOU71" s="16"/>
      <c r="QOV71" s="16"/>
      <c r="QOW71" s="16"/>
      <c r="QOX71" s="16"/>
      <c r="QOY71" s="16"/>
      <c r="QOZ71" s="16"/>
      <c r="QPA71" s="16"/>
      <c r="QPB71" s="16"/>
      <c r="QPC71" s="16"/>
      <c r="QPD71" s="16"/>
      <c r="QPE71" s="16"/>
      <c r="QPF71" s="16"/>
      <c r="QPG71" s="16"/>
      <c r="QPH71" s="16"/>
      <c r="QPI71" s="16"/>
      <c r="QPJ71" s="16"/>
      <c r="QPK71" s="16"/>
      <c r="QPL71" s="16"/>
      <c r="QPM71" s="16"/>
      <c r="QPN71" s="16"/>
      <c r="QPO71" s="16"/>
      <c r="QPP71" s="16"/>
      <c r="QPQ71" s="16"/>
      <c r="QPR71" s="16"/>
      <c r="QPS71" s="16"/>
      <c r="QPT71" s="16"/>
      <c r="QPU71" s="16"/>
      <c r="QPV71" s="16"/>
      <c r="QPW71" s="16"/>
      <c r="QPX71" s="16"/>
      <c r="QPY71" s="16"/>
      <c r="QPZ71" s="16"/>
      <c r="QQA71" s="16"/>
      <c r="QQB71" s="16"/>
      <c r="QQC71" s="16"/>
      <c r="QQD71" s="16"/>
      <c r="QQE71" s="16"/>
      <c r="QQF71" s="16"/>
      <c r="QQG71" s="16"/>
      <c r="QQH71" s="16"/>
      <c r="QQI71" s="16"/>
      <c r="QQJ71" s="16"/>
      <c r="QQK71" s="16"/>
      <c r="QQL71" s="16"/>
      <c r="QQM71" s="16"/>
      <c r="QQN71" s="16"/>
      <c r="QQO71" s="16"/>
      <c r="QQP71" s="16"/>
      <c r="QQQ71" s="16"/>
      <c r="QQR71" s="16"/>
      <c r="QQS71" s="16"/>
      <c r="QQT71" s="16"/>
      <c r="QQU71" s="16"/>
      <c r="QQV71" s="16"/>
      <c r="QQW71" s="16"/>
      <c r="QQX71" s="16"/>
      <c r="QQY71" s="16"/>
      <c r="QQZ71" s="16"/>
      <c r="QRA71" s="16"/>
      <c r="QRB71" s="16"/>
      <c r="QRC71" s="16"/>
      <c r="QRD71" s="16"/>
      <c r="QRE71" s="16"/>
      <c r="QRF71" s="16"/>
      <c r="QRG71" s="16"/>
      <c r="QRH71" s="16"/>
      <c r="QRI71" s="16"/>
      <c r="QRJ71" s="16"/>
      <c r="QRK71" s="16"/>
      <c r="QRL71" s="16"/>
      <c r="QRM71" s="16"/>
      <c r="QRN71" s="16"/>
      <c r="QRO71" s="16"/>
      <c r="QRP71" s="16"/>
      <c r="QRQ71" s="16"/>
      <c r="QRR71" s="16"/>
      <c r="QRS71" s="16"/>
      <c r="QRT71" s="16"/>
      <c r="QRU71" s="16"/>
      <c r="QRV71" s="16"/>
      <c r="QRW71" s="16"/>
      <c r="QRX71" s="16"/>
      <c r="QRY71" s="16"/>
      <c r="QRZ71" s="16"/>
      <c r="QSA71" s="16"/>
      <c r="QSB71" s="16"/>
      <c r="QSC71" s="16"/>
      <c r="QSD71" s="16"/>
      <c r="QSE71" s="16"/>
      <c r="QSF71" s="16"/>
      <c r="QSG71" s="16"/>
      <c r="QSH71" s="16"/>
      <c r="QSI71" s="16"/>
      <c r="QSJ71" s="16"/>
      <c r="QSK71" s="16"/>
      <c r="QSL71" s="16"/>
      <c r="QSM71" s="16"/>
      <c r="QSN71" s="16"/>
      <c r="QSO71" s="16"/>
      <c r="QSP71" s="16"/>
      <c r="QSQ71" s="16"/>
      <c r="QSR71" s="16"/>
      <c r="QSS71" s="16"/>
      <c r="QST71" s="16"/>
      <c r="QSU71" s="16"/>
      <c r="QSV71" s="16"/>
      <c r="QSW71" s="16"/>
      <c r="QSX71" s="16"/>
      <c r="QSY71" s="16"/>
      <c r="QSZ71" s="16"/>
      <c r="QTA71" s="16"/>
      <c r="QTB71" s="16"/>
      <c r="QTC71" s="16"/>
      <c r="QTD71" s="16"/>
      <c r="QTE71" s="16"/>
      <c r="QTF71" s="16"/>
      <c r="QTG71" s="16"/>
      <c r="QTH71" s="16"/>
      <c r="QTI71" s="16"/>
      <c r="QTJ71" s="16"/>
      <c r="QTK71" s="16"/>
      <c r="QTL71" s="16"/>
      <c r="QTM71" s="16"/>
      <c r="QTN71" s="16"/>
      <c r="QTO71" s="16"/>
      <c r="QTP71" s="16"/>
      <c r="QTQ71" s="16"/>
      <c r="QTR71" s="16"/>
      <c r="QTS71" s="16"/>
      <c r="QTT71" s="16"/>
      <c r="QTU71" s="16"/>
      <c r="QTV71" s="16"/>
      <c r="QTW71" s="16"/>
      <c r="QTX71" s="16"/>
      <c r="QTY71" s="16"/>
      <c r="QTZ71" s="16"/>
      <c r="QUA71" s="16"/>
      <c r="QUB71" s="16"/>
      <c r="QUC71" s="16"/>
      <c r="QUD71" s="16"/>
      <c r="QUE71" s="16"/>
      <c r="QUF71" s="16"/>
      <c r="QUG71" s="16"/>
      <c r="QUH71" s="16"/>
      <c r="QUI71" s="16"/>
      <c r="QUJ71" s="16"/>
      <c r="QUK71" s="16"/>
      <c r="QUL71" s="16"/>
      <c r="QUM71" s="16"/>
      <c r="QUN71" s="16"/>
      <c r="QUO71" s="16"/>
      <c r="QUP71" s="16"/>
      <c r="QUQ71" s="16"/>
      <c r="QUR71" s="16"/>
      <c r="QUS71" s="16"/>
      <c r="QUT71" s="16"/>
      <c r="QUU71" s="16"/>
      <c r="QUV71" s="16"/>
      <c r="QUW71" s="16"/>
      <c r="QUX71" s="16"/>
      <c r="QUY71" s="16"/>
      <c r="QUZ71" s="16"/>
      <c r="QVA71" s="16"/>
      <c r="QVB71" s="16"/>
      <c r="QVC71" s="16"/>
      <c r="QVD71" s="16"/>
      <c r="QVE71" s="16"/>
      <c r="QVF71" s="16"/>
      <c r="QVG71" s="16"/>
      <c r="QVH71" s="16"/>
      <c r="QVI71" s="16"/>
      <c r="QVJ71" s="16"/>
      <c r="QVK71" s="16"/>
      <c r="QVL71" s="16"/>
      <c r="QVM71" s="16"/>
      <c r="QVN71" s="16"/>
      <c r="QVO71" s="16"/>
      <c r="QVP71" s="16"/>
      <c r="QVQ71" s="16"/>
      <c r="QVR71" s="16"/>
      <c r="QVS71" s="16"/>
      <c r="QVT71" s="16"/>
      <c r="QVU71" s="16"/>
      <c r="QVV71" s="16"/>
      <c r="QVW71" s="16"/>
      <c r="QVX71" s="16"/>
      <c r="QVY71" s="16"/>
      <c r="QVZ71" s="16"/>
      <c r="QWA71" s="16"/>
      <c r="QWB71" s="16"/>
      <c r="QWC71" s="16"/>
      <c r="QWD71" s="16"/>
      <c r="QWE71" s="16"/>
      <c r="QWF71" s="16"/>
      <c r="QWG71" s="16"/>
      <c r="QWH71" s="16"/>
      <c r="QWI71" s="16"/>
      <c r="QWJ71" s="16"/>
      <c r="QWK71" s="16"/>
      <c r="QWL71" s="16"/>
      <c r="QWM71" s="16"/>
      <c r="QWN71" s="16"/>
      <c r="QWO71" s="16"/>
      <c r="QWP71" s="16"/>
      <c r="QWQ71" s="16"/>
      <c r="QWR71" s="16"/>
      <c r="QWS71" s="16"/>
      <c r="QWT71" s="16"/>
      <c r="QWU71" s="16"/>
      <c r="QWV71" s="16"/>
      <c r="QWW71" s="16"/>
      <c r="QWX71" s="16"/>
      <c r="QWY71" s="16"/>
      <c r="QWZ71" s="16"/>
      <c r="QXA71" s="16"/>
      <c r="QXB71" s="16"/>
      <c r="QXC71" s="16"/>
      <c r="QXD71" s="16"/>
      <c r="QXE71" s="16"/>
      <c r="QXF71" s="16"/>
      <c r="QXG71" s="16"/>
      <c r="QXH71" s="16"/>
      <c r="QXI71" s="16"/>
      <c r="QXJ71" s="16"/>
      <c r="QXK71" s="16"/>
      <c r="QXL71" s="16"/>
      <c r="QXM71" s="16"/>
      <c r="QXN71" s="16"/>
      <c r="QXO71" s="16"/>
      <c r="QXP71" s="16"/>
      <c r="QXQ71" s="16"/>
      <c r="QXR71" s="16"/>
      <c r="QXS71" s="16"/>
      <c r="QXT71" s="16"/>
      <c r="QXU71" s="16"/>
      <c r="QXV71" s="16"/>
      <c r="QXW71" s="16"/>
      <c r="QXX71" s="16"/>
      <c r="QXY71" s="16"/>
      <c r="QXZ71" s="16"/>
      <c r="QYA71" s="16"/>
      <c r="QYB71" s="16"/>
      <c r="QYC71" s="16"/>
      <c r="QYD71" s="16"/>
      <c r="QYE71" s="16"/>
      <c r="QYF71" s="16"/>
      <c r="QYG71" s="16"/>
      <c r="QYH71" s="16"/>
      <c r="QYI71" s="16"/>
      <c r="QYJ71" s="16"/>
      <c r="QYK71" s="16"/>
      <c r="QYL71" s="16"/>
      <c r="QYM71" s="16"/>
      <c r="QYN71" s="16"/>
      <c r="QYO71" s="16"/>
      <c r="QYP71" s="16"/>
      <c r="QYQ71" s="16"/>
      <c r="QYR71" s="16"/>
      <c r="QYS71" s="16"/>
      <c r="QYT71" s="16"/>
      <c r="QYU71" s="16"/>
      <c r="QYV71" s="16"/>
      <c r="QYW71" s="16"/>
      <c r="QYX71" s="16"/>
      <c r="QYY71" s="16"/>
      <c r="QYZ71" s="16"/>
      <c r="QZA71" s="16"/>
      <c r="QZB71" s="16"/>
      <c r="QZC71" s="16"/>
      <c r="QZD71" s="16"/>
      <c r="QZE71" s="16"/>
      <c r="QZF71" s="16"/>
      <c r="QZG71" s="16"/>
      <c r="QZH71" s="16"/>
      <c r="QZI71" s="16"/>
      <c r="QZJ71" s="16"/>
      <c r="QZK71" s="16"/>
      <c r="QZL71" s="16"/>
      <c r="QZM71" s="16"/>
      <c r="QZN71" s="16"/>
      <c r="QZO71" s="16"/>
      <c r="QZP71" s="16"/>
      <c r="QZQ71" s="16"/>
      <c r="QZR71" s="16"/>
      <c r="QZS71" s="16"/>
      <c r="QZT71" s="16"/>
      <c r="QZU71" s="16"/>
      <c r="QZV71" s="16"/>
      <c r="QZW71" s="16"/>
      <c r="QZX71" s="16"/>
      <c r="QZY71" s="16"/>
      <c r="QZZ71" s="16"/>
      <c r="RAA71" s="16"/>
      <c r="RAB71" s="16"/>
      <c r="RAC71" s="16"/>
      <c r="RAD71" s="16"/>
      <c r="RAE71" s="16"/>
      <c r="RAF71" s="16"/>
      <c r="RAG71" s="16"/>
      <c r="RAH71" s="16"/>
      <c r="RAI71" s="16"/>
      <c r="RAJ71" s="16"/>
      <c r="RAK71" s="16"/>
      <c r="RAL71" s="16"/>
      <c r="RAM71" s="16"/>
      <c r="RAN71" s="16"/>
      <c r="RAO71" s="16"/>
      <c r="RAP71" s="16"/>
      <c r="RAQ71" s="16"/>
      <c r="RAR71" s="16"/>
      <c r="RAS71" s="16"/>
      <c r="RAT71" s="16"/>
      <c r="RAU71" s="16"/>
      <c r="RAV71" s="16"/>
      <c r="RAW71" s="16"/>
      <c r="RAX71" s="16"/>
      <c r="RAY71" s="16"/>
      <c r="RAZ71" s="16"/>
      <c r="RBA71" s="16"/>
      <c r="RBB71" s="16"/>
      <c r="RBC71" s="16"/>
      <c r="RBD71" s="16"/>
      <c r="RBE71" s="16"/>
      <c r="RBF71" s="16"/>
      <c r="RBG71" s="16"/>
      <c r="RBH71" s="16"/>
      <c r="RBI71" s="16"/>
      <c r="RBJ71" s="16"/>
      <c r="RBK71" s="16"/>
      <c r="RBL71" s="16"/>
      <c r="RBM71" s="16"/>
      <c r="RBN71" s="16"/>
      <c r="RBO71" s="16"/>
      <c r="RBP71" s="16"/>
      <c r="RBQ71" s="16"/>
      <c r="RBR71" s="16"/>
      <c r="RBS71" s="16"/>
      <c r="RBT71" s="16"/>
      <c r="RBU71" s="16"/>
      <c r="RBV71" s="16"/>
      <c r="RBW71" s="16"/>
      <c r="RBX71" s="16"/>
      <c r="RBY71" s="16"/>
      <c r="RBZ71" s="16"/>
      <c r="RCA71" s="16"/>
      <c r="RCB71" s="16"/>
      <c r="RCC71" s="16"/>
      <c r="RCD71" s="16"/>
      <c r="RCE71" s="16"/>
      <c r="RCF71" s="16"/>
      <c r="RCG71" s="16"/>
      <c r="RCH71" s="16"/>
      <c r="RCI71" s="16"/>
      <c r="RCJ71" s="16"/>
      <c r="RCK71" s="16"/>
      <c r="RCL71" s="16"/>
      <c r="RCM71" s="16"/>
      <c r="RCN71" s="16"/>
      <c r="RCO71" s="16"/>
      <c r="RCP71" s="16"/>
      <c r="RCQ71" s="16"/>
      <c r="RCR71" s="16"/>
      <c r="RCS71" s="16"/>
      <c r="RCT71" s="16"/>
      <c r="RCU71" s="16"/>
      <c r="RCV71" s="16"/>
      <c r="RCW71" s="16"/>
      <c r="RCX71" s="16"/>
      <c r="RCY71" s="16"/>
      <c r="RCZ71" s="16"/>
      <c r="RDA71" s="16"/>
      <c r="RDB71" s="16"/>
      <c r="RDC71" s="16"/>
      <c r="RDD71" s="16"/>
      <c r="RDE71" s="16"/>
      <c r="RDF71" s="16"/>
      <c r="RDG71" s="16"/>
      <c r="RDH71" s="16"/>
      <c r="RDI71" s="16"/>
      <c r="RDJ71" s="16"/>
      <c r="RDK71" s="16"/>
      <c r="RDL71" s="16"/>
      <c r="RDM71" s="16"/>
      <c r="RDN71" s="16"/>
      <c r="RDO71" s="16"/>
      <c r="RDP71" s="16"/>
      <c r="RDQ71" s="16"/>
      <c r="RDR71" s="16"/>
      <c r="RDS71" s="16"/>
      <c r="RDT71" s="16"/>
      <c r="RDU71" s="16"/>
      <c r="RDV71" s="16"/>
      <c r="RDW71" s="16"/>
      <c r="RDX71" s="16"/>
      <c r="RDY71" s="16"/>
      <c r="RDZ71" s="16"/>
      <c r="REA71" s="16"/>
      <c r="REB71" s="16"/>
      <c r="REC71" s="16"/>
      <c r="RED71" s="16"/>
      <c r="REE71" s="16"/>
      <c r="REF71" s="16"/>
      <c r="REG71" s="16"/>
      <c r="REH71" s="16"/>
      <c r="REI71" s="16"/>
      <c r="REJ71" s="16"/>
      <c r="REK71" s="16"/>
      <c r="REL71" s="16"/>
      <c r="REM71" s="16"/>
      <c r="REN71" s="16"/>
      <c r="REO71" s="16"/>
      <c r="REP71" s="16"/>
      <c r="REQ71" s="16"/>
      <c r="RER71" s="16"/>
      <c r="RES71" s="16"/>
      <c r="RET71" s="16"/>
      <c r="REU71" s="16"/>
      <c r="REV71" s="16"/>
      <c r="REW71" s="16"/>
      <c r="REX71" s="16"/>
      <c r="REY71" s="16"/>
      <c r="REZ71" s="16"/>
      <c r="RFA71" s="16"/>
      <c r="RFB71" s="16"/>
      <c r="RFC71" s="16"/>
      <c r="RFD71" s="16"/>
      <c r="RFE71" s="16"/>
      <c r="RFF71" s="16"/>
      <c r="RFG71" s="16"/>
      <c r="RFH71" s="16"/>
      <c r="RFI71" s="16"/>
      <c r="RFJ71" s="16"/>
      <c r="RFK71" s="16"/>
      <c r="RFL71" s="16"/>
      <c r="RFM71" s="16"/>
      <c r="RFN71" s="16"/>
      <c r="RFO71" s="16"/>
      <c r="RFP71" s="16"/>
      <c r="RFQ71" s="16"/>
      <c r="RFR71" s="16"/>
      <c r="RFS71" s="16"/>
      <c r="RFT71" s="16"/>
      <c r="RFU71" s="16"/>
      <c r="RFV71" s="16"/>
      <c r="RFW71" s="16"/>
      <c r="RFX71" s="16"/>
      <c r="RFY71" s="16"/>
      <c r="RFZ71" s="16"/>
      <c r="RGA71" s="16"/>
      <c r="RGB71" s="16"/>
      <c r="RGC71" s="16"/>
      <c r="RGD71" s="16"/>
      <c r="RGE71" s="16"/>
      <c r="RGF71" s="16"/>
      <c r="RGG71" s="16"/>
      <c r="RGH71" s="16"/>
      <c r="RGI71" s="16"/>
      <c r="RGJ71" s="16"/>
      <c r="RGK71" s="16"/>
      <c r="RGL71" s="16"/>
      <c r="RGM71" s="16"/>
      <c r="RGN71" s="16"/>
      <c r="RGO71" s="16"/>
      <c r="RGP71" s="16"/>
      <c r="RGQ71" s="16"/>
      <c r="RGR71" s="16"/>
      <c r="RGS71" s="16"/>
      <c r="RGT71" s="16"/>
      <c r="RGU71" s="16"/>
      <c r="RGV71" s="16"/>
      <c r="RGW71" s="16"/>
      <c r="RGX71" s="16"/>
      <c r="RGY71" s="16"/>
      <c r="RGZ71" s="16"/>
      <c r="RHA71" s="16"/>
      <c r="RHB71" s="16"/>
      <c r="RHC71" s="16"/>
      <c r="RHD71" s="16"/>
      <c r="RHE71" s="16"/>
      <c r="RHF71" s="16"/>
      <c r="RHG71" s="16"/>
      <c r="RHH71" s="16"/>
      <c r="RHI71" s="16"/>
      <c r="RHJ71" s="16"/>
      <c r="RHK71" s="16"/>
      <c r="RHL71" s="16"/>
      <c r="RHM71" s="16"/>
      <c r="RHN71" s="16"/>
      <c r="RHO71" s="16"/>
      <c r="RHP71" s="16"/>
      <c r="RHQ71" s="16"/>
      <c r="RHR71" s="16"/>
      <c r="RHS71" s="16"/>
      <c r="RHT71" s="16"/>
      <c r="RHU71" s="16"/>
      <c r="RHV71" s="16"/>
      <c r="RHW71" s="16"/>
      <c r="RHX71" s="16"/>
      <c r="RHY71" s="16"/>
      <c r="RHZ71" s="16"/>
      <c r="RIA71" s="16"/>
      <c r="RIB71" s="16"/>
      <c r="RIC71" s="16"/>
      <c r="RID71" s="16"/>
      <c r="RIE71" s="16"/>
      <c r="RIF71" s="16"/>
      <c r="RIG71" s="16"/>
      <c r="RIH71" s="16"/>
      <c r="RII71" s="16"/>
      <c r="RIJ71" s="16"/>
      <c r="RIK71" s="16"/>
      <c r="RIL71" s="16"/>
      <c r="RIM71" s="16"/>
      <c r="RIN71" s="16"/>
      <c r="RIO71" s="16"/>
      <c r="RIP71" s="16"/>
      <c r="RIQ71" s="16"/>
      <c r="RIR71" s="16"/>
      <c r="RIS71" s="16"/>
      <c r="RIT71" s="16"/>
      <c r="RIU71" s="16"/>
      <c r="RIV71" s="16"/>
      <c r="RIW71" s="16"/>
      <c r="RIX71" s="16"/>
      <c r="RIY71" s="16"/>
      <c r="RIZ71" s="16"/>
      <c r="RJA71" s="16"/>
      <c r="RJB71" s="16"/>
      <c r="RJC71" s="16"/>
      <c r="RJD71" s="16"/>
      <c r="RJE71" s="16"/>
      <c r="RJF71" s="16"/>
      <c r="RJG71" s="16"/>
      <c r="RJH71" s="16"/>
      <c r="RJI71" s="16"/>
      <c r="RJJ71" s="16"/>
      <c r="RJK71" s="16"/>
      <c r="RJL71" s="16"/>
      <c r="RJM71" s="16"/>
      <c r="RJN71" s="16"/>
      <c r="RJO71" s="16"/>
      <c r="RJP71" s="16"/>
      <c r="RJQ71" s="16"/>
      <c r="RJR71" s="16"/>
      <c r="RJS71" s="16"/>
      <c r="RJT71" s="16"/>
      <c r="RJU71" s="16"/>
      <c r="RJV71" s="16"/>
      <c r="RJW71" s="16"/>
      <c r="RJX71" s="16"/>
      <c r="RJY71" s="16"/>
      <c r="RJZ71" s="16"/>
      <c r="RKA71" s="16"/>
      <c r="RKB71" s="16"/>
      <c r="RKC71" s="16"/>
      <c r="RKD71" s="16"/>
      <c r="RKE71" s="16"/>
      <c r="RKF71" s="16"/>
      <c r="RKG71" s="16"/>
      <c r="RKH71" s="16"/>
      <c r="RKI71" s="16"/>
      <c r="RKJ71" s="16"/>
      <c r="RKK71" s="16"/>
      <c r="RKL71" s="16"/>
      <c r="RKM71" s="16"/>
      <c r="RKN71" s="16"/>
      <c r="RKO71" s="16"/>
      <c r="RKP71" s="16"/>
      <c r="RKQ71" s="16"/>
      <c r="RKR71" s="16"/>
      <c r="RKS71" s="16"/>
      <c r="RKT71" s="16"/>
      <c r="RKU71" s="16"/>
      <c r="RKV71" s="16"/>
      <c r="RKW71" s="16"/>
      <c r="RKX71" s="16"/>
      <c r="RKY71" s="16"/>
      <c r="RKZ71" s="16"/>
      <c r="RLA71" s="16"/>
      <c r="RLB71" s="16"/>
      <c r="RLC71" s="16"/>
      <c r="RLD71" s="16"/>
      <c r="RLE71" s="16"/>
      <c r="RLF71" s="16"/>
      <c r="RLG71" s="16"/>
      <c r="RLH71" s="16"/>
      <c r="RLI71" s="16"/>
      <c r="RLJ71" s="16"/>
      <c r="RLK71" s="16"/>
      <c r="RLL71" s="16"/>
      <c r="RLM71" s="16"/>
      <c r="RLN71" s="16"/>
      <c r="RLO71" s="16"/>
      <c r="RLP71" s="16"/>
      <c r="RLQ71" s="16"/>
      <c r="RLR71" s="16"/>
      <c r="RLS71" s="16"/>
      <c r="RLT71" s="16"/>
      <c r="RLU71" s="16"/>
      <c r="RLV71" s="16"/>
      <c r="RLW71" s="16"/>
      <c r="RLX71" s="16"/>
      <c r="RLY71" s="16"/>
      <c r="RLZ71" s="16"/>
      <c r="RMA71" s="16"/>
      <c r="RMB71" s="16"/>
      <c r="RMC71" s="16"/>
      <c r="RMD71" s="16"/>
      <c r="RME71" s="16"/>
      <c r="RMF71" s="16"/>
      <c r="RMG71" s="16"/>
      <c r="RMH71" s="16"/>
      <c r="RMI71" s="16"/>
      <c r="RMJ71" s="16"/>
      <c r="RMK71" s="16"/>
      <c r="RML71" s="16"/>
      <c r="RMM71" s="16"/>
      <c r="RMN71" s="16"/>
      <c r="RMO71" s="16"/>
      <c r="RMP71" s="16"/>
      <c r="RMQ71" s="16"/>
      <c r="RMR71" s="16"/>
      <c r="RMS71" s="16"/>
      <c r="RMT71" s="16"/>
      <c r="RMU71" s="16"/>
      <c r="RMV71" s="16"/>
      <c r="RMW71" s="16"/>
      <c r="RMX71" s="16"/>
      <c r="RMY71" s="16"/>
      <c r="RMZ71" s="16"/>
      <c r="RNA71" s="16"/>
      <c r="RNB71" s="16"/>
      <c r="RNC71" s="16"/>
      <c r="RND71" s="16"/>
      <c r="RNE71" s="16"/>
      <c r="RNF71" s="16"/>
      <c r="RNG71" s="16"/>
      <c r="RNH71" s="16"/>
      <c r="RNI71" s="16"/>
      <c r="RNJ71" s="16"/>
      <c r="RNK71" s="16"/>
      <c r="RNL71" s="16"/>
      <c r="RNM71" s="16"/>
      <c r="RNN71" s="16"/>
      <c r="RNO71" s="16"/>
      <c r="RNP71" s="16"/>
      <c r="RNQ71" s="16"/>
      <c r="RNR71" s="16"/>
      <c r="RNS71" s="16"/>
      <c r="RNT71" s="16"/>
      <c r="RNU71" s="16"/>
      <c r="RNV71" s="16"/>
      <c r="RNW71" s="16"/>
      <c r="RNX71" s="16"/>
      <c r="RNY71" s="16"/>
      <c r="RNZ71" s="16"/>
      <c r="ROA71" s="16"/>
      <c r="ROB71" s="16"/>
      <c r="ROC71" s="16"/>
      <c r="ROD71" s="16"/>
      <c r="ROE71" s="16"/>
      <c r="ROF71" s="16"/>
      <c r="ROG71" s="16"/>
      <c r="ROH71" s="16"/>
      <c r="ROI71" s="16"/>
      <c r="ROJ71" s="16"/>
      <c r="ROK71" s="16"/>
      <c r="ROL71" s="16"/>
      <c r="ROM71" s="16"/>
      <c r="RON71" s="16"/>
      <c r="ROO71" s="16"/>
      <c r="ROP71" s="16"/>
      <c r="ROQ71" s="16"/>
      <c r="ROR71" s="16"/>
      <c r="ROS71" s="16"/>
      <c r="ROT71" s="16"/>
      <c r="ROU71" s="16"/>
      <c r="ROV71" s="16"/>
      <c r="ROW71" s="16"/>
      <c r="ROX71" s="16"/>
      <c r="ROY71" s="16"/>
      <c r="ROZ71" s="16"/>
      <c r="RPA71" s="16"/>
      <c r="RPB71" s="16"/>
      <c r="RPC71" s="16"/>
      <c r="RPD71" s="16"/>
      <c r="RPE71" s="16"/>
      <c r="RPF71" s="16"/>
      <c r="RPG71" s="16"/>
      <c r="RPH71" s="16"/>
      <c r="RPI71" s="16"/>
      <c r="RPJ71" s="16"/>
      <c r="RPK71" s="16"/>
      <c r="RPL71" s="16"/>
      <c r="RPM71" s="16"/>
      <c r="RPN71" s="16"/>
      <c r="RPO71" s="16"/>
      <c r="RPP71" s="16"/>
      <c r="RPQ71" s="16"/>
      <c r="RPR71" s="16"/>
      <c r="RPS71" s="16"/>
      <c r="RPT71" s="16"/>
      <c r="RPU71" s="16"/>
      <c r="RPV71" s="16"/>
      <c r="RPW71" s="16"/>
      <c r="RPX71" s="16"/>
      <c r="RPY71" s="16"/>
      <c r="RPZ71" s="16"/>
      <c r="RQA71" s="16"/>
      <c r="RQB71" s="16"/>
      <c r="RQC71" s="16"/>
      <c r="RQD71" s="16"/>
      <c r="RQE71" s="16"/>
      <c r="RQF71" s="16"/>
      <c r="RQG71" s="16"/>
      <c r="RQH71" s="16"/>
      <c r="RQI71" s="16"/>
      <c r="RQJ71" s="16"/>
      <c r="RQK71" s="16"/>
      <c r="RQL71" s="16"/>
      <c r="RQM71" s="16"/>
      <c r="RQN71" s="16"/>
      <c r="RQO71" s="16"/>
      <c r="RQP71" s="16"/>
      <c r="RQQ71" s="16"/>
      <c r="RQR71" s="16"/>
      <c r="RQS71" s="16"/>
      <c r="RQT71" s="16"/>
      <c r="RQU71" s="16"/>
      <c r="RQV71" s="16"/>
      <c r="RQW71" s="16"/>
      <c r="RQX71" s="16"/>
      <c r="RQY71" s="16"/>
      <c r="RQZ71" s="16"/>
      <c r="RRA71" s="16"/>
      <c r="RRB71" s="16"/>
      <c r="RRC71" s="16"/>
      <c r="RRD71" s="16"/>
      <c r="RRE71" s="16"/>
      <c r="RRF71" s="16"/>
      <c r="RRG71" s="16"/>
      <c r="RRH71" s="16"/>
      <c r="RRI71" s="16"/>
      <c r="RRJ71" s="16"/>
      <c r="RRK71" s="16"/>
      <c r="RRL71" s="16"/>
      <c r="RRM71" s="16"/>
      <c r="RRN71" s="16"/>
      <c r="RRO71" s="16"/>
      <c r="RRP71" s="16"/>
      <c r="RRQ71" s="16"/>
      <c r="RRR71" s="16"/>
      <c r="RRS71" s="16"/>
      <c r="RRT71" s="16"/>
      <c r="RRU71" s="16"/>
      <c r="RRV71" s="16"/>
      <c r="RRW71" s="16"/>
      <c r="RRX71" s="16"/>
      <c r="RRY71" s="16"/>
      <c r="RRZ71" s="16"/>
      <c r="RSA71" s="16"/>
      <c r="RSB71" s="16"/>
      <c r="RSC71" s="16"/>
      <c r="RSD71" s="16"/>
      <c r="RSE71" s="16"/>
      <c r="RSF71" s="16"/>
      <c r="RSG71" s="16"/>
      <c r="RSH71" s="16"/>
      <c r="RSI71" s="16"/>
      <c r="RSJ71" s="16"/>
      <c r="RSK71" s="16"/>
      <c r="RSL71" s="16"/>
      <c r="RSM71" s="16"/>
      <c r="RSN71" s="16"/>
      <c r="RSO71" s="16"/>
      <c r="RSP71" s="16"/>
      <c r="RSQ71" s="16"/>
      <c r="RSR71" s="16"/>
      <c r="RSS71" s="16"/>
      <c r="RST71" s="16"/>
      <c r="RSU71" s="16"/>
      <c r="RSV71" s="16"/>
      <c r="RSW71" s="16"/>
      <c r="RSX71" s="16"/>
      <c r="RSY71" s="16"/>
      <c r="RSZ71" s="16"/>
      <c r="RTA71" s="16"/>
      <c r="RTB71" s="16"/>
      <c r="RTC71" s="16"/>
      <c r="RTD71" s="16"/>
      <c r="RTE71" s="16"/>
      <c r="RTF71" s="16"/>
      <c r="RTG71" s="16"/>
      <c r="RTH71" s="16"/>
      <c r="RTI71" s="16"/>
      <c r="RTJ71" s="16"/>
      <c r="RTK71" s="16"/>
      <c r="RTL71" s="16"/>
      <c r="RTM71" s="16"/>
      <c r="RTN71" s="16"/>
      <c r="RTO71" s="16"/>
      <c r="RTP71" s="16"/>
      <c r="RTQ71" s="16"/>
      <c r="RTR71" s="16"/>
      <c r="RTS71" s="16"/>
      <c r="RTT71" s="16"/>
      <c r="RTU71" s="16"/>
      <c r="RTV71" s="16"/>
      <c r="RTW71" s="16"/>
      <c r="RTX71" s="16"/>
      <c r="RTY71" s="16"/>
      <c r="RTZ71" s="16"/>
      <c r="RUA71" s="16"/>
      <c r="RUB71" s="16"/>
      <c r="RUC71" s="16"/>
      <c r="RUD71" s="16"/>
      <c r="RUE71" s="16"/>
      <c r="RUF71" s="16"/>
      <c r="RUG71" s="16"/>
      <c r="RUH71" s="16"/>
      <c r="RUI71" s="16"/>
      <c r="RUJ71" s="16"/>
      <c r="RUK71" s="16"/>
      <c r="RUL71" s="16"/>
      <c r="RUM71" s="16"/>
      <c r="RUN71" s="16"/>
      <c r="RUO71" s="16"/>
      <c r="RUP71" s="16"/>
      <c r="RUQ71" s="16"/>
      <c r="RUR71" s="16"/>
      <c r="RUS71" s="16"/>
      <c r="RUT71" s="16"/>
      <c r="RUU71" s="16"/>
      <c r="RUV71" s="16"/>
      <c r="RUW71" s="16"/>
      <c r="RUX71" s="16"/>
      <c r="RUY71" s="16"/>
      <c r="RUZ71" s="16"/>
      <c r="RVA71" s="16"/>
      <c r="RVB71" s="16"/>
      <c r="RVC71" s="16"/>
      <c r="RVD71" s="16"/>
      <c r="RVE71" s="16"/>
      <c r="RVF71" s="16"/>
      <c r="RVG71" s="16"/>
      <c r="RVH71" s="16"/>
      <c r="RVI71" s="16"/>
      <c r="RVJ71" s="16"/>
      <c r="RVK71" s="16"/>
      <c r="RVL71" s="16"/>
      <c r="RVM71" s="16"/>
      <c r="RVN71" s="16"/>
      <c r="RVO71" s="16"/>
      <c r="RVP71" s="16"/>
      <c r="RVQ71" s="16"/>
      <c r="RVR71" s="16"/>
      <c r="RVS71" s="16"/>
      <c r="RVT71" s="16"/>
      <c r="RVU71" s="16"/>
      <c r="RVV71" s="16"/>
      <c r="RVW71" s="16"/>
      <c r="RVX71" s="16"/>
      <c r="RVY71" s="16"/>
      <c r="RVZ71" s="16"/>
      <c r="RWA71" s="16"/>
      <c r="RWB71" s="16"/>
      <c r="RWC71" s="16"/>
      <c r="RWD71" s="16"/>
      <c r="RWE71" s="16"/>
      <c r="RWF71" s="16"/>
      <c r="RWG71" s="16"/>
      <c r="RWH71" s="16"/>
      <c r="RWI71" s="16"/>
      <c r="RWJ71" s="16"/>
      <c r="RWK71" s="16"/>
      <c r="RWL71" s="16"/>
      <c r="RWM71" s="16"/>
      <c r="RWN71" s="16"/>
      <c r="RWO71" s="16"/>
      <c r="RWP71" s="16"/>
      <c r="RWQ71" s="16"/>
      <c r="RWR71" s="16"/>
      <c r="RWS71" s="16"/>
      <c r="RWT71" s="16"/>
      <c r="RWU71" s="16"/>
      <c r="RWV71" s="16"/>
      <c r="RWW71" s="16"/>
      <c r="RWX71" s="16"/>
      <c r="RWY71" s="16"/>
      <c r="RWZ71" s="16"/>
      <c r="RXA71" s="16"/>
      <c r="RXB71" s="16"/>
      <c r="RXC71" s="16"/>
      <c r="RXD71" s="16"/>
      <c r="RXE71" s="16"/>
      <c r="RXF71" s="16"/>
      <c r="RXG71" s="16"/>
      <c r="RXH71" s="16"/>
      <c r="RXI71" s="16"/>
      <c r="RXJ71" s="16"/>
      <c r="RXK71" s="16"/>
      <c r="RXL71" s="16"/>
      <c r="RXM71" s="16"/>
      <c r="RXN71" s="16"/>
      <c r="RXO71" s="16"/>
      <c r="RXP71" s="16"/>
      <c r="RXQ71" s="16"/>
      <c r="RXR71" s="16"/>
      <c r="RXS71" s="16"/>
      <c r="RXT71" s="16"/>
      <c r="RXU71" s="16"/>
      <c r="RXV71" s="16"/>
      <c r="RXW71" s="16"/>
      <c r="RXX71" s="16"/>
      <c r="RXY71" s="16"/>
      <c r="RXZ71" s="16"/>
      <c r="RYA71" s="16"/>
      <c r="RYB71" s="16"/>
      <c r="RYC71" s="16"/>
      <c r="RYD71" s="16"/>
      <c r="RYE71" s="16"/>
      <c r="RYF71" s="16"/>
      <c r="RYG71" s="16"/>
      <c r="RYH71" s="16"/>
      <c r="RYI71" s="16"/>
      <c r="RYJ71" s="16"/>
      <c r="RYK71" s="16"/>
      <c r="RYL71" s="16"/>
      <c r="RYM71" s="16"/>
      <c r="RYN71" s="16"/>
      <c r="RYO71" s="16"/>
      <c r="RYP71" s="16"/>
      <c r="RYQ71" s="16"/>
      <c r="RYR71" s="16"/>
      <c r="RYS71" s="16"/>
      <c r="RYT71" s="16"/>
      <c r="RYU71" s="16"/>
      <c r="RYV71" s="16"/>
      <c r="RYW71" s="16"/>
      <c r="RYX71" s="16"/>
      <c r="RYY71" s="16"/>
      <c r="RYZ71" s="16"/>
      <c r="RZA71" s="16"/>
      <c r="RZB71" s="16"/>
      <c r="RZC71" s="16"/>
      <c r="RZD71" s="16"/>
      <c r="RZE71" s="16"/>
      <c r="RZF71" s="16"/>
      <c r="RZG71" s="16"/>
      <c r="RZH71" s="16"/>
      <c r="RZI71" s="16"/>
      <c r="RZJ71" s="16"/>
      <c r="RZK71" s="16"/>
      <c r="RZL71" s="16"/>
      <c r="RZM71" s="16"/>
      <c r="RZN71" s="16"/>
      <c r="RZO71" s="16"/>
      <c r="RZP71" s="16"/>
      <c r="RZQ71" s="16"/>
      <c r="RZR71" s="16"/>
      <c r="RZS71" s="16"/>
      <c r="RZT71" s="16"/>
      <c r="RZU71" s="16"/>
      <c r="RZV71" s="16"/>
      <c r="RZW71" s="16"/>
      <c r="RZX71" s="16"/>
      <c r="RZY71" s="16"/>
      <c r="RZZ71" s="16"/>
      <c r="SAA71" s="16"/>
      <c r="SAB71" s="16"/>
      <c r="SAC71" s="16"/>
      <c r="SAD71" s="16"/>
      <c r="SAE71" s="16"/>
      <c r="SAF71" s="16"/>
      <c r="SAG71" s="16"/>
      <c r="SAH71" s="16"/>
      <c r="SAI71" s="16"/>
      <c r="SAJ71" s="16"/>
      <c r="SAK71" s="16"/>
      <c r="SAL71" s="16"/>
      <c r="SAM71" s="16"/>
      <c r="SAN71" s="16"/>
      <c r="SAO71" s="16"/>
      <c r="SAP71" s="16"/>
      <c r="SAQ71" s="16"/>
      <c r="SAR71" s="16"/>
      <c r="SAS71" s="16"/>
      <c r="SAT71" s="16"/>
      <c r="SAU71" s="16"/>
      <c r="SAV71" s="16"/>
      <c r="SAW71" s="16"/>
      <c r="SAX71" s="16"/>
      <c r="SAY71" s="16"/>
      <c r="SAZ71" s="16"/>
      <c r="SBA71" s="16"/>
      <c r="SBB71" s="16"/>
      <c r="SBC71" s="16"/>
      <c r="SBD71" s="16"/>
      <c r="SBE71" s="16"/>
      <c r="SBF71" s="16"/>
      <c r="SBG71" s="16"/>
      <c r="SBH71" s="16"/>
      <c r="SBI71" s="16"/>
      <c r="SBJ71" s="16"/>
      <c r="SBK71" s="16"/>
      <c r="SBL71" s="16"/>
      <c r="SBM71" s="16"/>
      <c r="SBN71" s="16"/>
      <c r="SBO71" s="16"/>
      <c r="SBP71" s="16"/>
      <c r="SBQ71" s="16"/>
      <c r="SBR71" s="16"/>
      <c r="SBS71" s="16"/>
      <c r="SBT71" s="16"/>
      <c r="SBU71" s="16"/>
      <c r="SBV71" s="16"/>
      <c r="SBW71" s="16"/>
      <c r="SBX71" s="16"/>
      <c r="SBY71" s="16"/>
      <c r="SBZ71" s="16"/>
      <c r="SCA71" s="16"/>
      <c r="SCB71" s="16"/>
      <c r="SCC71" s="16"/>
      <c r="SCD71" s="16"/>
      <c r="SCE71" s="16"/>
      <c r="SCF71" s="16"/>
      <c r="SCG71" s="16"/>
      <c r="SCH71" s="16"/>
      <c r="SCI71" s="16"/>
      <c r="SCJ71" s="16"/>
      <c r="SCK71" s="16"/>
      <c r="SCL71" s="16"/>
      <c r="SCM71" s="16"/>
      <c r="SCN71" s="16"/>
      <c r="SCO71" s="16"/>
      <c r="SCP71" s="16"/>
      <c r="SCQ71" s="16"/>
      <c r="SCR71" s="16"/>
      <c r="SCS71" s="16"/>
      <c r="SCT71" s="16"/>
      <c r="SCU71" s="16"/>
      <c r="SCV71" s="16"/>
      <c r="SCW71" s="16"/>
      <c r="SCX71" s="16"/>
      <c r="SCY71" s="16"/>
      <c r="SCZ71" s="16"/>
      <c r="SDA71" s="16"/>
      <c r="SDB71" s="16"/>
      <c r="SDC71" s="16"/>
      <c r="SDD71" s="16"/>
      <c r="SDE71" s="16"/>
      <c r="SDF71" s="16"/>
      <c r="SDG71" s="16"/>
      <c r="SDH71" s="16"/>
      <c r="SDI71" s="16"/>
      <c r="SDJ71" s="16"/>
      <c r="SDK71" s="16"/>
      <c r="SDL71" s="16"/>
      <c r="SDM71" s="16"/>
      <c r="SDN71" s="16"/>
      <c r="SDO71" s="16"/>
      <c r="SDP71" s="16"/>
      <c r="SDQ71" s="16"/>
      <c r="SDR71" s="16"/>
      <c r="SDS71" s="16"/>
      <c r="SDT71" s="16"/>
      <c r="SDU71" s="16"/>
      <c r="SDV71" s="16"/>
      <c r="SDW71" s="16"/>
      <c r="SDX71" s="16"/>
      <c r="SDY71" s="16"/>
      <c r="SDZ71" s="16"/>
      <c r="SEA71" s="16"/>
      <c r="SEB71" s="16"/>
      <c r="SEC71" s="16"/>
      <c r="SED71" s="16"/>
      <c r="SEE71" s="16"/>
      <c r="SEF71" s="16"/>
      <c r="SEG71" s="16"/>
      <c r="SEH71" s="16"/>
      <c r="SEI71" s="16"/>
      <c r="SEJ71" s="16"/>
      <c r="SEK71" s="16"/>
      <c r="SEL71" s="16"/>
      <c r="SEM71" s="16"/>
      <c r="SEN71" s="16"/>
      <c r="SEO71" s="16"/>
      <c r="SEP71" s="16"/>
      <c r="SEQ71" s="16"/>
      <c r="SER71" s="16"/>
      <c r="SES71" s="16"/>
      <c r="SET71" s="16"/>
      <c r="SEU71" s="16"/>
      <c r="SEV71" s="16"/>
      <c r="SEW71" s="16"/>
      <c r="SEX71" s="16"/>
      <c r="SEY71" s="16"/>
      <c r="SEZ71" s="16"/>
      <c r="SFA71" s="16"/>
      <c r="SFB71" s="16"/>
      <c r="SFC71" s="16"/>
      <c r="SFD71" s="16"/>
      <c r="SFE71" s="16"/>
      <c r="SFF71" s="16"/>
      <c r="SFG71" s="16"/>
      <c r="SFH71" s="16"/>
      <c r="SFI71" s="16"/>
      <c r="SFJ71" s="16"/>
      <c r="SFK71" s="16"/>
      <c r="SFL71" s="16"/>
      <c r="SFM71" s="16"/>
      <c r="SFN71" s="16"/>
      <c r="SFO71" s="16"/>
      <c r="SFP71" s="16"/>
      <c r="SFQ71" s="16"/>
      <c r="SFR71" s="16"/>
      <c r="SFS71" s="16"/>
      <c r="SFT71" s="16"/>
      <c r="SFU71" s="16"/>
      <c r="SFV71" s="16"/>
      <c r="SFW71" s="16"/>
      <c r="SFX71" s="16"/>
      <c r="SFY71" s="16"/>
      <c r="SFZ71" s="16"/>
      <c r="SGA71" s="16"/>
      <c r="SGB71" s="16"/>
      <c r="SGC71" s="16"/>
      <c r="SGD71" s="16"/>
      <c r="SGE71" s="16"/>
      <c r="SGF71" s="16"/>
      <c r="SGG71" s="16"/>
      <c r="SGH71" s="16"/>
      <c r="SGI71" s="16"/>
      <c r="SGJ71" s="16"/>
      <c r="SGK71" s="16"/>
      <c r="SGL71" s="16"/>
      <c r="SGM71" s="16"/>
      <c r="SGN71" s="16"/>
      <c r="SGO71" s="16"/>
      <c r="SGP71" s="16"/>
      <c r="SGQ71" s="16"/>
      <c r="SGR71" s="16"/>
      <c r="SGS71" s="16"/>
      <c r="SGT71" s="16"/>
      <c r="SGU71" s="16"/>
      <c r="SGV71" s="16"/>
      <c r="SGW71" s="16"/>
      <c r="SGX71" s="16"/>
      <c r="SGY71" s="16"/>
      <c r="SGZ71" s="16"/>
      <c r="SHA71" s="16"/>
      <c r="SHB71" s="16"/>
      <c r="SHC71" s="16"/>
      <c r="SHD71" s="16"/>
      <c r="SHE71" s="16"/>
      <c r="SHF71" s="16"/>
      <c r="SHG71" s="16"/>
      <c r="SHH71" s="16"/>
      <c r="SHI71" s="16"/>
      <c r="SHJ71" s="16"/>
      <c r="SHK71" s="16"/>
      <c r="SHL71" s="16"/>
      <c r="SHM71" s="16"/>
      <c r="SHN71" s="16"/>
      <c r="SHO71" s="16"/>
      <c r="SHP71" s="16"/>
      <c r="SHQ71" s="16"/>
      <c r="SHR71" s="16"/>
      <c r="SHS71" s="16"/>
      <c r="SHT71" s="16"/>
      <c r="SHU71" s="16"/>
      <c r="SHV71" s="16"/>
      <c r="SHW71" s="16"/>
      <c r="SHX71" s="16"/>
      <c r="SHY71" s="16"/>
      <c r="SHZ71" s="16"/>
      <c r="SIA71" s="16"/>
      <c r="SIB71" s="16"/>
      <c r="SIC71" s="16"/>
      <c r="SID71" s="16"/>
      <c r="SIE71" s="16"/>
      <c r="SIF71" s="16"/>
      <c r="SIG71" s="16"/>
      <c r="SIH71" s="16"/>
      <c r="SII71" s="16"/>
      <c r="SIJ71" s="16"/>
      <c r="SIK71" s="16"/>
      <c r="SIL71" s="16"/>
      <c r="SIM71" s="16"/>
      <c r="SIN71" s="16"/>
      <c r="SIO71" s="16"/>
      <c r="SIP71" s="16"/>
      <c r="SIQ71" s="16"/>
      <c r="SIR71" s="16"/>
      <c r="SIS71" s="16"/>
      <c r="SIT71" s="16"/>
      <c r="SIU71" s="16"/>
      <c r="SIV71" s="16"/>
      <c r="SIW71" s="16"/>
      <c r="SIX71" s="16"/>
      <c r="SIY71" s="16"/>
      <c r="SIZ71" s="16"/>
      <c r="SJA71" s="16"/>
      <c r="SJB71" s="16"/>
      <c r="SJC71" s="16"/>
      <c r="SJD71" s="16"/>
      <c r="SJE71" s="16"/>
      <c r="SJF71" s="16"/>
      <c r="SJG71" s="16"/>
      <c r="SJH71" s="16"/>
      <c r="SJI71" s="16"/>
      <c r="SJJ71" s="16"/>
      <c r="SJK71" s="16"/>
      <c r="SJL71" s="16"/>
      <c r="SJM71" s="16"/>
      <c r="SJN71" s="16"/>
      <c r="SJO71" s="16"/>
      <c r="SJP71" s="16"/>
      <c r="SJQ71" s="16"/>
      <c r="SJR71" s="16"/>
      <c r="SJS71" s="16"/>
      <c r="SJT71" s="16"/>
      <c r="SJU71" s="16"/>
      <c r="SJV71" s="16"/>
      <c r="SJW71" s="16"/>
      <c r="SJX71" s="16"/>
      <c r="SJY71" s="16"/>
      <c r="SJZ71" s="16"/>
      <c r="SKA71" s="16"/>
      <c r="SKB71" s="16"/>
      <c r="SKC71" s="16"/>
      <c r="SKD71" s="16"/>
      <c r="SKE71" s="16"/>
      <c r="SKF71" s="16"/>
      <c r="SKG71" s="16"/>
      <c r="SKH71" s="16"/>
      <c r="SKI71" s="16"/>
      <c r="SKJ71" s="16"/>
      <c r="SKK71" s="16"/>
      <c r="SKL71" s="16"/>
      <c r="SKM71" s="16"/>
      <c r="SKN71" s="16"/>
      <c r="SKO71" s="16"/>
      <c r="SKP71" s="16"/>
      <c r="SKQ71" s="16"/>
      <c r="SKR71" s="16"/>
      <c r="SKS71" s="16"/>
      <c r="SKT71" s="16"/>
      <c r="SKU71" s="16"/>
      <c r="SKV71" s="16"/>
      <c r="SKW71" s="16"/>
      <c r="SKX71" s="16"/>
      <c r="SKY71" s="16"/>
      <c r="SKZ71" s="16"/>
      <c r="SLA71" s="16"/>
      <c r="SLB71" s="16"/>
      <c r="SLC71" s="16"/>
      <c r="SLD71" s="16"/>
      <c r="SLE71" s="16"/>
      <c r="SLF71" s="16"/>
      <c r="SLG71" s="16"/>
      <c r="SLH71" s="16"/>
      <c r="SLI71" s="16"/>
      <c r="SLJ71" s="16"/>
      <c r="SLK71" s="16"/>
      <c r="SLL71" s="16"/>
      <c r="SLM71" s="16"/>
      <c r="SLN71" s="16"/>
      <c r="SLO71" s="16"/>
      <c r="SLP71" s="16"/>
      <c r="SLQ71" s="16"/>
      <c r="SLR71" s="16"/>
      <c r="SLS71" s="16"/>
      <c r="SLT71" s="16"/>
      <c r="SLU71" s="16"/>
      <c r="SLV71" s="16"/>
      <c r="SLW71" s="16"/>
      <c r="SLX71" s="16"/>
      <c r="SLY71" s="16"/>
      <c r="SLZ71" s="16"/>
      <c r="SMA71" s="16"/>
      <c r="SMB71" s="16"/>
      <c r="SMC71" s="16"/>
      <c r="SMD71" s="16"/>
      <c r="SME71" s="16"/>
      <c r="SMF71" s="16"/>
      <c r="SMG71" s="16"/>
      <c r="SMH71" s="16"/>
      <c r="SMI71" s="16"/>
      <c r="SMJ71" s="16"/>
      <c r="SMK71" s="16"/>
      <c r="SML71" s="16"/>
      <c r="SMM71" s="16"/>
      <c r="SMN71" s="16"/>
      <c r="SMO71" s="16"/>
      <c r="SMP71" s="16"/>
      <c r="SMQ71" s="16"/>
      <c r="SMR71" s="16"/>
      <c r="SMS71" s="16"/>
      <c r="SMT71" s="16"/>
      <c r="SMU71" s="16"/>
      <c r="SMV71" s="16"/>
      <c r="SMW71" s="16"/>
      <c r="SMX71" s="16"/>
      <c r="SMY71" s="16"/>
      <c r="SMZ71" s="16"/>
      <c r="SNA71" s="16"/>
      <c r="SNB71" s="16"/>
      <c r="SNC71" s="16"/>
      <c r="SND71" s="16"/>
      <c r="SNE71" s="16"/>
      <c r="SNF71" s="16"/>
      <c r="SNG71" s="16"/>
      <c r="SNH71" s="16"/>
      <c r="SNI71" s="16"/>
      <c r="SNJ71" s="16"/>
      <c r="SNK71" s="16"/>
      <c r="SNL71" s="16"/>
      <c r="SNM71" s="16"/>
      <c r="SNN71" s="16"/>
      <c r="SNO71" s="16"/>
      <c r="SNP71" s="16"/>
      <c r="SNQ71" s="16"/>
      <c r="SNR71" s="16"/>
      <c r="SNS71" s="16"/>
      <c r="SNT71" s="16"/>
      <c r="SNU71" s="16"/>
      <c r="SNV71" s="16"/>
      <c r="SNW71" s="16"/>
      <c r="SNX71" s="16"/>
      <c r="SNY71" s="16"/>
      <c r="SNZ71" s="16"/>
      <c r="SOA71" s="16"/>
      <c r="SOB71" s="16"/>
      <c r="SOC71" s="16"/>
      <c r="SOD71" s="16"/>
      <c r="SOE71" s="16"/>
      <c r="SOF71" s="16"/>
      <c r="SOG71" s="16"/>
      <c r="SOH71" s="16"/>
      <c r="SOI71" s="16"/>
      <c r="SOJ71" s="16"/>
      <c r="SOK71" s="16"/>
      <c r="SOL71" s="16"/>
      <c r="SOM71" s="16"/>
      <c r="SON71" s="16"/>
      <c r="SOO71" s="16"/>
      <c r="SOP71" s="16"/>
      <c r="SOQ71" s="16"/>
      <c r="SOR71" s="16"/>
      <c r="SOS71" s="16"/>
      <c r="SOT71" s="16"/>
      <c r="SOU71" s="16"/>
      <c r="SOV71" s="16"/>
      <c r="SOW71" s="16"/>
      <c r="SOX71" s="16"/>
      <c r="SOY71" s="16"/>
      <c r="SOZ71" s="16"/>
      <c r="SPA71" s="16"/>
      <c r="SPB71" s="16"/>
      <c r="SPC71" s="16"/>
      <c r="SPD71" s="16"/>
      <c r="SPE71" s="16"/>
      <c r="SPF71" s="16"/>
      <c r="SPG71" s="16"/>
      <c r="SPH71" s="16"/>
      <c r="SPI71" s="16"/>
      <c r="SPJ71" s="16"/>
      <c r="SPK71" s="16"/>
      <c r="SPL71" s="16"/>
      <c r="SPM71" s="16"/>
      <c r="SPN71" s="16"/>
      <c r="SPO71" s="16"/>
      <c r="SPP71" s="16"/>
      <c r="SPQ71" s="16"/>
      <c r="SPR71" s="16"/>
      <c r="SPS71" s="16"/>
      <c r="SPT71" s="16"/>
      <c r="SPU71" s="16"/>
      <c r="SPV71" s="16"/>
      <c r="SPW71" s="16"/>
      <c r="SPX71" s="16"/>
      <c r="SPY71" s="16"/>
      <c r="SPZ71" s="16"/>
      <c r="SQA71" s="16"/>
      <c r="SQB71" s="16"/>
      <c r="SQC71" s="16"/>
      <c r="SQD71" s="16"/>
      <c r="SQE71" s="16"/>
      <c r="SQF71" s="16"/>
      <c r="SQG71" s="16"/>
      <c r="SQH71" s="16"/>
      <c r="SQI71" s="16"/>
      <c r="SQJ71" s="16"/>
      <c r="SQK71" s="16"/>
      <c r="SQL71" s="16"/>
      <c r="SQM71" s="16"/>
      <c r="SQN71" s="16"/>
      <c r="SQO71" s="16"/>
      <c r="SQP71" s="16"/>
      <c r="SQQ71" s="16"/>
      <c r="SQR71" s="16"/>
      <c r="SQS71" s="16"/>
      <c r="SQT71" s="16"/>
      <c r="SQU71" s="16"/>
      <c r="SQV71" s="16"/>
      <c r="SQW71" s="16"/>
      <c r="SQX71" s="16"/>
      <c r="SQY71" s="16"/>
      <c r="SQZ71" s="16"/>
      <c r="SRA71" s="16"/>
      <c r="SRB71" s="16"/>
      <c r="SRC71" s="16"/>
      <c r="SRD71" s="16"/>
      <c r="SRE71" s="16"/>
      <c r="SRF71" s="16"/>
      <c r="SRG71" s="16"/>
      <c r="SRH71" s="16"/>
      <c r="SRI71" s="16"/>
      <c r="SRJ71" s="16"/>
      <c r="SRK71" s="16"/>
      <c r="SRL71" s="16"/>
      <c r="SRM71" s="16"/>
      <c r="SRN71" s="16"/>
      <c r="SRO71" s="16"/>
      <c r="SRP71" s="16"/>
      <c r="SRQ71" s="16"/>
      <c r="SRR71" s="16"/>
      <c r="SRS71" s="16"/>
      <c r="SRT71" s="16"/>
      <c r="SRU71" s="16"/>
      <c r="SRV71" s="16"/>
      <c r="SRW71" s="16"/>
      <c r="SRX71" s="16"/>
      <c r="SRY71" s="16"/>
      <c r="SRZ71" s="16"/>
      <c r="SSA71" s="16"/>
      <c r="SSB71" s="16"/>
      <c r="SSC71" s="16"/>
      <c r="SSD71" s="16"/>
      <c r="SSE71" s="16"/>
      <c r="SSF71" s="16"/>
      <c r="SSG71" s="16"/>
      <c r="SSH71" s="16"/>
      <c r="SSI71" s="16"/>
      <c r="SSJ71" s="16"/>
      <c r="SSK71" s="16"/>
      <c r="SSL71" s="16"/>
      <c r="SSM71" s="16"/>
      <c r="SSN71" s="16"/>
      <c r="SSO71" s="16"/>
      <c r="SSP71" s="16"/>
      <c r="SSQ71" s="16"/>
      <c r="SSR71" s="16"/>
      <c r="SSS71" s="16"/>
      <c r="SST71" s="16"/>
      <c r="SSU71" s="16"/>
      <c r="SSV71" s="16"/>
      <c r="SSW71" s="16"/>
      <c r="SSX71" s="16"/>
      <c r="SSY71" s="16"/>
      <c r="SSZ71" s="16"/>
      <c r="STA71" s="16"/>
      <c r="STB71" s="16"/>
      <c r="STC71" s="16"/>
      <c r="STD71" s="16"/>
      <c r="STE71" s="16"/>
      <c r="STF71" s="16"/>
      <c r="STG71" s="16"/>
      <c r="STH71" s="16"/>
      <c r="STI71" s="16"/>
      <c r="STJ71" s="16"/>
      <c r="STK71" s="16"/>
      <c r="STL71" s="16"/>
      <c r="STM71" s="16"/>
      <c r="STN71" s="16"/>
      <c r="STO71" s="16"/>
      <c r="STP71" s="16"/>
      <c r="STQ71" s="16"/>
      <c r="STR71" s="16"/>
      <c r="STS71" s="16"/>
      <c r="STT71" s="16"/>
      <c r="STU71" s="16"/>
      <c r="STV71" s="16"/>
      <c r="STW71" s="16"/>
      <c r="STX71" s="16"/>
      <c r="STY71" s="16"/>
      <c r="STZ71" s="16"/>
      <c r="SUA71" s="16"/>
      <c r="SUB71" s="16"/>
      <c r="SUC71" s="16"/>
      <c r="SUD71" s="16"/>
      <c r="SUE71" s="16"/>
      <c r="SUF71" s="16"/>
      <c r="SUG71" s="16"/>
      <c r="SUH71" s="16"/>
      <c r="SUI71" s="16"/>
      <c r="SUJ71" s="16"/>
      <c r="SUK71" s="16"/>
      <c r="SUL71" s="16"/>
      <c r="SUM71" s="16"/>
      <c r="SUN71" s="16"/>
      <c r="SUO71" s="16"/>
      <c r="SUP71" s="16"/>
      <c r="SUQ71" s="16"/>
      <c r="SUR71" s="16"/>
      <c r="SUS71" s="16"/>
      <c r="SUT71" s="16"/>
      <c r="SUU71" s="16"/>
      <c r="SUV71" s="16"/>
      <c r="SUW71" s="16"/>
      <c r="SUX71" s="16"/>
      <c r="SUY71" s="16"/>
      <c r="SUZ71" s="16"/>
      <c r="SVA71" s="16"/>
      <c r="SVB71" s="16"/>
      <c r="SVC71" s="16"/>
      <c r="SVD71" s="16"/>
      <c r="SVE71" s="16"/>
      <c r="SVF71" s="16"/>
      <c r="SVG71" s="16"/>
      <c r="SVH71" s="16"/>
      <c r="SVI71" s="16"/>
      <c r="SVJ71" s="16"/>
      <c r="SVK71" s="16"/>
      <c r="SVL71" s="16"/>
      <c r="SVM71" s="16"/>
      <c r="SVN71" s="16"/>
      <c r="SVO71" s="16"/>
      <c r="SVP71" s="16"/>
      <c r="SVQ71" s="16"/>
      <c r="SVR71" s="16"/>
      <c r="SVS71" s="16"/>
      <c r="SVT71" s="16"/>
      <c r="SVU71" s="16"/>
      <c r="SVV71" s="16"/>
      <c r="SVW71" s="16"/>
      <c r="SVX71" s="16"/>
      <c r="SVY71" s="16"/>
      <c r="SVZ71" s="16"/>
      <c r="SWA71" s="16"/>
      <c r="SWB71" s="16"/>
      <c r="SWC71" s="16"/>
      <c r="SWD71" s="16"/>
      <c r="SWE71" s="16"/>
      <c r="SWF71" s="16"/>
      <c r="SWG71" s="16"/>
      <c r="SWH71" s="16"/>
      <c r="SWI71" s="16"/>
      <c r="SWJ71" s="16"/>
      <c r="SWK71" s="16"/>
      <c r="SWL71" s="16"/>
      <c r="SWM71" s="16"/>
      <c r="SWN71" s="16"/>
      <c r="SWO71" s="16"/>
      <c r="SWP71" s="16"/>
      <c r="SWQ71" s="16"/>
      <c r="SWR71" s="16"/>
      <c r="SWS71" s="16"/>
      <c r="SWT71" s="16"/>
      <c r="SWU71" s="16"/>
      <c r="SWV71" s="16"/>
      <c r="SWW71" s="16"/>
      <c r="SWX71" s="16"/>
      <c r="SWY71" s="16"/>
      <c r="SWZ71" s="16"/>
      <c r="SXA71" s="16"/>
      <c r="SXB71" s="16"/>
      <c r="SXC71" s="16"/>
      <c r="SXD71" s="16"/>
      <c r="SXE71" s="16"/>
      <c r="SXF71" s="16"/>
      <c r="SXG71" s="16"/>
      <c r="SXH71" s="16"/>
      <c r="SXI71" s="16"/>
      <c r="SXJ71" s="16"/>
      <c r="SXK71" s="16"/>
      <c r="SXL71" s="16"/>
      <c r="SXM71" s="16"/>
      <c r="SXN71" s="16"/>
      <c r="SXO71" s="16"/>
      <c r="SXP71" s="16"/>
      <c r="SXQ71" s="16"/>
      <c r="SXR71" s="16"/>
      <c r="SXS71" s="16"/>
      <c r="SXT71" s="16"/>
      <c r="SXU71" s="16"/>
      <c r="SXV71" s="16"/>
      <c r="SXW71" s="16"/>
      <c r="SXX71" s="16"/>
      <c r="SXY71" s="16"/>
      <c r="SXZ71" s="16"/>
      <c r="SYA71" s="16"/>
      <c r="SYB71" s="16"/>
      <c r="SYC71" s="16"/>
      <c r="SYD71" s="16"/>
      <c r="SYE71" s="16"/>
      <c r="SYF71" s="16"/>
      <c r="SYG71" s="16"/>
      <c r="SYH71" s="16"/>
      <c r="SYI71" s="16"/>
      <c r="SYJ71" s="16"/>
      <c r="SYK71" s="16"/>
      <c r="SYL71" s="16"/>
      <c r="SYM71" s="16"/>
      <c r="SYN71" s="16"/>
      <c r="SYO71" s="16"/>
      <c r="SYP71" s="16"/>
      <c r="SYQ71" s="16"/>
      <c r="SYR71" s="16"/>
      <c r="SYS71" s="16"/>
      <c r="SYT71" s="16"/>
      <c r="SYU71" s="16"/>
      <c r="SYV71" s="16"/>
      <c r="SYW71" s="16"/>
      <c r="SYX71" s="16"/>
      <c r="SYY71" s="16"/>
      <c r="SYZ71" s="16"/>
      <c r="SZA71" s="16"/>
      <c r="SZB71" s="16"/>
      <c r="SZC71" s="16"/>
      <c r="SZD71" s="16"/>
      <c r="SZE71" s="16"/>
      <c r="SZF71" s="16"/>
      <c r="SZG71" s="16"/>
      <c r="SZH71" s="16"/>
      <c r="SZI71" s="16"/>
      <c r="SZJ71" s="16"/>
      <c r="SZK71" s="16"/>
      <c r="SZL71" s="16"/>
      <c r="SZM71" s="16"/>
      <c r="SZN71" s="16"/>
      <c r="SZO71" s="16"/>
      <c r="SZP71" s="16"/>
      <c r="SZQ71" s="16"/>
      <c r="SZR71" s="16"/>
      <c r="SZS71" s="16"/>
      <c r="SZT71" s="16"/>
      <c r="SZU71" s="16"/>
      <c r="SZV71" s="16"/>
      <c r="SZW71" s="16"/>
      <c r="SZX71" s="16"/>
      <c r="SZY71" s="16"/>
      <c r="SZZ71" s="16"/>
      <c r="TAA71" s="16"/>
      <c r="TAB71" s="16"/>
      <c r="TAC71" s="16"/>
      <c r="TAD71" s="16"/>
      <c r="TAE71" s="16"/>
      <c r="TAF71" s="16"/>
      <c r="TAG71" s="16"/>
      <c r="TAH71" s="16"/>
      <c r="TAI71" s="16"/>
      <c r="TAJ71" s="16"/>
      <c r="TAK71" s="16"/>
      <c r="TAL71" s="16"/>
      <c r="TAM71" s="16"/>
      <c r="TAN71" s="16"/>
      <c r="TAO71" s="16"/>
      <c r="TAP71" s="16"/>
      <c r="TAQ71" s="16"/>
      <c r="TAR71" s="16"/>
      <c r="TAS71" s="16"/>
      <c r="TAT71" s="16"/>
      <c r="TAU71" s="16"/>
      <c r="TAV71" s="16"/>
      <c r="TAW71" s="16"/>
      <c r="TAX71" s="16"/>
      <c r="TAY71" s="16"/>
      <c r="TAZ71" s="16"/>
      <c r="TBA71" s="16"/>
      <c r="TBB71" s="16"/>
      <c r="TBC71" s="16"/>
      <c r="TBD71" s="16"/>
      <c r="TBE71" s="16"/>
      <c r="TBF71" s="16"/>
      <c r="TBG71" s="16"/>
      <c r="TBH71" s="16"/>
      <c r="TBI71" s="16"/>
      <c r="TBJ71" s="16"/>
      <c r="TBK71" s="16"/>
      <c r="TBL71" s="16"/>
      <c r="TBM71" s="16"/>
      <c r="TBN71" s="16"/>
      <c r="TBO71" s="16"/>
      <c r="TBP71" s="16"/>
      <c r="TBQ71" s="16"/>
      <c r="TBR71" s="16"/>
      <c r="TBS71" s="16"/>
      <c r="TBT71" s="16"/>
      <c r="TBU71" s="16"/>
      <c r="TBV71" s="16"/>
      <c r="TBW71" s="16"/>
      <c r="TBX71" s="16"/>
      <c r="TBY71" s="16"/>
      <c r="TBZ71" s="16"/>
      <c r="TCA71" s="16"/>
      <c r="TCB71" s="16"/>
      <c r="TCC71" s="16"/>
      <c r="TCD71" s="16"/>
      <c r="TCE71" s="16"/>
      <c r="TCF71" s="16"/>
      <c r="TCG71" s="16"/>
      <c r="TCH71" s="16"/>
      <c r="TCI71" s="16"/>
      <c r="TCJ71" s="16"/>
      <c r="TCK71" s="16"/>
      <c r="TCL71" s="16"/>
      <c r="TCM71" s="16"/>
      <c r="TCN71" s="16"/>
      <c r="TCO71" s="16"/>
      <c r="TCP71" s="16"/>
      <c r="TCQ71" s="16"/>
      <c r="TCR71" s="16"/>
      <c r="TCS71" s="16"/>
      <c r="TCT71" s="16"/>
      <c r="TCU71" s="16"/>
      <c r="TCV71" s="16"/>
      <c r="TCW71" s="16"/>
      <c r="TCX71" s="16"/>
      <c r="TCY71" s="16"/>
      <c r="TCZ71" s="16"/>
      <c r="TDA71" s="16"/>
      <c r="TDB71" s="16"/>
      <c r="TDC71" s="16"/>
      <c r="TDD71" s="16"/>
      <c r="TDE71" s="16"/>
      <c r="TDF71" s="16"/>
      <c r="TDG71" s="16"/>
      <c r="TDH71" s="16"/>
      <c r="TDI71" s="16"/>
      <c r="TDJ71" s="16"/>
      <c r="TDK71" s="16"/>
      <c r="TDL71" s="16"/>
      <c r="TDM71" s="16"/>
      <c r="TDN71" s="16"/>
      <c r="TDO71" s="16"/>
      <c r="TDP71" s="16"/>
      <c r="TDQ71" s="16"/>
      <c r="TDR71" s="16"/>
      <c r="TDS71" s="16"/>
      <c r="TDT71" s="16"/>
      <c r="TDU71" s="16"/>
      <c r="TDV71" s="16"/>
      <c r="TDW71" s="16"/>
      <c r="TDX71" s="16"/>
      <c r="TDY71" s="16"/>
      <c r="TDZ71" s="16"/>
      <c r="TEA71" s="16"/>
      <c r="TEB71" s="16"/>
      <c r="TEC71" s="16"/>
      <c r="TED71" s="16"/>
      <c r="TEE71" s="16"/>
      <c r="TEF71" s="16"/>
      <c r="TEG71" s="16"/>
      <c r="TEH71" s="16"/>
      <c r="TEI71" s="16"/>
      <c r="TEJ71" s="16"/>
      <c r="TEK71" s="16"/>
      <c r="TEL71" s="16"/>
      <c r="TEM71" s="16"/>
      <c r="TEN71" s="16"/>
      <c r="TEO71" s="16"/>
      <c r="TEP71" s="16"/>
      <c r="TEQ71" s="16"/>
      <c r="TER71" s="16"/>
      <c r="TES71" s="16"/>
      <c r="TET71" s="16"/>
      <c r="TEU71" s="16"/>
      <c r="TEV71" s="16"/>
      <c r="TEW71" s="16"/>
      <c r="TEX71" s="16"/>
      <c r="TEY71" s="16"/>
      <c r="TEZ71" s="16"/>
      <c r="TFA71" s="16"/>
      <c r="TFB71" s="16"/>
      <c r="TFC71" s="16"/>
      <c r="TFD71" s="16"/>
      <c r="TFE71" s="16"/>
      <c r="TFF71" s="16"/>
      <c r="TFG71" s="16"/>
      <c r="TFH71" s="16"/>
      <c r="TFI71" s="16"/>
      <c r="TFJ71" s="16"/>
      <c r="TFK71" s="16"/>
      <c r="TFL71" s="16"/>
      <c r="TFM71" s="16"/>
      <c r="TFN71" s="16"/>
      <c r="TFO71" s="16"/>
      <c r="TFP71" s="16"/>
      <c r="TFQ71" s="16"/>
      <c r="TFR71" s="16"/>
      <c r="TFS71" s="16"/>
      <c r="TFT71" s="16"/>
      <c r="TFU71" s="16"/>
      <c r="TFV71" s="16"/>
      <c r="TFW71" s="16"/>
      <c r="TFX71" s="16"/>
      <c r="TFY71" s="16"/>
      <c r="TFZ71" s="16"/>
      <c r="TGA71" s="16"/>
      <c r="TGB71" s="16"/>
      <c r="TGC71" s="16"/>
      <c r="TGD71" s="16"/>
      <c r="TGE71" s="16"/>
      <c r="TGF71" s="16"/>
      <c r="TGG71" s="16"/>
      <c r="TGH71" s="16"/>
      <c r="TGI71" s="16"/>
      <c r="TGJ71" s="16"/>
      <c r="TGK71" s="16"/>
      <c r="TGL71" s="16"/>
      <c r="TGM71" s="16"/>
      <c r="TGN71" s="16"/>
      <c r="TGO71" s="16"/>
      <c r="TGP71" s="16"/>
      <c r="TGQ71" s="16"/>
      <c r="TGR71" s="16"/>
      <c r="TGS71" s="16"/>
      <c r="TGT71" s="16"/>
      <c r="TGU71" s="16"/>
      <c r="TGV71" s="16"/>
      <c r="TGW71" s="16"/>
      <c r="TGX71" s="16"/>
      <c r="TGY71" s="16"/>
      <c r="TGZ71" s="16"/>
      <c r="THA71" s="16"/>
      <c r="THB71" s="16"/>
      <c r="THC71" s="16"/>
      <c r="THD71" s="16"/>
      <c r="THE71" s="16"/>
      <c r="THF71" s="16"/>
      <c r="THG71" s="16"/>
      <c r="THH71" s="16"/>
      <c r="THI71" s="16"/>
      <c r="THJ71" s="16"/>
      <c r="THK71" s="16"/>
      <c r="THL71" s="16"/>
      <c r="THM71" s="16"/>
      <c r="THN71" s="16"/>
      <c r="THO71" s="16"/>
      <c r="THP71" s="16"/>
      <c r="THQ71" s="16"/>
      <c r="THR71" s="16"/>
      <c r="THS71" s="16"/>
      <c r="THT71" s="16"/>
      <c r="THU71" s="16"/>
      <c r="THV71" s="16"/>
      <c r="THW71" s="16"/>
      <c r="THX71" s="16"/>
      <c r="THY71" s="16"/>
      <c r="THZ71" s="16"/>
      <c r="TIA71" s="16"/>
      <c r="TIB71" s="16"/>
      <c r="TIC71" s="16"/>
      <c r="TID71" s="16"/>
      <c r="TIE71" s="16"/>
      <c r="TIF71" s="16"/>
      <c r="TIG71" s="16"/>
      <c r="TIH71" s="16"/>
      <c r="TII71" s="16"/>
      <c r="TIJ71" s="16"/>
      <c r="TIK71" s="16"/>
      <c r="TIL71" s="16"/>
      <c r="TIM71" s="16"/>
      <c r="TIN71" s="16"/>
      <c r="TIO71" s="16"/>
      <c r="TIP71" s="16"/>
      <c r="TIQ71" s="16"/>
      <c r="TIR71" s="16"/>
      <c r="TIS71" s="16"/>
      <c r="TIT71" s="16"/>
      <c r="TIU71" s="16"/>
      <c r="TIV71" s="16"/>
      <c r="TIW71" s="16"/>
      <c r="TIX71" s="16"/>
      <c r="TIY71" s="16"/>
      <c r="TIZ71" s="16"/>
      <c r="TJA71" s="16"/>
      <c r="TJB71" s="16"/>
      <c r="TJC71" s="16"/>
      <c r="TJD71" s="16"/>
      <c r="TJE71" s="16"/>
      <c r="TJF71" s="16"/>
      <c r="TJG71" s="16"/>
      <c r="TJH71" s="16"/>
      <c r="TJI71" s="16"/>
      <c r="TJJ71" s="16"/>
      <c r="TJK71" s="16"/>
      <c r="TJL71" s="16"/>
      <c r="TJM71" s="16"/>
      <c r="TJN71" s="16"/>
      <c r="TJO71" s="16"/>
      <c r="TJP71" s="16"/>
      <c r="TJQ71" s="16"/>
      <c r="TJR71" s="16"/>
      <c r="TJS71" s="16"/>
      <c r="TJT71" s="16"/>
      <c r="TJU71" s="16"/>
      <c r="TJV71" s="16"/>
      <c r="TJW71" s="16"/>
      <c r="TJX71" s="16"/>
      <c r="TJY71" s="16"/>
      <c r="TJZ71" s="16"/>
      <c r="TKA71" s="16"/>
      <c r="TKB71" s="16"/>
      <c r="TKC71" s="16"/>
      <c r="TKD71" s="16"/>
      <c r="TKE71" s="16"/>
      <c r="TKF71" s="16"/>
      <c r="TKG71" s="16"/>
      <c r="TKH71" s="16"/>
      <c r="TKI71" s="16"/>
      <c r="TKJ71" s="16"/>
      <c r="TKK71" s="16"/>
      <c r="TKL71" s="16"/>
      <c r="TKM71" s="16"/>
      <c r="TKN71" s="16"/>
      <c r="TKO71" s="16"/>
      <c r="TKP71" s="16"/>
      <c r="TKQ71" s="16"/>
      <c r="TKR71" s="16"/>
      <c r="TKS71" s="16"/>
      <c r="TKT71" s="16"/>
      <c r="TKU71" s="16"/>
      <c r="TKV71" s="16"/>
      <c r="TKW71" s="16"/>
      <c r="TKX71" s="16"/>
      <c r="TKY71" s="16"/>
      <c r="TKZ71" s="16"/>
      <c r="TLA71" s="16"/>
      <c r="TLB71" s="16"/>
      <c r="TLC71" s="16"/>
      <c r="TLD71" s="16"/>
      <c r="TLE71" s="16"/>
      <c r="TLF71" s="16"/>
      <c r="TLG71" s="16"/>
      <c r="TLH71" s="16"/>
      <c r="TLI71" s="16"/>
      <c r="TLJ71" s="16"/>
      <c r="TLK71" s="16"/>
      <c r="TLL71" s="16"/>
      <c r="TLM71" s="16"/>
      <c r="TLN71" s="16"/>
      <c r="TLO71" s="16"/>
      <c r="TLP71" s="16"/>
      <c r="TLQ71" s="16"/>
      <c r="TLR71" s="16"/>
      <c r="TLS71" s="16"/>
      <c r="TLT71" s="16"/>
      <c r="TLU71" s="16"/>
      <c r="TLV71" s="16"/>
      <c r="TLW71" s="16"/>
      <c r="TLX71" s="16"/>
      <c r="TLY71" s="16"/>
      <c r="TLZ71" s="16"/>
      <c r="TMA71" s="16"/>
      <c r="TMB71" s="16"/>
      <c r="TMC71" s="16"/>
      <c r="TMD71" s="16"/>
      <c r="TME71" s="16"/>
      <c r="TMF71" s="16"/>
      <c r="TMG71" s="16"/>
      <c r="TMH71" s="16"/>
      <c r="TMI71" s="16"/>
      <c r="TMJ71" s="16"/>
      <c r="TMK71" s="16"/>
      <c r="TML71" s="16"/>
      <c r="TMM71" s="16"/>
      <c r="TMN71" s="16"/>
      <c r="TMO71" s="16"/>
      <c r="TMP71" s="16"/>
      <c r="TMQ71" s="16"/>
      <c r="TMR71" s="16"/>
      <c r="TMS71" s="16"/>
      <c r="TMT71" s="16"/>
      <c r="TMU71" s="16"/>
      <c r="TMV71" s="16"/>
      <c r="TMW71" s="16"/>
      <c r="TMX71" s="16"/>
      <c r="TMY71" s="16"/>
      <c r="TMZ71" s="16"/>
      <c r="TNA71" s="16"/>
      <c r="TNB71" s="16"/>
      <c r="TNC71" s="16"/>
      <c r="TND71" s="16"/>
      <c r="TNE71" s="16"/>
      <c r="TNF71" s="16"/>
      <c r="TNG71" s="16"/>
      <c r="TNH71" s="16"/>
      <c r="TNI71" s="16"/>
      <c r="TNJ71" s="16"/>
      <c r="TNK71" s="16"/>
      <c r="TNL71" s="16"/>
      <c r="TNM71" s="16"/>
      <c r="TNN71" s="16"/>
      <c r="TNO71" s="16"/>
      <c r="TNP71" s="16"/>
      <c r="TNQ71" s="16"/>
      <c r="TNR71" s="16"/>
      <c r="TNS71" s="16"/>
      <c r="TNT71" s="16"/>
      <c r="TNU71" s="16"/>
      <c r="TNV71" s="16"/>
      <c r="TNW71" s="16"/>
      <c r="TNX71" s="16"/>
      <c r="TNY71" s="16"/>
      <c r="TNZ71" s="16"/>
      <c r="TOA71" s="16"/>
      <c r="TOB71" s="16"/>
      <c r="TOC71" s="16"/>
      <c r="TOD71" s="16"/>
      <c r="TOE71" s="16"/>
      <c r="TOF71" s="16"/>
      <c r="TOG71" s="16"/>
      <c r="TOH71" s="16"/>
      <c r="TOI71" s="16"/>
      <c r="TOJ71" s="16"/>
      <c r="TOK71" s="16"/>
      <c r="TOL71" s="16"/>
      <c r="TOM71" s="16"/>
      <c r="TON71" s="16"/>
      <c r="TOO71" s="16"/>
      <c r="TOP71" s="16"/>
      <c r="TOQ71" s="16"/>
      <c r="TOR71" s="16"/>
      <c r="TOS71" s="16"/>
      <c r="TOT71" s="16"/>
      <c r="TOU71" s="16"/>
      <c r="TOV71" s="16"/>
      <c r="TOW71" s="16"/>
      <c r="TOX71" s="16"/>
      <c r="TOY71" s="16"/>
      <c r="TOZ71" s="16"/>
      <c r="TPA71" s="16"/>
      <c r="TPB71" s="16"/>
      <c r="TPC71" s="16"/>
      <c r="TPD71" s="16"/>
      <c r="TPE71" s="16"/>
      <c r="TPF71" s="16"/>
      <c r="TPG71" s="16"/>
      <c r="TPH71" s="16"/>
      <c r="TPI71" s="16"/>
      <c r="TPJ71" s="16"/>
      <c r="TPK71" s="16"/>
      <c r="TPL71" s="16"/>
      <c r="TPM71" s="16"/>
      <c r="TPN71" s="16"/>
      <c r="TPO71" s="16"/>
      <c r="TPP71" s="16"/>
      <c r="TPQ71" s="16"/>
      <c r="TPR71" s="16"/>
      <c r="TPS71" s="16"/>
      <c r="TPT71" s="16"/>
      <c r="TPU71" s="16"/>
      <c r="TPV71" s="16"/>
      <c r="TPW71" s="16"/>
      <c r="TPX71" s="16"/>
      <c r="TPY71" s="16"/>
      <c r="TPZ71" s="16"/>
      <c r="TQA71" s="16"/>
      <c r="TQB71" s="16"/>
      <c r="TQC71" s="16"/>
      <c r="TQD71" s="16"/>
      <c r="TQE71" s="16"/>
      <c r="TQF71" s="16"/>
      <c r="TQG71" s="16"/>
      <c r="TQH71" s="16"/>
      <c r="TQI71" s="16"/>
      <c r="TQJ71" s="16"/>
      <c r="TQK71" s="16"/>
      <c r="TQL71" s="16"/>
      <c r="TQM71" s="16"/>
      <c r="TQN71" s="16"/>
      <c r="TQO71" s="16"/>
      <c r="TQP71" s="16"/>
      <c r="TQQ71" s="16"/>
      <c r="TQR71" s="16"/>
      <c r="TQS71" s="16"/>
      <c r="TQT71" s="16"/>
      <c r="TQU71" s="16"/>
      <c r="TQV71" s="16"/>
      <c r="TQW71" s="16"/>
      <c r="TQX71" s="16"/>
      <c r="TQY71" s="16"/>
      <c r="TQZ71" s="16"/>
      <c r="TRA71" s="16"/>
      <c r="TRB71" s="16"/>
      <c r="TRC71" s="16"/>
      <c r="TRD71" s="16"/>
      <c r="TRE71" s="16"/>
      <c r="TRF71" s="16"/>
      <c r="TRG71" s="16"/>
      <c r="TRH71" s="16"/>
      <c r="TRI71" s="16"/>
      <c r="TRJ71" s="16"/>
      <c r="TRK71" s="16"/>
      <c r="TRL71" s="16"/>
      <c r="TRM71" s="16"/>
      <c r="TRN71" s="16"/>
      <c r="TRO71" s="16"/>
      <c r="TRP71" s="16"/>
      <c r="TRQ71" s="16"/>
      <c r="TRR71" s="16"/>
      <c r="TRS71" s="16"/>
      <c r="TRT71" s="16"/>
      <c r="TRU71" s="16"/>
      <c r="TRV71" s="16"/>
      <c r="TRW71" s="16"/>
      <c r="TRX71" s="16"/>
      <c r="TRY71" s="16"/>
      <c r="TRZ71" s="16"/>
      <c r="TSA71" s="16"/>
      <c r="TSB71" s="16"/>
      <c r="TSC71" s="16"/>
      <c r="TSD71" s="16"/>
      <c r="TSE71" s="16"/>
      <c r="TSF71" s="16"/>
      <c r="TSG71" s="16"/>
      <c r="TSH71" s="16"/>
      <c r="TSI71" s="16"/>
      <c r="TSJ71" s="16"/>
      <c r="TSK71" s="16"/>
      <c r="TSL71" s="16"/>
      <c r="TSM71" s="16"/>
      <c r="TSN71" s="16"/>
      <c r="TSO71" s="16"/>
      <c r="TSP71" s="16"/>
      <c r="TSQ71" s="16"/>
      <c r="TSR71" s="16"/>
      <c r="TSS71" s="16"/>
      <c r="TST71" s="16"/>
      <c r="TSU71" s="16"/>
      <c r="TSV71" s="16"/>
      <c r="TSW71" s="16"/>
      <c r="TSX71" s="16"/>
      <c r="TSY71" s="16"/>
      <c r="TSZ71" s="16"/>
      <c r="TTA71" s="16"/>
      <c r="TTB71" s="16"/>
      <c r="TTC71" s="16"/>
      <c r="TTD71" s="16"/>
      <c r="TTE71" s="16"/>
      <c r="TTF71" s="16"/>
      <c r="TTG71" s="16"/>
      <c r="TTH71" s="16"/>
      <c r="TTI71" s="16"/>
      <c r="TTJ71" s="16"/>
      <c r="TTK71" s="16"/>
      <c r="TTL71" s="16"/>
      <c r="TTM71" s="16"/>
      <c r="TTN71" s="16"/>
      <c r="TTO71" s="16"/>
      <c r="TTP71" s="16"/>
      <c r="TTQ71" s="16"/>
      <c r="TTR71" s="16"/>
      <c r="TTS71" s="16"/>
      <c r="TTT71" s="16"/>
      <c r="TTU71" s="16"/>
      <c r="TTV71" s="16"/>
      <c r="TTW71" s="16"/>
      <c r="TTX71" s="16"/>
      <c r="TTY71" s="16"/>
      <c r="TTZ71" s="16"/>
      <c r="TUA71" s="16"/>
      <c r="TUB71" s="16"/>
      <c r="TUC71" s="16"/>
      <c r="TUD71" s="16"/>
      <c r="TUE71" s="16"/>
      <c r="TUF71" s="16"/>
      <c r="TUG71" s="16"/>
      <c r="TUH71" s="16"/>
      <c r="TUI71" s="16"/>
      <c r="TUJ71" s="16"/>
      <c r="TUK71" s="16"/>
      <c r="TUL71" s="16"/>
      <c r="TUM71" s="16"/>
      <c r="TUN71" s="16"/>
      <c r="TUO71" s="16"/>
      <c r="TUP71" s="16"/>
      <c r="TUQ71" s="16"/>
      <c r="TUR71" s="16"/>
      <c r="TUS71" s="16"/>
      <c r="TUT71" s="16"/>
      <c r="TUU71" s="16"/>
      <c r="TUV71" s="16"/>
      <c r="TUW71" s="16"/>
      <c r="TUX71" s="16"/>
      <c r="TUY71" s="16"/>
      <c r="TUZ71" s="16"/>
      <c r="TVA71" s="16"/>
      <c r="TVB71" s="16"/>
      <c r="TVC71" s="16"/>
      <c r="TVD71" s="16"/>
      <c r="TVE71" s="16"/>
      <c r="TVF71" s="16"/>
      <c r="TVG71" s="16"/>
      <c r="TVH71" s="16"/>
      <c r="TVI71" s="16"/>
      <c r="TVJ71" s="16"/>
      <c r="TVK71" s="16"/>
      <c r="TVL71" s="16"/>
      <c r="TVM71" s="16"/>
      <c r="TVN71" s="16"/>
      <c r="TVO71" s="16"/>
      <c r="TVP71" s="16"/>
      <c r="TVQ71" s="16"/>
      <c r="TVR71" s="16"/>
      <c r="TVS71" s="16"/>
      <c r="TVT71" s="16"/>
      <c r="TVU71" s="16"/>
      <c r="TVV71" s="16"/>
      <c r="TVW71" s="16"/>
      <c r="TVX71" s="16"/>
      <c r="TVY71" s="16"/>
      <c r="TVZ71" s="16"/>
      <c r="TWA71" s="16"/>
      <c r="TWB71" s="16"/>
      <c r="TWC71" s="16"/>
      <c r="TWD71" s="16"/>
      <c r="TWE71" s="16"/>
      <c r="TWF71" s="16"/>
      <c r="TWG71" s="16"/>
      <c r="TWH71" s="16"/>
      <c r="TWI71" s="16"/>
      <c r="TWJ71" s="16"/>
      <c r="TWK71" s="16"/>
      <c r="TWL71" s="16"/>
      <c r="TWM71" s="16"/>
      <c r="TWN71" s="16"/>
      <c r="TWO71" s="16"/>
      <c r="TWP71" s="16"/>
      <c r="TWQ71" s="16"/>
      <c r="TWR71" s="16"/>
      <c r="TWS71" s="16"/>
      <c r="TWT71" s="16"/>
      <c r="TWU71" s="16"/>
      <c r="TWV71" s="16"/>
      <c r="TWW71" s="16"/>
      <c r="TWX71" s="16"/>
      <c r="TWY71" s="16"/>
      <c r="TWZ71" s="16"/>
      <c r="TXA71" s="16"/>
      <c r="TXB71" s="16"/>
      <c r="TXC71" s="16"/>
      <c r="TXD71" s="16"/>
      <c r="TXE71" s="16"/>
      <c r="TXF71" s="16"/>
      <c r="TXG71" s="16"/>
      <c r="TXH71" s="16"/>
      <c r="TXI71" s="16"/>
      <c r="TXJ71" s="16"/>
      <c r="TXK71" s="16"/>
      <c r="TXL71" s="16"/>
      <c r="TXM71" s="16"/>
      <c r="TXN71" s="16"/>
      <c r="TXO71" s="16"/>
      <c r="TXP71" s="16"/>
      <c r="TXQ71" s="16"/>
      <c r="TXR71" s="16"/>
      <c r="TXS71" s="16"/>
      <c r="TXT71" s="16"/>
      <c r="TXU71" s="16"/>
      <c r="TXV71" s="16"/>
      <c r="TXW71" s="16"/>
      <c r="TXX71" s="16"/>
      <c r="TXY71" s="16"/>
      <c r="TXZ71" s="16"/>
      <c r="TYA71" s="16"/>
      <c r="TYB71" s="16"/>
      <c r="TYC71" s="16"/>
      <c r="TYD71" s="16"/>
      <c r="TYE71" s="16"/>
      <c r="TYF71" s="16"/>
      <c r="TYG71" s="16"/>
      <c r="TYH71" s="16"/>
      <c r="TYI71" s="16"/>
      <c r="TYJ71" s="16"/>
      <c r="TYK71" s="16"/>
      <c r="TYL71" s="16"/>
      <c r="TYM71" s="16"/>
      <c r="TYN71" s="16"/>
      <c r="TYO71" s="16"/>
      <c r="TYP71" s="16"/>
      <c r="TYQ71" s="16"/>
      <c r="TYR71" s="16"/>
      <c r="TYS71" s="16"/>
      <c r="TYT71" s="16"/>
      <c r="TYU71" s="16"/>
      <c r="TYV71" s="16"/>
      <c r="TYW71" s="16"/>
      <c r="TYX71" s="16"/>
      <c r="TYY71" s="16"/>
      <c r="TYZ71" s="16"/>
      <c r="TZA71" s="16"/>
      <c r="TZB71" s="16"/>
      <c r="TZC71" s="16"/>
      <c r="TZD71" s="16"/>
      <c r="TZE71" s="16"/>
      <c r="TZF71" s="16"/>
      <c r="TZG71" s="16"/>
      <c r="TZH71" s="16"/>
      <c r="TZI71" s="16"/>
      <c r="TZJ71" s="16"/>
      <c r="TZK71" s="16"/>
      <c r="TZL71" s="16"/>
      <c r="TZM71" s="16"/>
      <c r="TZN71" s="16"/>
      <c r="TZO71" s="16"/>
      <c r="TZP71" s="16"/>
      <c r="TZQ71" s="16"/>
      <c r="TZR71" s="16"/>
      <c r="TZS71" s="16"/>
      <c r="TZT71" s="16"/>
      <c r="TZU71" s="16"/>
      <c r="TZV71" s="16"/>
      <c r="TZW71" s="16"/>
      <c r="TZX71" s="16"/>
      <c r="TZY71" s="16"/>
      <c r="TZZ71" s="16"/>
      <c r="UAA71" s="16"/>
      <c r="UAB71" s="16"/>
      <c r="UAC71" s="16"/>
      <c r="UAD71" s="16"/>
      <c r="UAE71" s="16"/>
      <c r="UAF71" s="16"/>
      <c r="UAG71" s="16"/>
      <c r="UAH71" s="16"/>
      <c r="UAI71" s="16"/>
      <c r="UAJ71" s="16"/>
      <c r="UAK71" s="16"/>
      <c r="UAL71" s="16"/>
      <c r="UAM71" s="16"/>
      <c r="UAN71" s="16"/>
      <c r="UAO71" s="16"/>
      <c r="UAP71" s="16"/>
      <c r="UAQ71" s="16"/>
      <c r="UAR71" s="16"/>
      <c r="UAS71" s="16"/>
      <c r="UAT71" s="16"/>
      <c r="UAU71" s="16"/>
      <c r="UAV71" s="16"/>
      <c r="UAW71" s="16"/>
      <c r="UAX71" s="16"/>
      <c r="UAY71" s="16"/>
      <c r="UAZ71" s="16"/>
      <c r="UBA71" s="16"/>
      <c r="UBB71" s="16"/>
      <c r="UBC71" s="16"/>
      <c r="UBD71" s="16"/>
      <c r="UBE71" s="16"/>
      <c r="UBF71" s="16"/>
      <c r="UBG71" s="16"/>
      <c r="UBH71" s="16"/>
      <c r="UBI71" s="16"/>
      <c r="UBJ71" s="16"/>
      <c r="UBK71" s="16"/>
      <c r="UBL71" s="16"/>
      <c r="UBM71" s="16"/>
      <c r="UBN71" s="16"/>
      <c r="UBO71" s="16"/>
      <c r="UBP71" s="16"/>
      <c r="UBQ71" s="16"/>
      <c r="UBR71" s="16"/>
      <c r="UBS71" s="16"/>
      <c r="UBT71" s="16"/>
      <c r="UBU71" s="16"/>
      <c r="UBV71" s="16"/>
      <c r="UBW71" s="16"/>
      <c r="UBX71" s="16"/>
      <c r="UBY71" s="16"/>
      <c r="UBZ71" s="16"/>
      <c r="UCA71" s="16"/>
      <c r="UCB71" s="16"/>
      <c r="UCC71" s="16"/>
      <c r="UCD71" s="16"/>
      <c r="UCE71" s="16"/>
      <c r="UCF71" s="16"/>
      <c r="UCG71" s="16"/>
      <c r="UCH71" s="16"/>
      <c r="UCI71" s="16"/>
      <c r="UCJ71" s="16"/>
      <c r="UCK71" s="16"/>
      <c r="UCL71" s="16"/>
      <c r="UCM71" s="16"/>
      <c r="UCN71" s="16"/>
      <c r="UCO71" s="16"/>
      <c r="UCP71" s="16"/>
      <c r="UCQ71" s="16"/>
      <c r="UCR71" s="16"/>
      <c r="UCS71" s="16"/>
      <c r="UCT71" s="16"/>
      <c r="UCU71" s="16"/>
      <c r="UCV71" s="16"/>
      <c r="UCW71" s="16"/>
      <c r="UCX71" s="16"/>
      <c r="UCY71" s="16"/>
      <c r="UCZ71" s="16"/>
      <c r="UDA71" s="16"/>
      <c r="UDB71" s="16"/>
      <c r="UDC71" s="16"/>
      <c r="UDD71" s="16"/>
      <c r="UDE71" s="16"/>
      <c r="UDF71" s="16"/>
      <c r="UDG71" s="16"/>
      <c r="UDH71" s="16"/>
      <c r="UDI71" s="16"/>
      <c r="UDJ71" s="16"/>
      <c r="UDK71" s="16"/>
      <c r="UDL71" s="16"/>
      <c r="UDM71" s="16"/>
      <c r="UDN71" s="16"/>
      <c r="UDO71" s="16"/>
      <c r="UDP71" s="16"/>
      <c r="UDQ71" s="16"/>
      <c r="UDR71" s="16"/>
      <c r="UDS71" s="16"/>
      <c r="UDT71" s="16"/>
      <c r="UDU71" s="16"/>
      <c r="UDV71" s="16"/>
      <c r="UDW71" s="16"/>
      <c r="UDX71" s="16"/>
      <c r="UDY71" s="16"/>
      <c r="UDZ71" s="16"/>
      <c r="UEA71" s="16"/>
      <c r="UEB71" s="16"/>
      <c r="UEC71" s="16"/>
      <c r="UED71" s="16"/>
      <c r="UEE71" s="16"/>
      <c r="UEF71" s="16"/>
      <c r="UEG71" s="16"/>
      <c r="UEH71" s="16"/>
      <c r="UEI71" s="16"/>
      <c r="UEJ71" s="16"/>
      <c r="UEK71" s="16"/>
      <c r="UEL71" s="16"/>
      <c r="UEM71" s="16"/>
      <c r="UEN71" s="16"/>
      <c r="UEO71" s="16"/>
      <c r="UEP71" s="16"/>
      <c r="UEQ71" s="16"/>
      <c r="UER71" s="16"/>
      <c r="UES71" s="16"/>
      <c r="UET71" s="16"/>
      <c r="UEU71" s="16"/>
      <c r="UEV71" s="16"/>
      <c r="UEW71" s="16"/>
      <c r="UEX71" s="16"/>
      <c r="UEY71" s="16"/>
      <c r="UEZ71" s="16"/>
      <c r="UFA71" s="16"/>
      <c r="UFB71" s="16"/>
      <c r="UFC71" s="16"/>
      <c r="UFD71" s="16"/>
      <c r="UFE71" s="16"/>
      <c r="UFF71" s="16"/>
      <c r="UFG71" s="16"/>
      <c r="UFH71" s="16"/>
      <c r="UFI71" s="16"/>
      <c r="UFJ71" s="16"/>
      <c r="UFK71" s="16"/>
      <c r="UFL71" s="16"/>
      <c r="UFM71" s="16"/>
      <c r="UFN71" s="16"/>
      <c r="UFO71" s="16"/>
      <c r="UFP71" s="16"/>
      <c r="UFQ71" s="16"/>
      <c r="UFR71" s="16"/>
      <c r="UFS71" s="16"/>
      <c r="UFT71" s="16"/>
      <c r="UFU71" s="16"/>
      <c r="UFV71" s="16"/>
      <c r="UFW71" s="16"/>
      <c r="UFX71" s="16"/>
      <c r="UFY71" s="16"/>
      <c r="UFZ71" s="16"/>
      <c r="UGA71" s="16"/>
      <c r="UGB71" s="16"/>
      <c r="UGC71" s="16"/>
      <c r="UGD71" s="16"/>
      <c r="UGE71" s="16"/>
      <c r="UGF71" s="16"/>
      <c r="UGG71" s="16"/>
      <c r="UGH71" s="16"/>
      <c r="UGI71" s="16"/>
      <c r="UGJ71" s="16"/>
      <c r="UGK71" s="16"/>
      <c r="UGL71" s="16"/>
      <c r="UGM71" s="16"/>
      <c r="UGN71" s="16"/>
      <c r="UGO71" s="16"/>
      <c r="UGP71" s="16"/>
      <c r="UGQ71" s="16"/>
      <c r="UGR71" s="16"/>
      <c r="UGS71" s="16"/>
      <c r="UGT71" s="16"/>
      <c r="UGU71" s="16"/>
      <c r="UGV71" s="16"/>
      <c r="UGW71" s="16"/>
      <c r="UGX71" s="16"/>
      <c r="UGY71" s="16"/>
      <c r="UGZ71" s="16"/>
      <c r="UHA71" s="16"/>
      <c r="UHB71" s="16"/>
      <c r="UHC71" s="16"/>
      <c r="UHD71" s="16"/>
      <c r="UHE71" s="16"/>
      <c r="UHF71" s="16"/>
      <c r="UHG71" s="16"/>
      <c r="UHH71" s="16"/>
      <c r="UHI71" s="16"/>
      <c r="UHJ71" s="16"/>
      <c r="UHK71" s="16"/>
      <c r="UHL71" s="16"/>
      <c r="UHM71" s="16"/>
      <c r="UHN71" s="16"/>
      <c r="UHO71" s="16"/>
      <c r="UHP71" s="16"/>
      <c r="UHQ71" s="16"/>
      <c r="UHR71" s="16"/>
      <c r="UHS71" s="16"/>
      <c r="UHT71" s="16"/>
      <c r="UHU71" s="16"/>
      <c r="UHV71" s="16"/>
      <c r="UHW71" s="16"/>
      <c r="UHX71" s="16"/>
      <c r="UHY71" s="16"/>
      <c r="UHZ71" s="16"/>
      <c r="UIA71" s="16"/>
      <c r="UIB71" s="16"/>
      <c r="UIC71" s="16"/>
      <c r="UID71" s="16"/>
      <c r="UIE71" s="16"/>
      <c r="UIF71" s="16"/>
      <c r="UIG71" s="16"/>
      <c r="UIH71" s="16"/>
      <c r="UII71" s="16"/>
      <c r="UIJ71" s="16"/>
      <c r="UIK71" s="16"/>
      <c r="UIL71" s="16"/>
      <c r="UIM71" s="16"/>
      <c r="UIN71" s="16"/>
      <c r="UIO71" s="16"/>
      <c r="UIP71" s="16"/>
      <c r="UIQ71" s="16"/>
      <c r="UIR71" s="16"/>
      <c r="UIS71" s="16"/>
      <c r="UIT71" s="16"/>
      <c r="UIU71" s="16"/>
      <c r="UIV71" s="16"/>
      <c r="UIW71" s="16"/>
      <c r="UIX71" s="16"/>
      <c r="UIY71" s="16"/>
      <c r="UIZ71" s="16"/>
      <c r="UJA71" s="16"/>
      <c r="UJB71" s="16"/>
      <c r="UJC71" s="16"/>
      <c r="UJD71" s="16"/>
      <c r="UJE71" s="16"/>
      <c r="UJF71" s="16"/>
      <c r="UJG71" s="16"/>
      <c r="UJH71" s="16"/>
      <c r="UJI71" s="16"/>
      <c r="UJJ71" s="16"/>
      <c r="UJK71" s="16"/>
      <c r="UJL71" s="16"/>
      <c r="UJM71" s="16"/>
      <c r="UJN71" s="16"/>
      <c r="UJO71" s="16"/>
      <c r="UJP71" s="16"/>
      <c r="UJQ71" s="16"/>
      <c r="UJR71" s="16"/>
      <c r="UJS71" s="16"/>
      <c r="UJT71" s="16"/>
      <c r="UJU71" s="16"/>
      <c r="UJV71" s="16"/>
      <c r="UJW71" s="16"/>
      <c r="UJX71" s="16"/>
      <c r="UJY71" s="16"/>
      <c r="UJZ71" s="16"/>
      <c r="UKA71" s="16"/>
      <c r="UKB71" s="16"/>
      <c r="UKC71" s="16"/>
      <c r="UKD71" s="16"/>
      <c r="UKE71" s="16"/>
      <c r="UKF71" s="16"/>
      <c r="UKG71" s="16"/>
      <c r="UKH71" s="16"/>
      <c r="UKI71" s="16"/>
      <c r="UKJ71" s="16"/>
      <c r="UKK71" s="16"/>
      <c r="UKL71" s="16"/>
      <c r="UKM71" s="16"/>
      <c r="UKN71" s="16"/>
      <c r="UKO71" s="16"/>
      <c r="UKP71" s="16"/>
      <c r="UKQ71" s="16"/>
      <c r="UKR71" s="16"/>
      <c r="UKS71" s="16"/>
      <c r="UKT71" s="16"/>
      <c r="UKU71" s="16"/>
      <c r="UKV71" s="16"/>
      <c r="UKW71" s="16"/>
      <c r="UKX71" s="16"/>
      <c r="UKY71" s="16"/>
      <c r="UKZ71" s="16"/>
      <c r="ULA71" s="16"/>
      <c r="ULB71" s="16"/>
      <c r="ULC71" s="16"/>
      <c r="ULD71" s="16"/>
      <c r="ULE71" s="16"/>
      <c r="ULF71" s="16"/>
      <c r="ULG71" s="16"/>
      <c r="ULH71" s="16"/>
      <c r="ULI71" s="16"/>
      <c r="ULJ71" s="16"/>
      <c r="ULK71" s="16"/>
      <c r="ULL71" s="16"/>
      <c r="ULM71" s="16"/>
      <c r="ULN71" s="16"/>
      <c r="ULO71" s="16"/>
      <c r="ULP71" s="16"/>
      <c r="ULQ71" s="16"/>
      <c r="ULR71" s="16"/>
      <c r="ULS71" s="16"/>
      <c r="ULT71" s="16"/>
      <c r="ULU71" s="16"/>
      <c r="ULV71" s="16"/>
      <c r="ULW71" s="16"/>
      <c r="ULX71" s="16"/>
      <c r="ULY71" s="16"/>
      <c r="ULZ71" s="16"/>
      <c r="UMA71" s="16"/>
      <c r="UMB71" s="16"/>
      <c r="UMC71" s="16"/>
      <c r="UMD71" s="16"/>
      <c r="UME71" s="16"/>
      <c r="UMF71" s="16"/>
      <c r="UMG71" s="16"/>
      <c r="UMH71" s="16"/>
      <c r="UMI71" s="16"/>
      <c r="UMJ71" s="16"/>
      <c r="UMK71" s="16"/>
      <c r="UML71" s="16"/>
      <c r="UMM71" s="16"/>
      <c r="UMN71" s="16"/>
      <c r="UMO71" s="16"/>
      <c r="UMP71" s="16"/>
      <c r="UMQ71" s="16"/>
      <c r="UMR71" s="16"/>
      <c r="UMS71" s="16"/>
      <c r="UMT71" s="16"/>
      <c r="UMU71" s="16"/>
      <c r="UMV71" s="16"/>
      <c r="UMW71" s="16"/>
      <c r="UMX71" s="16"/>
      <c r="UMY71" s="16"/>
      <c r="UMZ71" s="16"/>
      <c r="UNA71" s="16"/>
      <c r="UNB71" s="16"/>
      <c r="UNC71" s="16"/>
      <c r="UND71" s="16"/>
      <c r="UNE71" s="16"/>
      <c r="UNF71" s="16"/>
      <c r="UNG71" s="16"/>
      <c r="UNH71" s="16"/>
      <c r="UNI71" s="16"/>
      <c r="UNJ71" s="16"/>
      <c r="UNK71" s="16"/>
      <c r="UNL71" s="16"/>
      <c r="UNM71" s="16"/>
      <c r="UNN71" s="16"/>
      <c r="UNO71" s="16"/>
      <c r="UNP71" s="16"/>
      <c r="UNQ71" s="16"/>
      <c r="UNR71" s="16"/>
      <c r="UNS71" s="16"/>
      <c r="UNT71" s="16"/>
      <c r="UNU71" s="16"/>
      <c r="UNV71" s="16"/>
      <c r="UNW71" s="16"/>
      <c r="UNX71" s="16"/>
      <c r="UNY71" s="16"/>
      <c r="UNZ71" s="16"/>
      <c r="UOA71" s="16"/>
      <c r="UOB71" s="16"/>
      <c r="UOC71" s="16"/>
      <c r="UOD71" s="16"/>
      <c r="UOE71" s="16"/>
      <c r="UOF71" s="16"/>
      <c r="UOG71" s="16"/>
      <c r="UOH71" s="16"/>
      <c r="UOI71" s="16"/>
      <c r="UOJ71" s="16"/>
      <c r="UOK71" s="16"/>
      <c r="UOL71" s="16"/>
      <c r="UOM71" s="16"/>
      <c r="UON71" s="16"/>
      <c r="UOO71" s="16"/>
      <c r="UOP71" s="16"/>
      <c r="UOQ71" s="16"/>
      <c r="UOR71" s="16"/>
      <c r="UOS71" s="16"/>
      <c r="UOT71" s="16"/>
      <c r="UOU71" s="16"/>
      <c r="UOV71" s="16"/>
      <c r="UOW71" s="16"/>
      <c r="UOX71" s="16"/>
      <c r="UOY71" s="16"/>
      <c r="UOZ71" s="16"/>
      <c r="UPA71" s="16"/>
      <c r="UPB71" s="16"/>
      <c r="UPC71" s="16"/>
      <c r="UPD71" s="16"/>
      <c r="UPE71" s="16"/>
      <c r="UPF71" s="16"/>
      <c r="UPG71" s="16"/>
      <c r="UPH71" s="16"/>
      <c r="UPI71" s="16"/>
      <c r="UPJ71" s="16"/>
      <c r="UPK71" s="16"/>
      <c r="UPL71" s="16"/>
      <c r="UPM71" s="16"/>
      <c r="UPN71" s="16"/>
      <c r="UPO71" s="16"/>
      <c r="UPP71" s="16"/>
      <c r="UPQ71" s="16"/>
      <c r="UPR71" s="16"/>
      <c r="UPS71" s="16"/>
      <c r="UPT71" s="16"/>
      <c r="UPU71" s="16"/>
      <c r="UPV71" s="16"/>
      <c r="UPW71" s="16"/>
      <c r="UPX71" s="16"/>
      <c r="UPY71" s="16"/>
      <c r="UPZ71" s="16"/>
      <c r="UQA71" s="16"/>
      <c r="UQB71" s="16"/>
      <c r="UQC71" s="16"/>
      <c r="UQD71" s="16"/>
      <c r="UQE71" s="16"/>
      <c r="UQF71" s="16"/>
      <c r="UQG71" s="16"/>
      <c r="UQH71" s="16"/>
      <c r="UQI71" s="16"/>
      <c r="UQJ71" s="16"/>
      <c r="UQK71" s="16"/>
      <c r="UQL71" s="16"/>
      <c r="UQM71" s="16"/>
      <c r="UQN71" s="16"/>
      <c r="UQO71" s="16"/>
      <c r="UQP71" s="16"/>
      <c r="UQQ71" s="16"/>
      <c r="UQR71" s="16"/>
      <c r="UQS71" s="16"/>
      <c r="UQT71" s="16"/>
      <c r="UQU71" s="16"/>
      <c r="UQV71" s="16"/>
      <c r="UQW71" s="16"/>
      <c r="UQX71" s="16"/>
      <c r="UQY71" s="16"/>
      <c r="UQZ71" s="16"/>
      <c r="URA71" s="16"/>
      <c r="URB71" s="16"/>
      <c r="URC71" s="16"/>
      <c r="URD71" s="16"/>
      <c r="URE71" s="16"/>
      <c r="URF71" s="16"/>
      <c r="URG71" s="16"/>
      <c r="URH71" s="16"/>
      <c r="URI71" s="16"/>
      <c r="URJ71" s="16"/>
      <c r="URK71" s="16"/>
      <c r="URL71" s="16"/>
      <c r="URM71" s="16"/>
      <c r="URN71" s="16"/>
      <c r="URO71" s="16"/>
      <c r="URP71" s="16"/>
      <c r="URQ71" s="16"/>
      <c r="URR71" s="16"/>
      <c r="URS71" s="16"/>
      <c r="URT71" s="16"/>
      <c r="URU71" s="16"/>
      <c r="URV71" s="16"/>
      <c r="URW71" s="16"/>
      <c r="URX71" s="16"/>
      <c r="URY71" s="16"/>
      <c r="URZ71" s="16"/>
      <c r="USA71" s="16"/>
      <c r="USB71" s="16"/>
      <c r="USC71" s="16"/>
      <c r="USD71" s="16"/>
      <c r="USE71" s="16"/>
      <c r="USF71" s="16"/>
      <c r="USG71" s="16"/>
      <c r="USH71" s="16"/>
      <c r="USI71" s="16"/>
      <c r="USJ71" s="16"/>
      <c r="USK71" s="16"/>
      <c r="USL71" s="16"/>
      <c r="USM71" s="16"/>
      <c r="USN71" s="16"/>
      <c r="USO71" s="16"/>
      <c r="USP71" s="16"/>
      <c r="USQ71" s="16"/>
      <c r="USR71" s="16"/>
      <c r="USS71" s="16"/>
      <c r="UST71" s="16"/>
      <c r="USU71" s="16"/>
      <c r="USV71" s="16"/>
      <c r="USW71" s="16"/>
      <c r="USX71" s="16"/>
      <c r="USY71" s="16"/>
      <c r="USZ71" s="16"/>
      <c r="UTA71" s="16"/>
      <c r="UTB71" s="16"/>
      <c r="UTC71" s="16"/>
      <c r="UTD71" s="16"/>
      <c r="UTE71" s="16"/>
      <c r="UTF71" s="16"/>
      <c r="UTG71" s="16"/>
      <c r="UTH71" s="16"/>
      <c r="UTI71" s="16"/>
      <c r="UTJ71" s="16"/>
      <c r="UTK71" s="16"/>
      <c r="UTL71" s="16"/>
      <c r="UTM71" s="16"/>
      <c r="UTN71" s="16"/>
      <c r="UTO71" s="16"/>
      <c r="UTP71" s="16"/>
      <c r="UTQ71" s="16"/>
      <c r="UTR71" s="16"/>
      <c r="UTS71" s="16"/>
      <c r="UTT71" s="16"/>
      <c r="UTU71" s="16"/>
      <c r="UTV71" s="16"/>
      <c r="UTW71" s="16"/>
      <c r="UTX71" s="16"/>
      <c r="UTY71" s="16"/>
      <c r="UTZ71" s="16"/>
      <c r="UUA71" s="16"/>
      <c r="UUB71" s="16"/>
      <c r="UUC71" s="16"/>
      <c r="UUD71" s="16"/>
      <c r="UUE71" s="16"/>
      <c r="UUF71" s="16"/>
      <c r="UUG71" s="16"/>
      <c r="UUH71" s="16"/>
      <c r="UUI71" s="16"/>
      <c r="UUJ71" s="16"/>
      <c r="UUK71" s="16"/>
      <c r="UUL71" s="16"/>
      <c r="UUM71" s="16"/>
      <c r="UUN71" s="16"/>
      <c r="UUO71" s="16"/>
      <c r="UUP71" s="16"/>
      <c r="UUQ71" s="16"/>
      <c r="UUR71" s="16"/>
      <c r="UUS71" s="16"/>
      <c r="UUT71" s="16"/>
      <c r="UUU71" s="16"/>
      <c r="UUV71" s="16"/>
      <c r="UUW71" s="16"/>
      <c r="UUX71" s="16"/>
      <c r="UUY71" s="16"/>
      <c r="UUZ71" s="16"/>
      <c r="UVA71" s="16"/>
      <c r="UVB71" s="16"/>
      <c r="UVC71" s="16"/>
      <c r="UVD71" s="16"/>
      <c r="UVE71" s="16"/>
      <c r="UVF71" s="16"/>
      <c r="UVG71" s="16"/>
      <c r="UVH71" s="16"/>
      <c r="UVI71" s="16"/>
      <c r="UVJ71" s="16"/>
      <c r="UVK71" s="16"/>
      <c r="UVL71" s="16"/>
      <c r="UVM71" s="16"/>
      <c r="UVN71" s="16"/>
      <c r="UVO71" s="16"/>
      <c r="UVP71" s="16"/>
      <c r="UVQ71" s="16"/>
      <c r="UVR71" s="16"/>
      <c r="UVS71" s="16"/>
      <c r="UVT71" s="16"/>
      <c r="UVU71" s="16"/>
      <c r="UVV71" s="16"/>
      <c r="UVW71" s="16"/>
      <c r="UVX71" s="16"/>
      <c r="UVY71" s="16"/>
      <c r="UVZ71" s="16"/>
      <c r="UWA71" s="16"/>
      <c r="UWB71" s="16"/>
      <c r="UWC71" s="16"/>
      <c r="UWD71" s="16"/>
      <c r="UWE71" s="16"/>
      <c r="UWF71" s="16"/>
      <c r="UWG71" s="16"/>
      <c r="UWH71" s="16"/>
      <c r="UWI71" s="16"/>
      <c r="UWJ71" s="16"/>
      <c r="UWK71" s="16"/>
      <c r="UWL71" s="16"/>
      <c r="UWM71" s="16"/>
      <c r="UWN71" s="16"/>
      <c r="UWO71" s="16"/>
      <c r="UWP71" s="16"/>
      <c r="UWQ71" s="16"/>
      <c r="UWR71" s="16"/>
      <c r="UWS71" s="16"/>
      <c r="UWT71" s="16"/>
      <c r="UWU71" s="16"/>
      <c r="UWV71" s="16"/>
      <c r="UWW71" s="16"/>
      <c r="UWX71" s="16"/>
      <c r="UWY71" s="16"/>
      <c r="UWZ71" s="16"/>
      <c r="UXA71" s="16"/>
      <c r="UXB71" s="16"/>
      <c r="UXC71" s="16"/>
      <c r="UXD71" s="16"/>
      <c r="UXE71" s="16"/>
      <c r="UXF71" s="16"/>
      <c r="UXG71" s="16"/>
      <c r="UXH71" s="16"/>
      <c r="UXI71" s="16"/>
      <c r="UXJ71" s="16"/>
      <c r="UXK71" s="16"/>
      <c r="UXL71" s="16"/>
      <c r="UXM71" s="16"/>
      <c r="UXN71" s="16"/>
      <c r="UXO71" s="16"/>
      <c r="UXP71" s="16"/>
      <c r="UXQ71" s="16"/>
      <c r="UXR71" s="16"/>
      <c r="UXS71" s="16"/>
      <c r="UXT71" s="16"/>
      <c r="UXU71" s="16"/>
      <c r="UXV71" s="16"/>
      <c r="UXW71" s="16"/>
      <c r="UXX71" s="16"/>
      <c r="UXY71" s="16"/>
      <c r="UXZ71" s="16"/>
      <c r="UYA71" s="16"/>
      <c r="UYB71" s="16"/>
      <c r="UYC71" s="16"/>
      <c r="UYD71" s="16"/>
      <c r="UYE71" s="16"/>
      <c r="UYF71" s="16"/>
      <c r="UYG71" s="16"/>
      <c r="UYH71" s="16"/>
      <c r="UYI71" s="16"/>
      <c r="UYJ71" s="16"/>
      <c r="UYK71" s="16"/>
      <c r="UYL71" s="16"/>
      <c r="UYM71" s="16"/>
      <c r="UYN71" s="16"/>
      <c r="UYO71" s="16"/>
      <c r="UYP71" s="16"/>
      <c r="UYQ71" s="16"/>
      <c r="UYR71" s="16"/>
      <c r="UYS71" s="16"/>
      <c r="UYT71" s="16"/>
      <c r="UYU71" s="16"/>
      <c r="UYV71" s="16"/>
      <c r="UYW71" s="16"/>
      <c r="UYX71" s="16"/>
      <c r="UYY71" s="16"/>
      <c r="UYZ71" s="16"/>
      <c r="UZA71" s="16"/>
      <c r="UZB71" s="16"/>
      <c r="UZC71" s="16"/>
      <c r="UZD71" s="16"/>
      <c r="UZE71" s="16"/>
      <c r="UZF71" s="16"/>
      <c r="UZG71" s="16"/>
      <c r="UZH71" s="16"/>
      <c r="UZI71" s="16"/>
      <c r="UZJ71" s="16"/>
      <c r="UZK71" s="16"/>
      <c r="UZL71" s="16"/>
      <c r="UZM71" s="16"/>
      <c r="UZN71" s="16"/>
      <c r="UZO71" s="16"/>
      <c r="UZP71" s="16"/>
      <c r="UZQ71" s="16"/>
      <c r="UZR71" s="16"/>
      <c r="UZS71" s="16"/>
      <c r="UZT71" s="16"/>
      <c r="UZU71" s="16"/>
      <c r="UZV71" s="16"/>
      <c r="UZW71" s="16"/>
      <c r="UZX71" s="16"/>
      <c r="UZY71" s="16"/>
      <c r="UZZ71" s="16"/>
      <c r="VAA71" s="16"/>
      <c r="VAB71" s="16"/>
      <c r="VAC71" s="16"/>
      <c r="VAD71" s="16"/>
      <c r="VAE71" s="16"/>
      <c r="VAF71" s="16"/>
      <c r="VAG71" s="16"/>
      <c r="VAH71" s="16"/>
      <c r="VAI71" s="16"/>
      <c r="VAJ71" s="16"/>
      <c r="VAK71" s="16"/>
      <c r="VAL71" s="16"/>
      <c r="VAM71" s="16"/>
      <c r="VAN71" s="16"/>
      <c r="VAO71" s="16"/>
      <c r="VAP71" s="16"/>
      <c r="VAQ71" s="16"/>
      <c r="VAR71" s="16"/>
      <c r="VAS71" s="16"/>
      <c r="VAT71" s="16"/>
      <c r="VAU71" s="16"/>
      <c r="VAV71" s="16"/>
      <c r="VAW71" s="16"/>
      <c r="VAX71" s="16"/>
      <c r="VAY71" s="16"/>
      <c r="VAZ71" s="16"/>
      <c r="VBA71" s="16"/>
      <c r="VBB71" s="16"/>
      <c r="VBC71" s="16"/>
      <c r="VBD71" s="16"/>
      <c r="VBE71" s="16"/>
      <c r="VBF71" s="16"/>
      <c r="VBG71" s="16"/>
      <c r="VBH71" s="16"/>
      <c r="VBI71" s="16"/>
      <c r="VBJ71" s="16"/>
      <c r="VBK71" s="16"/>
      <c r="VBL71" s="16"/>
      <c r="VBM71" s="16"/>
      <c r="VBN71" s="16"/>
      <c r="VBO71" s="16"/>
      <c r="VBP71" s="16"/>
      <c r="VBQ71" s="16"/>
      <c r="VBR71" s="16"/>
      <c r="VBS71" s="16"/>
      <c r="VBT71" s="16"/>
      <c r="VBU71" s="16"/>
      <c r="VBV71" s="16"/>
      <c r="VBW71" s="16"/>
      <c r="VBX71" s="16"/>
      <c r="VBY71" s="16"/>
      <c r="VBZ71" s="16"/>
      <c r="VCA71" s="16"/>
      <c r="VCB71" s="16"/>
      <c r="VCC71" s="16"/>
      <c r="VCD71" s="16"/>
      <c r="VCE71" s="16"/>
      <c r="VCF71" s="16"/>
      <c r="VCG71" s="16"/>
      <c r="VCH71" s="16"/>
      <c r="VCI71" s="16"/>
      <c r="VCJ71" s="16"/>
      <c r="VCK71" s="16"/>
      <c r="VCL71" s="16"/>
      <c r="VCM71" s="16"/>
      <c r="VCN71" s="16"/>
      <c r="VCO71" s="16"/>
      <c r="VCP71" s="16"/>
      <c r="VCQ71" s="16"/>
      <c r="VCR71" s="16"/>
      <c r="VCS71" s="16"/>
      <c r="VCT71" s="16"/>
      <c r="VCU71" s="16"/>
      <c r="VCV71" s="16"/>
      <c r="VCW71" s="16"/>
      <c r="VCX71" s="16"/>
      <c r="VCY71" s="16"/>
      <c r="VCZ71" s="16"/>
      <c r="VDA71" s="16"/>
      <c r="VDB71" s="16"/>
      <c r="VDC71" s="16"/>
      <c r="VDD71" s="16"/>
      <c r="VDE71" s="16"/>
      <c r="VDF71" s="16"/>
      <c r="VDG71" s="16"/>
      <c r="VDH71" s="16"/>
      <c r="VDI71" s="16"/>
      <c r="VDJ71" s="16"/>
      <c r="VDK71" s="16"/>
      <c r="VDL71" s="16"/>
      <c r="VDM71" s="16"/>
      <c r="VDN71" s="16"/>
      <c r="VDO71" s="16"/>
      <c r="VDP71" s="16"/>
      <c r="VDQ71" s="16"/>
      <c r="VDR71" s="16"/>
      <c r="VDS71" s="16"/>
      <c r="VDT71" s="16"/>
      <c r="VDU71" s="16"/>
      <c r="VDV71" s="16"/>
      <c r="VDW71" s="16"/>
      <c r="VDX71" s="16"/>
      <c r="VDY71" s="16"/>
      <c r="VDZ71" s="16"/>
      <c r="VEA71" s="16"/>
      <c r="VEB71" s="16"/>
      <c r="VEC71" s="16"/>
      <c r="VED71" s="16"/>
      <c r="VEE71" s="16"/>
      <c r="VEF71" s="16"/>
      <c r="VEG71" s="16"/>
      <c r="VEH71" s="16"/>
      <c r="VEI71" s="16"/>
      <c r="VEJ71" s="16"/>
      <c r="VEK71" s="16"/>
      <c r="VEL71" s="16"/>
      <c r="VEM71" s="16"/>
      <c r="VEN71" s="16"/>
      <c r="VEO71" s="16"/>
      <c r="VEP71" s="16"/>
      <c r="VEQ71" s="16"/>
      <c r="VER71" s="16"/>
      <c r="VES71" s="16"/>
      <c r="VET71" s="16"/>
      <c r="VEU71" s="16"/>
      <c r="VEV71" s="16"/>
      <c r="VEW71" s="16"/>
      <c r="VEX71" s="16"/>
      <c r="VEY71" s="16"/>
      <c r="VEZ71" s="16"/>
      <c r="VFA71" s="16"/>
      <c r="VFB71" s="16"/>
      <c r="VFC71" s="16"/>
      <c r="VFD71" s="16"/>
      <c r="VFE71" s="16"/>
      <c r="VFF71" s="16"/>
      <c r="VFG71" s="16"/>
      <c r="VFH71" s="16"/>
      <c r="VFI71" s="16"/>
      <c r="VFJ71" s="16"/>
      <c r="VFK71" s="16"/>
      <c r="VFL71" s="16"/>
      <c r="VFM71" s="16"/>
      <c r="VFN71" s="16"/>
      <c r="VFO71" s="16"/>
      <c r="VFP71" s="16"/>
      <c r="VFQ71" s="16"/>
      <c r="VFR71" s="16"/>
      <c r="VFS71" s="16"/>
      <c r="VFT71" s="16"/>
      <c r="VFU71" s="16"/>
      <c r="VFV71" s="16"/>
      <c r="VFW71" s="16"/>
      <c r="VFX71" s="16"/>
      <c r="VFY71" s="16"/>
      <c r="VFZ71" s="16"/>
      <c r="VGA71" s="16"/>
      <c r="VGB71" s="16"/>
      <c r="VGC71" s="16"/>
      <c r="VGD71" s="16"/>
      <c r="VGE71" s="16"/>
      <c r="VGF71" s="16"/>
      <c r="VGG71" s="16"/>
      <c r="VGH71" s="16"/>
      <c r="VGI71" s="16"/>
      <c r="VGJ71" s="16"/>
      <c r="VGK71" s="16"/>
      <c r="VGL71" s="16"/>
      <c r="VGM71" s="16"/>
      <c r="VGN71" s="16"/>
      <c r="VGO71" s="16"/>
      <c r="VGP71" s="16"/>
      <c r="VGQ71" s="16"/>
      <c r="VGR71" s="16"/>
      <c r="VGS71" s="16"/>
      <c r="VGT71" s="16"/>
      <c r="VGU71" s="16"/>
      <c r="VGV71" s="16"/>
      <c r="VGW71" s="16"/>
      <c r="VGX71" s="16"/>
      <c r="VGY71" s="16"/>
      <c r="VGZ71" s="16"/>
      <c r="VHA71" s="16"/>
      <c r="VHB71" s="16"/>
      <c r="VHC71" s="16"/>
      <c r="VHD71" s="16"/>
      <c r="VHE71" s="16"/>
      <c r="VHF71" s="16"/>
      <c r="VHG71" s="16"/>
      <c r="VHH71" s="16"/>
      <c r="VHI71" s="16"/>
      <c r="VHJ71" s="16"/>
      <c r="VHK71" s="16"/>
      <c r="VHL71" s="16"/>
      <c r="VHM71" s="16"/>
      <c r="VHN71" s="16"/>
      <c r="VHO71" s="16"/>
      <c r="VHP71" s="16"/>
      <c r="VHQ71" s="16"/>
      <c r="VHR71" s="16"/>
      <c r="VHS71" s="16"/>
      <c r="VHT71" s="16"/>
      <c r="VHU71" s="16"/>
      <c r="VHV71" s="16"/>
      <c r="VHW71" s="16"/>
      <c r="VHX71" s="16"/>
      <c r="VHY71" s="16"/>
      <c r="VHZ71" s="16"/>
      <c r="VIA71" s="16"/>
      <c r="VIB71" s="16"/>
      <c r="VIC71" s="16"/>
      <c r="VID71" s="16"/>
      <c r="VIE71" s="16"/>
      <c r="VIF71" s="16"/>
      <c r="VIG71" s="16"/>
      <c r="VIH71" s="16"/>
      <c r="VII71" s="16"/>
      <c r="VIJ71" s="16"/>
      <c r="VIK71" s="16"/>
      <c r="VIL71" s="16"/>
      <c r="VIM71" s="16"/>
      <c r="VIN71" s="16"/>
      <c r="VIO71" s="16"/>
      <c r="VIP71" s="16"/>
      <c r="VIQ71" s="16"/>
      <c r="VIR71" s="16"/>
      <c r="VIS71" s="16"/>
      <c r="VIT71" s="16"/>
      <c r="VIU71" s="16"/>
      <c r="VIV71" s="16"/>
      <c r="VIW71" s="16"/>
      <c r="VIX71" s="16"/>
      <c r="VIY71" s="16"/>
      <c r="VIZ71" s="16"/>
      <c r="VJA71" s="16"/>
      <c r="VJB71" s="16"/>
      <c r="VJC71" s="16"/>
      <c r="VJD71" s="16"/>
      <c r="VJE71" s="16"/>
      <c r="VJF71" s="16"/>
      <c r="VJG71" s="16"/>
      <c r="VJH71" s="16"/>
      <c r="VJI71" s="16"/>
      <c r="VJJ71" s="16"/>
      <c r="VJK71" s="16"/>
      <c r="VJL71" s="16"/>
      <c r="VJM71" s="16"/>
      <c r="VJN71" s="16"/>
      <c r="VJO71" s="16"/>
      <c r="VJP71" s="16"/>
      <c r="VJQ71" s="16"/>
      <c r="VJR71" s="16"/>
      <c r="VJS71" s="16"/>
      <c r="VJT71" s="16"/>
      <c r="VJU71" s="16"/>
      <c r="VJV71" s="16"/>
      <c r="VJW71" s="16"/>
      <c r="VJX71" s="16"/>
      <c r="VJY71" s="16"/>
      <c r="VJZ71" s="16"/>
      <c r="VKA71" s="16"/>
      <c r="VKB71" s="16"/>
      <c r="VKC71" s="16"/>
      <c r="VKD71" s="16"/>
      <c r="VKE71" s="16"/>
      <c r="VKF71" s="16"/>
      <c r="VKG71" s="16"/>
      <c r="VKH71" s="16"/>
      <c r="VKI71" s="16"/>
      <c r="VKJ71" s="16"/>
      <c r="VKK71" s="16"/>
      <c r="VKL71" s="16"/>
      <c r="VKM71" s="16"/>
      <c r="VKN71" s="16"/>
      <c r="VKO71" s="16"/>
      <c r="VKP71" s="16"/>
      <c r="VKQ71" s="16"/>
      <c r="VKR71" s="16"/>
      <c r="VKS71" s="16"/>
      <c r="VKT71" s="16"/>
      <c r="VKU71" s="16"/>
      <c r="VKV71" s="16"/>
      <c r="VKW71" s="16"/>
      <c r="VKX71" s="16"/>
      <c r="VKY71" s="16"/>
      <c r="VKZ71" s="16"/>
      <c r="VLA71" s="16"/>
      <c r="VLB71" s="16"/>
      <c r="VLC71" s="16"/>
      <c r="VLD71" s="16"/>
      <c r="VLE71" s="16"/>
      <c r="VLF71" s="16"/>
      <c r="VLG71" s="16"/>
      <c r="VLH71" s="16"/>
      <c r="VLI71" s="16"/>
      <c r="VLJ71" s="16"/>
      <c r="VLK71" s="16"/>
      <c r="VLL71" s="16"/>
      <c r="VLM71" s="16"/>
      <c r="VLN71" s="16"/>
      <c r="VLO71" s="16"/>
      <c r="VLP71" s="16"/>
      <c r="VLQ71" s="16"/>
      <c r="VLR71" s="16"/>
      <c r="VLS71" s="16"/>
      <c r="VLT71" s="16"/>
      <c r="VLU71" s="16"/>
      <c r="VLV71" s="16"/>
      <c r="VLW71" s="16"/>
      <c r="VLX71" s="16"/>
      <c r="VLY71" s="16"/>
      <c r="VLZ71" s="16"/>
      <c r="VMA71" s="16"/>
      <c r="VMB71" s="16"/>
      <c r="VMC71" s="16"/>
      <c r="VMD71" s="16"/>
      <c r="VME71" s="16"/>
      <c r="VMF71" s="16"/>
      <c r="VMG71" s="16"/>
      <c r="VMH71" s="16"/>
      <c r="VMI71" s="16"/>
      <c r="VMJ71" s="16"/>
      <c r="VMK71" s="16"/>
      <c r="VML71" s="16"/>
      <c r="VMM71" s="16"/>
      <c r="VMN71" s="16"/>
      <c r="VMO71" s="16"/>
      <c r="VMP71" s="16"/>
      <c r="VMQ71" s="16"/>
      <c r="VMR71" s="16"/>
      <c r="VMS71" s="16"/>
      <c r="VMT71" s="16"/>
      <c r="VMU71" s="16"/>
      <c r="VMV71" s="16"/>
      <c r="VMW71" s="16"/>
      <c r="VMX71" s="16"/>
      <c r="VMY71" s="16"/>
      <c r="VMZ71" s="16"/>
      <c r="VNA71" s="16"/>
      <c r="VNB71" s="16"/>
      <c r="VNC71" s="16"/>
      <c r="VND71" s="16"/>
      <c r="VNE71" s="16"/>
      <c r="VNF71" s="16"/>
      <c r="VNG71" s="16"/>
      <c r="VNH71" s="16"/>
      <c r="VNI71" s="16"/>
      <c r="VNJ71" s="16"/>
      <c r="VNK71" s="16"/>
      <c r="VNL71" s="16"/>
      <c r="VNM71" s="16"/>
      <c r="VNN71" s="16"/>
      <c r="VNO71" s="16"/>
      <c r="VNP71" s="16"/>
      <c r="VNQ71" s="16"/>
      <c r="VNR71" s="16"/>
      <c r="VNS71" s="16"/>
      <c r="VNT71" s="16"/>
      <c r="VNU71" s="16"/>
      <c r="VNV71" s="16"/>
      <c r="VNW71" s="16"/>
      <c r="VNX71" s="16"/>
      <c r="VNY71" s="16"/>
      <c r="VNZ71" s="16"/>
      <c r="VOA71" s="16"/>
      <c r="VOB71" s="16"/>
      <c r="VOC71" s="16"/>
      <c r="VOD71" s="16"/>
      <c r="VOE71" s="16"/>
      <c r="VOF71" s="16"/>
      <c r="VOG71" s="16"/>
      <c r="VOH71" s="16"/>
      <c r="VOI71" s="16"/>
      <c r="VOJ71" s="16"/>
      <c r="VOK71" s="16"/>
      <c r="VOL71" s="16"/>
      <c r="VOM71" s="16"/>
      <c r="VON71" s="16"/>
      <c r="VOO71" s="16"/>
      <c r="VOP71" s="16"/>
      <c r="VOQ71" s="16"/>
      <c r="VOR71" s="16"/>
      <c r="VOS71" s="16"/>
      <c r="VOT71" s="16"/>
      <c r="VOU71" s="16"/>
      <c r="VOV71" s="16"/>
      <c r="VOW71" s="16"/>
      <c r="VOX71" s="16"/>
      <c r="VOY71" s="16"/>
      <c r="VOZ71" s="16"/>
      <c r="VPA71" s="16"/>
      <c r="VPB71" s="16"/>
      <c r="VPC71" s="16"/>
      <c r="VPD71" s="16"/>
      <c r="VPE71" s="16"/>
      <c r="VPF71" s="16"/>
      <c r="VPG71" s="16"/>
      <c r="VPH71" s="16"/>
      <c r="VPI71" s="16"/>
      <c r="VPJ71" s="16"/>
      <c r="VPK71" s="16"/>
      <c r="VPL71" s="16"/>
      <c r="VPM71" s="16"/>
      <c r="VPN71" s="16"/>
      <c r="VPO71" s="16"/>
      <c r="VPP71" s="16"/>
      <c r="VPQ71" s="16"/>
      <c r="VPR71" s="16"/>
      <c r="VPS71" s="16"/>
      <c r="VPT71" s="16"/>
      <c r="VPU71" s="16"/>
      <c r="VPV71" s="16"/>
      <c r="VPW71" s="16"/>
      <c r="VPX71" s="16"/>
      <c r="VPY71" s="16"/>
      <c r="VPZ71" s="16"/>
      <c r="VQA71" s="16"/>
      <c r="VQB71" s="16"/>
      <c r="VQC71" s="16"/>
      <c r="VQD71" s="16"/>
      <c r="VQE71" s="16"/>
      <c r="VQF71" s="16"/>
      <c r="VQG71" s="16"/>
      <c r="VQH71" s="16"/>
      <c r="VQI71" s="16"/>
      <c r="VQJ71" s="16"/>
      <c r="VQK71" s="16"/>
      <c r="VQL71" s="16"/>
      <c r="VQM71" s="16"/>
      <c r="VQN71" s="16"/>
      <c r="VQO71" s="16"/>
      <c r="VQP71" s="16"/>
      <c r="VQQ71" s="16"/>
      <c r="VQR71" s="16"/>
      <c r="VQS71" s="16"/>
      <c r="VQT71" s="16"/>
      <c r="VQU71" s="16"/>
      <c r="VQV71" s="16"/>
      <c r="VQW71" s="16"/>
      <c r="VQX71" s="16"/>
      <c r="VQY71" s="16"/>
      <c r="VQZ71" s="16"/>
      <c r="VRA71" s="16"/>
      <c r="VRB71" s="16"/>
      <c r="VRC71" s="16"/>
      <c r="VRD71" s="16"/>
      <c r="VRE71" s="16"/>
      <c r="VRF71" s="16"/>
      <c r="VRG71" s="16"/>
      <c r="VRH71" s="16"/>
      <c r="VRI71" s="16"/>
      <c r="VRJ71" s="16"/>
      <c r="VRK71" s="16"/>
      <c r="VRL71" s="16"/>
      <c r="VRM71" s="16"/>
      <c r="VRN71" s="16"/>
      <c r="VRO71" s="16"/>
      <c r="VRP71" s="16"/>
      <c r="VRQ71" s="16"/>
      <c r="VRR71" s="16"/>
      <c r="VRS71" s="16"/>
      <c r="VRT71" s="16"/>
      <c r="VRU71" s="16"/>
      <c r="VRV71" s="16"/>
      <c r="VRW71" s="16"/>
      <c r="VRX71" s="16"/>
      <c r="VRY71" s="16"/>
      <c r="VRZ71" s="16"/>
      <c r="VSA71" s="16"/>
      <c r="VSB71" s="16"/>
      <c r="VSC71" s="16"/>
      <c r="VSD71" s="16"/>
      <c r="VSE71" s="16"/>
      <c r="VSF71" s="16"/>
      <c r="VSG71" s="16"/>
      <c r="VSH71" s="16"/>
      <c r="VSI71" s="16"/>
      <c r="VSJ71" s="16"/>
      <c r="VSK71" s="16"/>
      <c r="VSL71" s="16"/>
      <c r="VSM71" s="16"/>
      <c r="VSN71" s="16"/>
      <c r="VSO71" s="16"/>
      <c r="VSP71" s="16"/>
      <c r="VSQ71" s="16"/>
      <c r="VSR71" s="16"/>
      <c r="VSS71" s="16"/>
      <c r="VST71" s="16"/>
      <c r="VSU71" s="16"/>
      <c r="VSV71" s="16"/>
      <c r="VSW71" s="16"/>
      <c r="VSX71" s="16"/>
      <c r="VSY71" s="16"/>
      <c r="VSZ71" s="16"/>
      <c r="VTA71" s="16"/>
      <c r="VTB71" s="16"/>
      <c r="VTC71" s="16"/>
      <c r="VTD71" s="16"/>
      <c r="VTE71" s="16"/>
      <c r="VTF71" s="16"/>
      <c r="VTG71" s="16"/>
      <c r="VTH71" s="16"/>
      <c r="VTI71" s="16"/>
      <c r="VTJ71" s="16"/>
      <c r="VTK71" s="16"/>
      <c r="VTL71" s="16"/>
      <c r="VTM71" s="16"/>
      <c r="VTN71" s="16"/>
      <c r="VTO71" s="16"/>
      <c r="VTP71" s="16"/>
      <c r="VTQ71" s="16"/>
      <c r="VTR71" s="16"/>
      <c r="VTS71" s="16"/>
      <c r="VTT71" s="16"/>
      <c r="VTU71" s="16"/>
      <c r="VTV71" s="16"/>
      <c r="VTW71" s="16"/>
      <c r="VTX71" s="16"/>
      <c r="VTY71" s="16"/>
      <c r="VTZ71" s="16"/>
      <c r="VUA71" s="16"/>
      <c r="VUB71" s="16"/>
      <c r="VUC71" s="16"/>
      <c r="VUD71" s="16"/>
      <c r="VUE71" s="16"/>
      <c r="VUF71" s="16"/>
      <c r="VUG71" s="16"/>
      <c r="VUH71" s="16"/>
      <c r="VUI71" s="16"/>
      <c r="VUJ71" s="16"/>
      <c r="VUK71" s="16"/>
      <c r="VUL71" s="16"/>
      <c r="VUM71" s="16"/>
      <c r="VUN71" s="16"/>
      <c r="VUO71" s="16"/>
      <c r="VUP71" s="16"/>
      <c r="VUQ71" s="16"/>
      <c r="VUR71" s="16"/>
      <c r="VUS71" s="16"/>
      <c r="VUT71" s="16"/>
      <c r="VUU71" s="16"/>
      <c r="VUV71" s="16"/>
      <c r="VUW71" s="16"/>
      <c r="VUX71" s="16"/>
      <c r="VUY71" s="16"/>
      <c r="VUZ71" s="16"/>
      <c r="VVA71" s="16"/>
      <c r="VVB71" s="16"/>
      <c r="VVC71" s="16"/>
      <c r="VVD71" s="16"/>
      <c r="VVE71" s="16"/>
      <c r="VVF71" s="16"/>
      <c r="VVG71" s="16"/>
      <c r="VVH71" s="16"/>
      <c r="VVI71" s="16"/>
      <c r="VVJ71" s="16"/>
      <c r="VVK71" s="16"/>
      <c r="VVL71" s="16"/>
      <c r="VVM71" s="16"/>
      <c r="VVN71" s="16"/>
      <c r="VVO71" s="16"/>
      <c r="VVP71" s="16"/>
      <c r="VVQ71" s="16"/>
      <c r="VVR71" s="16"/>
      <c r="VVS71" s="16"/>
      <c r="VVT71" s="16"/>
      <c r="VVU71" s="16"/>
      <c r="VVV71" s="16"/>
      <c r="VVW71" s="16"/>
      <c r="VVX71" s="16"/>
      <c r="VVY71" s="16"/>
      <c r="VVZ71" s="16"/>
      <c r="VWA71" s="16"/>
      <c r="VWB71" s="16"/>
      <c r="VWC71" s="16"/>
      <c r="VWD71" s="16"/>
      <c r="VWE71" s="16"/>
      <c r="VWF71" s="16"/>
      <c r="VWG71" s="16"/>
      <c r="VWH71" s="16"/>
      <c r="VWI71" s="16"/>
      <c r="VWJ71" s="16"/>
      <c r="VWK71" s="16"/>
      <c r="VWL71" s="16"/>
      <c r="VWM71" s="16"/>
      <c r="VWN71" s="16"/>
      <c r="VWO71" s="16"/>
      <c r="VWP71" s="16"/>
      <c r="VWQ71" s="16"/>
      <c r="VWR71" s="16"/>
      <c r="VWS71" s="16"/>
      <c r="VWT71" s="16"/>
      <c r="VWU71" s="16"/>
      <c r="VWV71" s="16"/>
      <c r="VWW71" s="16"/>
      <c r="VWX71" s="16"/>
      <c r="VWY71" s="16"/>
      <c r="VWZ71" s="16"/>
      <c r="VXA71" s="16"/>
      <c r="VXB71" s="16"/>
      <c r="VXC71" s="16"/>
      <c r="VXD71" s="16"/>
      <c r="VXE71" s="16"/>
      <c r="VXF71" s="16"/>
      <c r="VXG71" s="16"/>
      <c r="VXH71" s="16"/>
      <c r="VXI71" s="16"/>
      <c r="VXJ71" s="16"/>
      <c r="VXK71" s="16"/>
      <c r="VXL71" s="16"/>
      <c r="VXM71" s="16"/>
      <c r="VXN71" s="16"/>
      <c r="VXO71" s="16"/>
      <c r="VXP71" s="16"/>
      <c r="VXQ71" s="16"/>
      <c r="VXR71" s="16"/>
      <c r="VXS71" s="16"/>
      <c r="VXT71" s="16"/>
      <c r="VXU71" s="16"/>
      <c r="VXV71" s="16"/>
      <c r="VXW71" s="16"/>
      <c r="VXX71" s="16"/>
      <c r="VXY71" s="16"/>
      <c r="VXZ71" s="16"/>
      <c r="VYA71" s="16"/>
      <c r="VYB71" s="16"/>
      <c r="VYC71" s="16"/>
      <c r="VYD71" s="16"/>
      <c r="VYE71" s="16"/>
      <c r="VYF71" s="16"/>
      <c r="VYG71" s="16"/>
      <c r="VYH71" s="16"/>
      <c r="VYI71" s="16"/>
      <c r="VYJ71" s="16"/>
      <c r="VYK71" s="16"/>
      <c r="VYL71" s="16"/>
      <c r="VYM71" s="16"/>
      <c r="VYN71" s="16"/>
      <c r="VYO71" s="16"/>
      <c r="VYP71" s="16"/>
      <c r="VYQ71" s="16"/>
      <c r="VYR71" s="16"/>
      <c r="VYS71" s="16"/>
      <c r="VYT71" s="16"/>
      <c r="VYU71" s="16"/>
      <c r="VYV71" s="16"/>
      <c r="VYW71" s="16"/>
      <c r="VYX71" s="16"/>
      <c r="VYY71" s="16"/>
      <c r="VYZ71" s="16"/>
      <c r="VZA71" s="16"/>
      <c r="VZB71" s="16"/>
      <c r="VZC71" s="16"/>
      <c r="VZD71" s="16"/>
      <c r="VZE71" s="16"/>
      <c r="VZF71" s="16"/>
      <c r="VZG71" s="16"/>
      <c r="VZH71" s="16"/>
      <c r="VZI71" s="16"/>
      <c r="VZJ71" s="16"/>
      <c r="VZK71" s="16"/>
      <c r="VZL71" s="16"/>
      <c r="VZM71" s="16"/>
      <c r="VZN71" s="16"/>
      <c r="VZO71" s="16"/>
      <c r="VZP71" s="16"/>
      <c r="VZQ71" s="16"/>
      <c r="VZR71" s="16"/>
      <c r="VZS71" s="16"/>
      <c r="VZT71" s="16"/>
      <c r="VZU71" s="16"/>
      <c r="VZV71" s="16"/>
      <c r="VZW71" s="16"/>
      <c r="VZX71" s="16"/>
      <c r="VZY71" s="16"/>
      <c r="VZZ71" s="16"/>
      <c r="WAA71" s="16"/>
      <c r="WAB71" s="16"/>
      <c r="WAC71" s="16"/>
      <c r="WAD71" s="16"/>
      <c r="WAE71" s="16"/>
      <c r="WAF71" s="16"/>
      <c r="WAG71" s="16"/>
      <c r="WAH71" s="16"/>
      <c r="WAI71" s="16"/>
      <c r="WAJ71" s="16"/>
      <c r="WAK71" s="16"/>
      <c r="WAL71" s="16"/>
      <c r="WAM71" s="16"/>
      <c r="WAN71" s="16"/>
      <c r="WAO71" s="16"/>
      <c r="WAP71" s="16"/>
      <c r="WAQ71" s="16"/>
      <c r="WAR71" s="16"/>
      <c r="WAS71" s="16"/>
      <c r="WAT71" s="16"/>
      <c r="WAU71" s="16"/>
      <c r="WAV71" s="16"/>
      <c r="WAW71" s="16"/>
      <c r="WAX71" s="16"/>
      <c r="WAY71" s="16"/>
      <c r="WAZ71" s="16"/>
      <c r="WBA71" s="16"/>
      <c r="WBB71" s="16"/>
      <c r="WBC71" s="16"/>
      <c r="WBD71" s="16"/>
      <c r="WBE71" s="16"/>
      <c r="WBF71" s="16"/>
      <c r="WBG71" s="16"/>
      <c r="WBH71" s="16"/>
      <c r="WBI71" s="16"/>
      <c r="WBJ71" s="16"/>
      <c r="WBK71" s="16"/>
      <c r="WBL71" s="16"/>
      <c r="WBM71" s="16"/>
      <c r="WBN71" s="16"/>
      <c r="WBO71" s="16"/>
      <c r="WBP71" s="16"/>
      <c r="WBQ71" s="16"/>
      <c r="WBR71" s="16"/>
      <c r="WBS71" s="16"/>
      <c r="WBT71" s="16"/>
      <c r="WBU71" s="16"/>
      <c r="WBV71" s="16"/>
      <c r="WBW71" s="16"/>
      <c r="WBX71" s="16"/>
      <c r="WBY71" s="16"/>
      <c r="WBZ71" s="16"/>
      <c r="WCA71" s="16"/>
      <c r="WCB71" s="16"/>
      <c r="WCC71" s="16"/>
      <c r="WCD71" s="16"/>
      <c r="WCE71" s="16"/>
      <c r="WCF71" s="16"/>
      <c r="WCG71" s="16"/>
      <c r="WCH71" s="16"/>
      <c r="WCI71" s="16"/>
      <c r="WCJ71" s="16"/>
      <c r="WCK71" s="16"/>
      <c r="WCL71" s="16"/>
      <c r="WCM71" s="16"/>
      <c r="WCN71" s="16"/>
      <c r="WCO71" s="16"/>
      <c r="WCP71" s="16"/>
      <c r="WCQ71" s="16"/>
      <c r="WCR71" s="16"/>
      <c r="WCS71" s="16"/>
      <c r="WCT71" s="16"/>
      <c r="WCU71" s="16"/>
      <c r="WCV71" s="16"/>
      <c r="WCW71" s="16"/>
      <c r="WCX71" s="16"/>
      <c r="WCY71" s="16"/>
      <c r="WCZ71" s="16"/>
      <c r="WDA71" s="16"/>
      <c r="WDB71" s="16"/>
      <c r="WDC71" s="16"/>
      <c r="WDD71" s="16"/>
      <c r="WDE71" s="16"/>
      <c r="WDF71" s="16"/>
      <c r="WDG71" s="16"/>
      <c r="WDH71" s="16"/>
      <c r="WDI71" s="16"/>
      <c r="WDJ71" s="16"/>
      <c r="WDK71" s="16"/>
      <c r="WDL71" s="16"/>
      <c r="WDM71" s="16"/>
      <c r="WDN71" s="16"/>
      <c r="WDO71" s="16"/>
      <c r="WDP71" s="16"/>
      <c r="WDQ71" s="16"/>
      <c r="WDR71" s="16"/>
      <c r="WDS71" s="16"/>
      <c r="WDT71" s="16"/>
      <c r="WDU71" s="16"/>
      <c r="WDV71" s="16"/>
      <c r="WDW71" s="16"/>
      <c r="WDX71" s="16"/>
      <c r="WDY71" s="16"/>
      <c r="WDZ71" s="16"/>
      <c r="WEA71" s="16"/>
      <c r="WEB71" s="16"/>
      <c r="WEC71" s="16"/>
      <c r="WED71" s="16"/>
      <c r="WEE71" s="16"/>
      <c r="WEF71" s="16"/>
      <c r="WEG71" s="16"/>
      <c r="WEH71" s="16"/>
      <c r="WEI71" s="16"/>
      <c r="WEJ71" s="16"/>
      <c r="WEK71" s="16"/>
      <c r="WEL71" s="16"/>
      <c r="WEM71" s="16"/>
      <c r="WEN71" s="16"/>
      <c r="WEO71" s="16"/>
      <c r="WEP71" s="16"/>
      <c r="WEQ71" s="16"/>
      <c r="WER71" s="16"/>
      <c r="WES71" s="16"/>
      <c r="WET71" s="16"/>
      <c r="WEU71" s="16"/>
      <c r="WEV71" s="16"/>
      <c r="WEW71" s="16"/>
      <c r="WEX71" s="16"/>
      <c r="WEY71" s="16"/>
      <c r="WEZ71" s="16"/>
      <c r="WFA71" s="16"/>
      <c r="WFB71" s="16"/>
      <c r="WFC71" s="16"/>
      <c r="WFD71" s="16"/>
      <c r="WFE71" s="16"/>
      <c r="WFF71" s="16"/>
      <c r="WFG71" s="16"/>
      <c r="WFH71" s="16"/>
      <c r="WFI71" s="16"/>
      <c r="WFJ71" s="16"/>
      <c r="WFK71" s="16"/>
      <c r="WFL71" s="16"/>
      <c r="WFM71" s="16"/>
      <c r="WFN71" s="16"/>
      <c r="WFO71" s="16"/>
      <c r="WFP71" s="16"/>
      <c r="WFQ71" s="16"/>
      <c r="WFR71" s="16"/>
      <c r="WFS71" s="16"/>
      <c r="WFT71" s="16"/>
      <c r="WFU71" s="16"/>
      <c r="WFV71" s="16"/>
      <c r="WFW71" s="16"/>
      <c r="WFX71" s="16"/>
      <c r="WFY71" s="16"/>
      <c r="WFZ71" s="16"/>
      <c r="WGA71" s="16"/>
      <c r="WGB71" s="16"/>
      <c r="WGC71" s="16"/>
      <c r="WGD71" s="16"/>
      <c r="WGE71" s="16"/>
      <c r="WGF71" s="16"/>
      <c r="WGG71" s="16"/>
      <c r="WGH71" s="16"/>
      <c r="WGI71" s="16"/>
      <c r="WGJ71" s="16"/>
      <c r="WGK71" s="16"/>
      <c r="WGL71" s="16"/>
      <c r="WGM71" s="16"/>
      <c r="WGN71" s="16"/>
      <c r="WGO71" s="16"/>
      <c r="WGP71" s="16"/>
      <c r="WGQ71" s="16"/>
      <c r="WGR71" s="16"/>
      <c r="WGS71" s="16"/>
      <c r="WGT71" s="16"/>
      <c r="WGU71" s="16"/>
      <c r="WGV71" s="16"/>
      <c r="WGW71" s="16"/>
      <c r="WGX71" s="16"/>
      <c r="WGY71" s="16"/>
      <c r="WGZ71" s="16"/>
      <c r="WHA71" s="16"/>
      <c r="WHB71" s="16"/>
      <c r="WHC71" s="16"/>
      <c r="WHD71" s="16"/>
      <c r="WHE71" s="16"/>
      <c r="WHF71" s="16"/>
      <c r="WHG71" s="16"/>
      <c r="WHH71" s="16"/>
      <c r="WHI71" s="16"/>
      <c r="WHJ71" s="16"/>
      <c r="WHK71" s="16"/>
      <c r="WHL71" s="16"/>
      <c r="WHM71" s="16"/>
      <c r="WHN71" s="16"/>
      <c r="WHO71" s="16"/>
      <c r="WHP71" s="16"/>
      <c r="WHQ71" s="16"/>
      <c r="WHR71" s="16"/>
      <c r="WHS71" s="16"/>
      <c r="WHT71" s="16"/>
      <c r="WHU71" s="16"/>
      <c r="WHV71" s="16"/>
      <c r="WHW71" s="16"/>
      <c r="WHX71" s="16"/>
      <c r="WHY71" s="16"/>
      <c r="WHZ71" s="16"/>
      <c r="WIA71" s="16"/>
      <c r="WIB71" s="16"/>
      <c r="WIC71" s="16"/>
      <c r="WID71" s="16"/>
      <c r="WIE71" s="16"/>
      <c r="WIF71" s="16"/>
      <c r="WIG71" s="16"/>
      <c r="WIH71" s="16"/>
      <c r="WII71" s="16"/>
      <c r="WIJ71" s="16"/>
      <c r="WIK71" s="16"/>
      <c r="WIL71" s="16"/>
      <c r="WIM71" s="16"/>
      <c r="WIN71" s="16"/>
      <c r="WIO71" s="16"/>
      <c r="WIP71" s="16"/>
      <c r="WIQ71" s="16"/>
      <c r="WIR71" s="16"/>
      <c r="WIS71" s="16"/>
      <c r="WIT71" s="16"/>
      <c r="WIU71" s="16"/>
      <c r="WIV71" s="16"/>
      <c r="WIW71" s="16"/>
      <c r="WIX71" s="16"/>
      <c r="WIY71" s="16"/>
      <c r="WIZ71" s="16"/>
      <c r="WJA71" s="16"/>
      <c r="WJB71" s="16"/>
      <c r="WJC71" s="16"/>
      <c r="WJD71" s="16"/>
      <c r="WJE71" s="16"/>
      <c r="WJF71" s="16"/>
      <c r="WJG71" s="16"/>
      <c r="WJH71" s="16"/>
      <c r="WJI71" s="16"/>
      <c r="WJJ71" s="16"/>
      <c r="WJK71" s="16"/>
      <c r="WJL71" s="16"/>
      <c r="WJM71" s="16"/>
      <c r="WJN71" s="16"/>
      <c r="WJO71" s="16"/>
      <c r="WJP71" s="16"/>
      <c r="WJQ71" s="16"/>
      <c r="WJR71" s="16"/>
      <c r="WJS71" s="16"/>
      <c r="WJT71" s="16"/>
      <c r="WJU71" s="16"/>
      <c r="WJV71" s="16"/>
      <c r="WJW71" s="16"/>
      <c r="WJX71" s="16"/>
      <c r="WJY71" s="16"/>
      <c r="WJZ71" s="16"/>
      <c r="WKA71" s="16"/>
      <c r="WKB71" s="16"/>
      <c r="WKC71" s="16"/>
      <c r="WKD71" s="16"/>
      <c r="WKE71" s="16"/>
      <c r="WKF71" s="16"/>
      <c r="WKG71" s="16"/>
      <c r="WKH71" s="16"/>
      <c r="WKI71" s="16"/>
      <c r="WKJ71" s="16"/>
      <c r="WKK71" s="16"/>
      <c r="WKL71" s="16"/>
      <c r="WKM71" s="16"/>
      <c r="WKN71" s="16"/>
      <c r="WKO71" s="16"/>
      <c r="WKP71" s="16"/>
      <c r="WKQ71" s="16"/>
      <c r="WKR71" s="16"/>
      <c r="WKS71" s="16"/>
      <c r="WKT71" s="16"/>
      <c r="WKU71" s="16"/>
      <c r="WKV71" s="16"/>
      <c r="WKW71" s="16"/>
      <c r="WKX71" s="16"/>
      <c r="WKY71" s="16"/>
      <c r="WKZ71" s="16"/>
      <c r="WLA71" s="16"/>
      <c r="WLB71" s="16"/>
      <c r="WLC71" s="16"/>
      <c r="WLD71" s="16"/>
      <c r="WLE71" s="16"/>
      <c r="WLF71" s="16"/>
      <c r="WLG71" s="16"/>
      <c r="WLH71" s="16"/>
      <c r="WLI71" s="16"/>
      <c r="WLJ71" s="16"/>
      <c r="WLK71" s="16"/>
      <c r="WLL71" s="16"/>
      <c r="WLM71" s="16"/>
      <c r="WLN71" s="16"/>
      <c r="WLO71" s="16"/>
      <c r="WLP71" s="16"/>
      <c r="WLQ71" s="16"/>
      <c r="WLR71" s="16"/>
      <c r="WLS71" s="16"/>
      <c r="WLT71" s="16"/>
      <c r="WLU71" s="16"/>
      <c r="WLV71" s="16"/>
      <c r="WLW71" s="16"/>
      <c r="WLX71" s="16"/>
      <c r="WLY71" s="16"/>
      <c r="WLZ71" s="16"/>
      <c r="WMA71" s="16"/>
      <c r="WMB71" s="16"/>
      <c r="WMC71" s="16"/>
      <c r="WMD71" s="16"/>
      <c r="WME71" s="16"/>
      <c r="WMF71" s="16"/>
      <c r="WMG71" s="16"/>
      <c r="WMH71" s="16"/>
      <c r="WMI71" s="16"/>
      <c r="WMJ71" s="16"/>
      <c r="WMK71" s="16"/>
      <c r="WML71" s="16"/>
      <c r="WMM71" s="16"/>
      <c r="WMN71" s="16"/>
      <c r="WMO71" s="16"/>
      <c r="WMP71" s="16"/>
      <c r="WMQ71" s="16"/>
      <c r="WMR71" s="16"/>
      <c r="WMS71" s="16"/>
      <c r="WMT71" s="16"/>
      <c r="WMU71" s="16"/>
      <c r="WMV71" s="16"/>
      <c r="WMW71" s="16"/>
      <c r="WMX71" s="16"/>
      <c r="WMY71" s="16"/>
      <c r="WMZ71" s="16"/>
      <c r="WNA71" s="16"/>
      <c r="WNB71" s="16"/>
      <c r="WNC71" s="16"/>
      <c r="WND71" s="16"/>
      <c r="WNE71" s="16"/>
      <c r="WNF71" s="16"/>
      <c r="WNG71" s="16"/>
      <c r="WNH71" s="16"/>
      <c r="WNI71" s="16"/>
      <c r="WNJ71" s="16"/>
      <c r="WNK71" s="16"/>
      <c r="WNL71" s="16"/>
      <c r="WNM71" s="16"/>
      <c r="WNN71" s="16"/>
      <c r="WNO71" s="16"/>
      <c r="WNP71" s="16"/>
      <c r="WNQ71" s="16"/>
      <c r="WNR71" s="16"/>
      <c r="WNS71" s="16"/>
      <c r="WNT71" s="16"/>
      <c r="WNU71" s="16"/>
      <c r="WNV71" s="16"/>
      <c r="WNW71" s="16"/>
      <c r="WNX71" s="16"/>
      <c r="WNY71" s="16"/>
      <c r="WNZ71" s="16"/>
      <c r="WOA71" s="16"/>
      <c r="WOB71" s="16"/>
      <c r="WOC71" s="16"/>
      <c r="WOD71" s="16"/>
      <c r="WOE71" s="16"/>
      <c r="WOF71" s="16"/>
      <c r="WOG71" s="16"/>
      <c r="WOH71" s="16"/>
      <c r="WOI71" s="16"/>
      <c r="WOJ71" s="16"/>
      <c r="WOK71" s="16"/>
      <c r="WOL71" s="16"/>
      <c r="WOM71" s="16"/>
      <c r="WON71" s="16"/>
      <c r="WOO71" s="16"/>
      <c r="WOP71" s="16"/>
      <c r="WOQ71" s="16"/>
      <c r="WOR71" s="16"/>
      <c r="WOS71" s="16"/>
      <c r="WOT71" s="16"/>
      <c r="WOU71" s="16"/>
      <c r="WOV71" s="16"/>
      <c r="WOW71" s="16"/>
      <c r="WOX71" s="16"/>
      <c r="WOY71" s="16"/>
      <c r="WOZ71" s="16"/>
      <c r="WPA71" s="16"/>
      <c r="WPB71" s="16"/>
      <c r="WPC71" s="16"/>
      <c r="WPD71" s="16"/>
      <c r="WPE71" s="16"/>
      <c r="WPF71" s="16"/>
      <c r="WPG71" s="16"/>
      <c r="WPH71" s="16"/>
      <c r="WPI71" s="16"/>
      <c r="WPJ71" s="16"/>
      <c r="WPK71" s="16"/>
      <c r="WPL71" s="16"/>
      <c r="WPM71" s="16"/>
      <c r="WPN71" s="16"/>
      <c r="WPO71" s="16"/>
      <c r="WPP71" s="16"/>
      <c r="WPQ71" s="16"/>
      <c r="WPR71" s="16"/>
      <c r="WPS71" s="16"/>
      <c r="WPT71" s="16"/>
      <c r="WPU71" s="16"/>
      <c r="WPV71" s="16"/>
      <c r="WPW71" s="16"/>
      <c r="WPX71" s="16"/>
      <c r="WPY71" s="16"/>
      <c r="WPZ71" s="16"/>
      <c r="WQA71" s="16"/>
      <c r="WQB71" s="16"/>
      <c r="WQC71" s="16"/>
      <c r="WQD71" s="16"/>
      <c r="WQE71" s="16"/>
      <c r="WQF71" s="16"/>
      <c r="WQG71" s="16"/>
      <c r="WQH71" s="16"/>
      <c r="WQI71" s="16"/>
      <c r="WQJ71" s="16"/>
      <c r="WQK71" s="16"/>
      <c r="WQL71" s="16"/>
      <c r="WQM71" s="16"/>
      <c r="WQN71" s="16"/>
      <c r="WQO71" s="16"/>
      <c r="WQP71" s="16"/>
      <c r="WQQ71" s="16"/>
      <c r="WQR71" s="16"/>
      <c r="WQS71" s="16"/>
      <c r="WQT71" s="16"/>
      <c r="WQU71" s="16"/>
      <c r="WQV71" s="16"/>
      <c r="WQW71" s="16"/>
      <c r="WQX71" s="16"/>
      <c r="WQY71" s="16"/>
      <c r="WQZ71" s="16"/>
      <c r="WRA71" s="16"/>
      <c r="WRB71" s="16"/>
      <c r="WRC71" s="16"/>
      <c r="WRD71" s="16"/>
      <c r="WRE71" s="16"/>
      <c r="WRF71" s="16"/>
      <c r="WRG71" s="16"/>
      <c r="WRH71" s="16"/>
      <c r="WRI71" s="16"/>
      <c r="WRJ71" s="16"/>
      <c r="WRK71" s="16"/>
      <c r="WRL71" s="16"/>
      <c r="WRM71" s="16"/>
      <c r="WRN71" s="16"/>
      <c r="WRO71" s="16"/>
      <c r="WRP71" s="16"/>
      <c r="WRQ71" s="16"/>
      <c r="WRR71" s="16"/>
      <c r="WRS71" s="16"/>
      <c r="WRT71" s="16"/>
      <c r="WRU71" s="16"/>
      <c r="WRV71" s="16"/>
      <c r="WRW71" s="16"/>
      <c r="WRX71" s="16"/>
      <c r="WRY71" s="16"/>
      <c r="WRZ71" s="16"/>
      <c r="WSA71" s="16"/>
      <c r="WSB71" s="16"/>
      <c r="WSC71" s="16"/>
      <c r="WSD71" s="16"/>
      <c r="WSE71" s="16"/>
      <c r="WSF71" s="16"/>
      <c r="WSG71" s="16"/>
      <c r="WSH71" s="16"/>
      <c r="WSI71" s="16"/>
      <c r="WSJ71" s="16"/>
      <c r="WSK71" s="16"/>
      <c r="WSL71" s="16"/>
      <c r="WSM71" s="16"/>
      <c r="WSN71" s="16"/>
      <c r="WSO71" s="16"/>
      <c r="WSP71" s="16"/>
      <c r="WSQ71" s="16"/>
      <c r="WSR71" s="16"/>
      <c r="WSS71" s="16"/>
      <c r="WST71" s="16"/>
      <c r="WSU71" s="16"/>
      <c r="WSV71" s="16"/>
      <c r="WSW71" s="16"/>
      <c r="WSX71" s="16"/>
      <c r="WSY71" s="16"/>
      <c r="WSZ71" s="16"/>
      <c r="WTA71" s="16"/>
      <c r="WTB71" s="16"/>
      <c r="WTC71" s="16"/>
      <c r="WTD71" s="16"/>
      <c r="WTE71" s="16"/>
      <c r="WTF71" s="16"/>
      <c r="WTG71" s="16"/>
      <c r="WTH71" s="16"/>
      <c r="WTI71" s="16"/>
      <c r="WTJ71" s="16"/>
      <c r="WTK71" s="16"/>
      <c r="WTL71" s="16"/>
      <c r="WTM71" s="16"/>
      <c r="WTN71" s="16"/>
      <c r="WTO71" s="16"/>
      <c r="WTP71" s="16"/>
      <c r="WTQ71" s="16"/>
      <c r="WTR71" s="16"/>
      <c r="WTS71" s="16"/>
      <c r="WTT71" s="16"/>
      <c r="WTU71" s="16"/>
      <c r="WTV71" s="16"/>
      <c r="WTW71" s="16"/>
      <c r="WTX71" s="16"/>
      <c r="WTY71" s="16"/>
      <c r="WTZ71" s="16"/>
      <c r="WUA71" s="16"/>
      <c r="WUB71" s="16"/>
      <c r="WUC71" s="16"/>
      <c r="WUD71" s="16"/>
      <c r="WUE71" s="16"/>
      <c r="WUF71" s="16"/>
      <c r="WUG71" s="16"/>
      <c r="WUH71" s="16"/>
      <c r="WUI71" s="16"/>
      <c r="WUJ71" s="16"/>
      <c r="WUK71" s="16"/>
      <c r="WUL71" s="16"/>
      <c r="WUM71" s="16"/>
      <c r="WUN71" s="16"/>
      <c r="WUO71" s="16"/>
      <c r="WUP71" s="16"/>
      <c r="WUQ71" s="16"/>
      <c r="WUR71" s="16"/>
      <c r="WUS71" s="16"/>
      <c r="WUT71" s="16"/>
      <c r="WUU71" s="16"/>
      <c r="WUV71" s="16"/>
      <c r="WUW71" s="16"/>
      <c r="WUX71" s="16"/>
      <c r="WUY71" s="16"/>
      <c r="WUZ71" s="16"/>
      <c r="WVA71" s="16"/>
      <c r="WVB71" s="16"/>
      <c r="WVC71" s="16"/>
      <c r="WVD71" s="16"/>
      <c r="WVE71" s="16"/>
      <c r="WVF71" s="16"/>
      <c r="WVG71" s="16"/>
      <c r="WVH71" s="16"/>
      <c r="WVI71" s="16"/>
      <c r="WVJ71" s="16"/>
      <c r="WVK71" s="16"/>
      <c r="WVL71" s="16"/>
      <c r="WVM71" s="16"/>
      <c r="WVN71" s="16"/>
      <c r="WVO71" s="16"/>
      <c r="WVP71" s="16"/>
      <c r="WVQ71" s="16"/>
      <c r="WVR71" s="16"/>
      <c r="WVS71" s="16"/>
      <c r="WVT71" s="16"/>
      <c r="WVU71" s="16"/>
      <c r="WVV71" s="16"/>
      <c r="WVW71" s="16"/>
      <c r="WVX71" s="16"/>
      <c r="WVY71" s="16"/>
      <c r="WVZ71" s="16"/>
      <c r="WWA71" s="16"/>
      <c r="WWB71" s="16"/>
      <c r="WWC71" s="16"/>
      <c r="WWD71" s="16"/>
      <c r="WWE71" s="16"/>
      <c r="WWF71" s="16"/>
      <c r="WWG71" s="16"/>
      <c r="WWH71" s="16"/>
      <c r="WWI71" s="16"/>
      <c r="WWJ71" s="16"/>
    </row>
    <row r="72" spans="3:16156" s="20" customFormat="1" ht="13.5" customHeight="1" x14ac:dyDescent="0.2"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33">
        <v>90.37</v>
      </c>
      <c r="Z72" s="25">
        <f t="shared" ref="Z72:Z74" si="5">Z71+Y72</f>
        <v>-1036.96</v>
      </c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  <c r="IY72" s="16"/>
      <c r="IZ72" s="16"/>
      <c r="JA72" s="16"/>
      <c r="JB72" s="16"/>
      <c r="JC72" s="16"/>
      <c r="JD72" s="16"/>
      <c r="JE72" s="16"/>
      <c r="JF72" s="16"/>
      <c r="JG72" s="16"/>
      <c r="JH72" s="16"/>
      <c r="JI72" s="16"/>
      <c r="JJ72" s="16"/>
      <c r="JK72" s="16"/>
      <c r="JL72" s="16"/>
      <c r="JM72" s="16"/>
      <c r="JN72" s="16"/>
      <c r="JO72" s="16"/>
      <c r="JP72" s="16"/>
      <c r="JQ72" s="16"/>
      <c r="JR72" s="16"/>
      <c r="JS72" s="16"/>
      <c r="JT72" s="16"/>
      <c r="JU72" s="16"/>
      <c r="JV72" s="16"/>
      <c r="JW72" s="16"/>
      <c r="JX72" s="16"/>
      <c r="JY72" s="16"/>
      <c r="JZ72" s="16"/>
      <c r="KA72" s="16"/>
      <c r="KB72" s="16"/>
      <c r="KC72" s="16"/>
      <c r="KD72" s="16"/>
      <c r="KE72" s="16"/>
      <c r="KF72" s="16"/>
      <c r="KG72" s="16"/>
      <c r="KH72" s="16"/>
      <c r="KI72" s="16"/>
      <c r="KJ72" s="16"/>
      <c r="KK72" s="16"/>
      <c r="KL72" s="16"/>
      <c r="KM72" s="16"/>
      <c r="KN72" s="16"/>
      <c r="KO72" s="16"/>
      <c r="KP72" s="16"/>
      <c r="KQ72" s="16"/>
      <c r="KR72" s="16"/>
      <c r="KS72" s="16"/>
      <c r="KT72" s="16"/>
      <c r="KU72" s="16"/>
      <c r="KV72" s="16"/>
      <c r="KW72" s="16"/>
      <c r="KX72" s="16"/>
      <c r="KY72" s="16"/>
      <c r="KZ72" s="16"/>
      <c r="LA72" s="16"/>
      <c r="LB72" s="16"/>
      <c r="LC72" s="16"/>
      <c r="LD72" s="16"/>
      <c r="LE72" s="16"/>
      <c r="LF72" s="16"/>
      <c r="LG72" s="16"/>
      <c r="LH72" s="16"/>
      <c r="LI72" s="16"/>
      <c r="LJ72" s="16"/>
      <c r="LK72" s="16"/>
      <c r="LL72" s="16"/>
      <c r="LM72" s="16"/>
      <c r="LN72" s="16"/>
      <c r="LO72" s="16"/>
      <c r="LP72" s="16"/>
      <c r="LQ72" s="16"/>
      <c r="LR72" s="16"/>
      <c r="LS72" s="16"/>
      <c r="LT72" s="16"/>
      <c r="LU72" s="16"/>
      <c r="LV72" s="16"/>
      <c r="LW72" s="16"/>
      <c r="LX72" s="16"/>
      <c r="LY72" s="16"/>
      <c r="LZ72" s="16"/>
      <c r="MA72" s="16"/>
      <c r="MB72" s="16"/>
      <c r="MC72" s="16"/>
      <c r="MD72" s="16"/>
      <c r="ME72" s="16"/>
      <c r="MF72" s="16"/>
      <c r="MG72" s="16"/>
      <c r="MH72" s="16"/>
      <c r="MI72" s="16"/>
      <c r="MJ72" s="16"/>
      <c r="MK72" s="16"/>
      <c r="ML72" s="16"/>
      <c r="MM72" s="16"/>
      <c r="MN72" s="16"/>
      <c r="MO72" s="16"/>
      <c r="MP72" s="16"/>
      <c r="MQ72" s="16"/>
      <c r="MR72" s="16"/>
      <c r="MS72" s="16"/>
      <c r="MT72" s="16"/>
      <c r="MU72" s="16"/>
      <c r="MV72" s="16"/>
      <c r="MW72" s="16"/>
      <c r="MX72" s="16"/>
      <c r="MY72" s="16"/>
      <c r="MZ72" s="16"/>
      <c r="NA72" s="16"/>
      <c r="NB72" s="16"/>
      <c r="NC72" s="16"/>
      <c r="ND72" s="16"/>
      <c r="NE72" s="16"/>
      <c r="NF72" s="16"/>
      <c r="NG72" s="16"/>
      <c r="NH72" s="16"/>
      <c r="NI72" s="16"/>
      <c r="NJ72" s="16"/>
      <c r="NK72" s="16"/>
      <c r="NL72" s="16"/>
      <c r="NM72" s="16"/>
      <c r="NN72" s="16"/>
      <c r="NO72" s="16"/>
      <c r="NP72" s="16"/>
      <c r="NQ72" s="16"/>
      <c r="NR72" s="16"/>
      <c r="NS72" s="16"/>
      <c r="NT72" s="16"/>
      <c r="NU72" s="16"/>
      <c r="NV72" s="16"/>
      <c r="NW72" s="16"/>
      <c r="NX72" s="16"/>
      <c r="NY72" s="16"/>
      <c r="NZ72" s="16"/>
      <c r="OA72" s="16"/>
      <c r="OB72" s="16"/>
      <c r="OC72" s="16"/>
      <c r="OD72" s="16"/>
      <c r="OE72" s="16"/>
      <c r="OF72" s="16"/>
      <c r="OG72" s="16"/>
      <c r="OH72" s="16"/>
      <c r="OI72" s="16"/>
      <c r="OJ72" s="16"/>
      <c r="OK72" s="16"/>
      <c r="OL72" s="16"/>
      <c r="OM72" s="16"/>
      <c r="ON72" s="16"/>
      <c r="OO72" s="16"/>
      <c r="OP72" s="16"/>
      <c r="OQ72" s="16"/>
      <c r="OR72" s="16"/>
      <c r="OS72" s="16"/>
      <c r="OT72" s="16"/>
      <c r="OU72" s="16"/>
      <c r="OV72" s="16"/>
      <c r="OW72" s="16"/>
      <c r="OX72" s="16"/>
      <c r="OY72" s="16"/>
      <c r="OZ72" s="16"/>
      <c r="PA72" s="16"/>
      <c r="PB72" s="16"/>
      <c r="PC72" s="16"/>
      <c r="PD72" s="16"/>
      <c r="PE72" s="16"/>
      <c r="PF72" s="16"/>
      <c r="PG72" s="16"/>
      <c r="PH72" s="16"/>
      <c r="PI72" s="16"/>
      <c r="PJ72" s="16"/>
      <c r="PK72" s="16"/>
      <c r="PL72" s="16"/>
      <c r="PM72" s="16"/>
      <c r="PN72" s="16"/>
      <c r="PO72" s="16"/>
      <c r="PP72" s="16"/>
      <c r="PQ72" s="16"/>
      <c r="PR72" s="16"/>
      <c r="PS72" s="16"/>
      <c r="PT72" s="16"/>
      <c r="PU72" s="16"/>
      <c r="PV72" s="16"/>
      <c r="PW72" s="16"/>
      <c r="PX72" s="16"/>
      <c r="PY72" s="16"/>
      <c r="PZ72" s="16"/>
      <c r="QA72" s="16"/>
      <c r="QB72" s="16"/>
      <c r="QC72" s="16"/>
      <c r="QD72" s="16"/>
      <c r="QE72" s="16"/>
      <c r="QF72" s="16"/>
      <c r="QG72" s="16"/>
      <c r="QH72" s="16"/>
      <c r="QI72" s="16"/>
      <c r="QJ72" s="16"/>
      <c r="QK72" s="16"/>
      <c r="QL72" s="16"/>
      <c r="QM72" s="16"/>
      <c r="QN72" s="16"/>
      <c r="QO72" s="16"/>
      <c r="QP72" s="16"/>
      <c r="QQ72" s="16"/>
      <c r="QR72" s="16"/>
      <c r="QS72" s="16"/>
      <c r="QT72" s="16"/>
      <c r="QU72" s="16"/>
      <c r="QV72" s="16"/>
      <c r="QW72" s="16"/>
      <c r="QX72" s="16"/>
      <c r="QY72" s="16"/>
      <c r="QZ72" s="16"/>
      <c r="RA72" s="16"/>
      <c r="RB72" s="16"/>
      <c r="RC72" s="16"/>
      <c r="RD72" s="16"/>
      <c r="RE72" s="16"/>
      <c r="RF72" s="16"/>
      <c r="RG72" s="16"/>
      <c r="RH72" s="16"/>
      <c r="RI72" s="16"/>
      <c r="RJ72" s="16"/>
      <c r="RK72" s="16"/>
      <c r="RL72" s="16"/>
      <c r="RM72" s="16"/>
      <c r="RN72" s="16"/>
      <c r="RO72" s="16"/>
      <c r="RP72" s="16"/>
      <c r="RQ72" s="16"/>
      <c r="RR72" s="16"/>
      <c r="RS72" s="16"/>
      <c r="RT72" s="16"/>
      <c r="RU72" s="16"/>
      <c r="RV72" s="16"/>
      <c r="RW72" s="16"/>
      <c r="RX72" s="16"/>
      <c r="RY72" s="16"/>
      <c r="RZ72" s="16"/>
      <c r="SA72" s="16"/>
      <c r="SB72" s="16"/>
      <c r="SC72" s="16"/>
      <c r="SD72" s="16"/>
      <c r="SE72" s="16"/>
      <c r="SF72" s="16"/>
      <c r="SG72" s="16"/>
      <c r="SH72" s="16"/>
      <c r="SI72" s="16"/>
      <c r="SJ72" s="16"/>
      <c r="SK72" s="16"/>
      <c r="SL72" s="16"/>
      <c r="SM72" s="16"/>
      <c r="SN72" s="16"/>
      <c r="SO72" s="16"/>
      <c r="SP72" s="16"/>
      <c r="SQ72" s="16"/>
      <c r="SR72" s="16"/>
      <c r="SS72" s="16"/>
      <c r="ST72" s="16"/>
      <c r="SU72" s="16"/>
      <c r="SV72" s="16"/>
      <c r="SW72" s="16"/>
      <c r="SX72" s="16"/>
      <c r="SY72" s="16"/>
      <c r="SZ72" s="16"/>
      <c r="TA72" s="16"/>
      <c r="TB72" s="16"/>
      <c r="TC72" s="16"/>
      <c r="TD72" s="16"/>
      <c r="TE72" s="16"/>
      <c r="TF72" s="16"/>
      <c r="TG72" s="16"/>
      <c r="TH72" s="16"/>
      <c r="TI72" s="16"/>
      <c r="TJ72" s="16"/>
      <c r="TK72" s="16"/>
      <c r="TL72" s="16"/>
      <c r="TM72" s="16"/>
      <c r="TN72" s="16"/>
      <c r="TO72" s="16"/>
      <c r="TP72" s="16"/>
      <c r="TQ72" s="16"/>
      <c r="TR72" s="16"/>
      <c r="TS72" s="16"/>
      <c r="TT72" s="16"/>
      <c r="TU72" s="16"/>
      <c r="TV72" s="16"/>
      <c r="TW72" s="16"/>
      <c r="TX72" s="16"/>
      <c r="TY72" s="16"/>
      <c r="TZ72" s="16"/>
      <c r="UA72" s="16"/>
      <c r="UB72" s="16"/>
      <c r="UC72" s="16"/>
      <c r="UD72" s="16"/>
      <c r="UE72" s="16"/>
      <c r="UF72" s="16"/>
      <c r="UG72" s="16"/>
      <c r="UH72" s="16"/>
      <c r="UI72" s="16"/>
      <c r="UJ72" s="16"/>
      <c r="UK72" s="16"/>
      <c r="UL72" s="16"/>
      <c r="UM72" s="16"/>
      <c r="UN72" s="16"/>
      <c r="UO72" s="16"/>
      <c r="UP72" s="16"/>
      <c r="UQ72" s="16"/>
      <c r="UR72" s="16"/>
      <c r="US72" s="16"/>
      <c r="UT72" s="16"/>
      <c r="UU72" s="16"/>
      <c r="UV72" s="16"/>
      <c r="UW72" s="16"/>
      <c r="UX72" s="16"/>
      <c r="UY72" s="16"/>
      <c r="UZ72" s="16"/>
      <c r="VA72" s="16"/>
      <c r="VB72" s="16"/>
      <c r="VC72" s="16"/>
      <c r="VD72" s="16"/>
      <c r="VE72" s="16"/>
      <c r="VF72" s="16"/>
      <c r="VG72" s="16"/>
      <c r="VH72" s="16"/>
      <c r="VI72" s="16"/>
      <c r="VJ72" s="16"/>
      <c r="VK72" s="16"/>
      <c r="VL72" s="16"/>
      <c r="VM72" s="16"/>
      <c r="VN72" s="16"/>
      <c r="VO72" s="16"/>
      <c r="VP72" s="16"/>
      <c r="VQ72" s="16"/>
      <c r="VR72" s="16"/>
      <c r="VS72" s="16"/>
      <c r="VT72" s="16"/>
      <c r="VU72" s="16"/>
      <c r="VV72" s="16"/>
      <c r="VW72" s="16"/>
      <c r="VX72" s="16"/>
      <c r="VY72" s="16"/>
      <c r="VZ72" s="16"/>
      <c r="WA72" s="16"/>
      <c r="WB72" s="16"/>
      <c r="WC72" s="16"/>
      <c r="WD72" s="16"/>
      <c r="WE72" s="16"/>
      <c r="WF72" s="16"/>
      <c r="WG72" s="16"/>
      <c r="WH72" s="16"/>
      <c r="WI72" s="16"/>
      <c r="WJ72" s="16"/>
      <c r="WK72" s="16"/>
      <c r="WL72" s="16"/>
      <c r="WM72" s="16"/>
      <c r="WN72" s="16"/>
      <c r="WO72" s="16"/>
      <c r="WP72" s="16"/>
      <c r="WQ72" s="16"/>
      <c r="WR72" s="16"/>
      <c r="WS72" s="16"/>
      <c r="WT72" s="16"/>
      <c r="WU72" s="16"/>
      <c r="WV72" s="16"/>
      <c r="WW72" s="16"/>
      <c r="WX72" s="16"/>
      <c r="WY72" s="16"/>
      <c r="WZ72" s="16"/>
      <c r="XA72" s="16"/>
      <c r="XB72" s="16"/>
      <c r="XC72" s="16"/>
      <c r="XD72" s="16"/>
      <c r="XE72" s="16"/>
      <c r="XF72" s="16"/>
      <c r="XG72" s="16"/>
      <c r="XH72" s="16"/>
      <c r="XI72" s="16"/>
      <c r="XJ72" s="16"/>
      <c r="XK72" s="16"/>
      <c r="XL72" s="16"/>
      <c r="XM72" s="16"/>
      <c r="XN72" s="16"/>
      <c r="XO72" s="16"/>
      <c r="XP72" s="16"/>
      <c r="XQ72" s="16"/>
      <c r="XR72" s="16"/>
      <c r="XS72" s="16"/>
      <c r="XT72" s="16"/>
      <c r="XU72" s="16"/>
      <c r="XV72" s="16"/>
      <c r="XW72" s="16"/>
      <c r="XX72" s="16"/>
      <c r="XY72" s="16"/>
      <c r="XZ72" s="16"/>
      <c r="YA72" s="16"/>
      <c r="YB72" s="16"/>
      <c r="YC72" s="16"/>
      <c r="YD72" s="16"/>
      <c r="YE72" s="16"/>
      <c r="YF72" s="16"/>
      <c r="YG72" s="16"/>
      <c r="YH72" s="16"/>
      <c r="YI72" s="16"/>
      <c r="YJ72" s="16"/>
      <c r="YK72" s="16"/>
      <c r="YL72" s="16"/>
      <c r="YM72" s="16"/>
      <c r="YN72" s="16"/>
      <c r="YO72" s="16"/>
      <c r="YP72" s="16"/>
      <c r="YQ72" s="16"/>
      <c r="YR72" s="16"/>
      <c r="YS72" s="16"/>
      <c r="YT72" s="16"/>
      <c r="YU72" s="16"/>
      <c r="YV72" s="16"/>
      <c r="YW72" s="16"/>
      <c r="YX72" s="16"/>
      <c r="YY72" s="16"/>
      <c r="YZ72" s="16"/>
      <c r="ZA72" s="16"/>
      <c r="ZB72" s="16"/>
      <c r="ZC72" s="16"/>
      <c r="ZD72" s="16"/>
      <c r="ZE72" s="16"/>
      <c r="ZF72" s="16"/>
      <c r="ZG72" s="16"/>
      <c r="ZH72" s="16"/>
      <c r="ZI72" s="16"/>
      <c r="ZJ72" s="16"/>
      <c r="ZK72" s="16"/>
      <c r="ZL72" s="16"/>
      <c r="ZM72" s="16"/>
      <c r="ZN72" s="16"/>
      <c r="ZO72" s="16"/>
      <c r="ZP72" s="16"/>
      <c r="ZQ72" s="16"/>
      <c r="ZR72" s="16"/>
      <c r="ZS72" s="16"/>
      <c r="ZT72" s="16"/>
      <c r="ZU72" s="16"/>
      <c r="ZV72" s="16"/>
      <c r="ZW72" s="16"/>
      <c r="ZX72" s="16"/>
      <c r="ZY72" s="16"/>
      <c r="ZZ72" s="16"/>
      <c r="AAA72" s="16"/>
      <c r="AAB72" s="16"/>
      <c r="AAC72" s="16"/>
      <c r="AAD72" s="16"/>
      <c r="AAE72" s="16"/>
      <c r="AAF72" s="16"/>
      <c r="AAG72" s="16"/>
      <c r="AAH72" s="16"/>
      <c r="AAI72" s="16"/>
      <c r="AAJ72" s="16"/>
      <c r="AAK72" s="16"/>
      <c r="AAL72" s="16"/>
      <c r="AAM72" s="16"/>
      <c r="AAN72" s="16"/>
      <c r="AAO72" s="16"/>
      <c r="AAP72" s="16"/>
      <c r="AAQ72" s="16"/>
      <c r="AAR72" s="16"/>
      <c r="AAS72" s="16"/>
      <c r="AAT72" s="16"/>
      <c r="AAU72" s="16"/>
      <c r="AAV72" s="16"/>
      <c r="AAW72" s="16"/>
      <c r="AAX72" s="16"/>
      <c r="AAY72" s="16"/>
      <c r="AAZ72" s="16"/>
      <c r="ABA72" s="16"/>
      <c r="ABB72" s="16"/>
      <c r="ABC72" s="16"/>
      <c r="ABD72" s="16"/>
      <c r="ABE72" s="16"/>
      <c r="ABF72" s="16"/>
      <c r="ABG72" s="16"/>
      <c r="ABH72" s="16"/>
      <c r="ABI72" s="16"/>
      <c r="ABJ72" s="16"/>
      <c r="ABK72" s="16"/>
      <c r="ABL72" s="16"/>
      <c r="ABM72" s="16"/>
      <c r="ABN72" s="16"/>
      <c r="ABO72" s="16"/>
      <c r="ABP72" s="16"/>
      <c r="ABQ72" s="16"/>
      <c r="ABR72" s="16"/>
      <c r="ABS72" s="16"/>
      <c r="ABT72" s="16"/>
      <c r="ABU72" s="16"/>
      <c r="ABV72" s="16"/>
      <c r="ABW72" s="16"/>
      <c r="ABX72" s="16"/>
      <c r="ABY72" s="16"/>
      <c r="ABZ72" s="16"/>
      <c r="ACA72" s="16"/>
      <c r="ACB72" s="16"/>
      <c r="ACC72" s="16"/>
      <c r="ACD72" s="16"/>
      <c r="ACE72" s="16"/>
      <c r="ACF72" s="16"/>
      <c r="ACG72" s="16"/>
      <c r="ACH72" s="16"/>
      <c r="ACI72" s="16"/>
      <c r="ACJ72" s="16"/>
      <c r="ACK72" s="16"/>
      <c r="ACL72" s="16"/>
      <c r="ACM72" s="16"/>
      <c r="ACN72" s="16"/>
      <c r="ACO72" s="16"/>
      <c r="ACP72" s="16"/>
      <c r="ACQ72" s="16"/>
      <c r="ACR72" s="16"/>
      <c r="ACS72" s="16"/>
      <c r="ACT72" s="16"/>
      <c r="ACU72" s="16"/>
      <c r="ACV72" s="16"/>
      <c r="ACW72" s="16"/>
      <c r="ACX72" s="16"/>
      <c r="ACY72" s="16"/>
      <c r="ACZ72" s="16"/>
      <c r="ADA72" s="16"/>
      <c r="ADB72" s="16"/>
      <c r="ADC72" s="16"/>
      <c r="ADD72" s="16"/>
      <c r="ADE72" s="16"/>
      <c r="ADF72" s="16"/>
      <c r="ADG72" s="16"/>
      <c r="ADH72" s="16"/>
      <c r="ADI72" s="16"/>
      <c r="ADJ72" s="16"/>
      <c r="ADK72" s="16"/>
      <c r="ADL72" s="16"/>
      <c r="ADM72" s="16"/>
      <c r="ADN72" s="16"/>
      <c r="ADO72" s="16"/>
      <c r="ADP72" s="16"/>
      <c r="ADQ72" s="16"/>
      <c r="ADR72" s="16"/>
      <c r="ADS72" s="16"/>
      <c r="ADT72" s="16"/>
      <c r="ADU72" s="16"/>
      <c r="ADV72" s="16"/>
      <c r="ADW72" s="16"/>
      <c r="ADX72" s="16"/>
      <c r="ADY72" s="16"/>
      <c r="ADZ72" s="16"/>
      <c r="AEA72" s="16"/>
      <c r="AEB72" s="16"/>
      <c r="AEC72" s="16"/>
      <c r="AED72" s="16"/>
      <c r="AEE72" s="16"/>
      <c r="AEF72" s="16"/>
      <c r="AEG72" s="16"/>
      <c r="AEH72" s="16"/>
      <c r="AEI72" s="16"/>
      <c r="AEJ72" s="16"/>
      <c r="AEK72" s="16"/>
      <c r="AEL72" s="16"/>
      <c r="AEM72" s="16"/>
      <c r="AEN72" s="16"/>
      <c r="AEO72" s="16"/>
      <c r="AEP72" s="16"/>
      <c r="AEQ72" s="16"/>
      <c r="AER72" s="16"/>
      <c r="AES72" s="16"/>
      <c r="AET72" s="16"/>
      <c r="AEU72" s="16"/>
      <c r="AEV72" s="16"/>
      <c r="AEW72" s="16"/>
      <c r="AEX72" s="16"/>
      <c r="AEY72" s="16"/>
      <c r="AEZ72" s="16"/>
      <c r="AFA72" s="16"/>
      <c r="AFB72" s="16"/>
      <c r="AFC72" s="16"/>
      <c r="AFD72" s="16"/>
      <c r="AFE72" s="16"/>
      <c r="AFF72" s="16"/>
      <c r="AFG72" s="16"/>
      <c r="AFH72" s="16"/>
      <c r="AFI72" s="16"/>
      <c r="AFJ72" s="16"/>
      <c r="AFK72" s="16"/>
      <c r="AFL72" s="16"/>
      <c r="AFM72" s="16"/>
      <c r="AFN72" s="16"/>
      <c r="AFO72" s="16"/>
      <c r="AFP72" s="16"/>
      <c r="AFQ72" s="16"/>
      <c r="AFR72" s="16"/>
      <c r="AFS72" s="16"/>
      <c r="AFT72" s="16"/>
      <c r="AFU72" s="16"/>
      <c r="AFV72" s="16"/>
      <c r="AFW72" s="16"/>
      <c r="AFX72" s="16"/>
      <c r="AFY72" s="16"/>
      <c r="AFZ72" s="16"/>
      <c r="AGA72" s="16"/>
      <c r="AGB72" s="16"/>
      <c r="AGC72" s="16"/>
      <c r="AGD72" s="16"/>
      <c r="AGE72" s="16"/>
      <c r="AGF72" s="16"/>
      <c r="AGG72" s="16"/>
      <c r="AGH72" s="16"/>
      <c r="AGI72" s="16"/>
      <c r="AGJ72" s="16"/>
      <c r="AGK72" s="16"/>
      <c r="AGL72" s="16"/>
      <c r="AGM72" s="16"/>
      <c r="AGN72" s="16"/>
      <c r="AGO72" s="16"/>
      <c r="AGP72" s="16"/>
      <c r="AGQ72" s="16"/>
      <c r="AGR72" s="16"/>
      <c r="AGS72" s="16"/>
      <c r="AGT72" s="16"/>
      <c r="AGU72" s="16"/>
      <c r="AGV72" s="16"/>
      <c r="AGW72" s="16"/>
      <c r="AGX72" s="16"/>
      <c r="AGY72" s="16"/>
      <c r="AGZ72" s="16"/>
      <c r="AHA72" s="16"/>
      <c r="AHB72" s="16"/>
      <c r="AHC72" s="16"/>
      <c r="AHD72" s="16"/>
      <c r="AHE72" s="16"/>
      <c r="AHF72" s="16"/>
      <c r="AHG72" s="16"/>
      <c r="AHH72" s="16"/>
      <c r="AHI72" s="16"/>
      <c r="AHJ72" s="16"/>
      <c r="AHK72" s="16"/>
      <c r="AHL72" s="16"/>
      <c r="AHM72" s="16"/>
      <c r="AHN72" s="16"/>
      <c r="AHO72" s="16"/>
      <c r="AHP72" s="16"/>
      <c r="AHQ72" s="16"/>
      <c r="AHR72" s="16"/>
      <c r="AHS72" s="16"/>
      <c r="AHT72" s="16"/>
      <c r="AHU72" s="16"/>
      <c r="AHV72" s="16"/>
      <c r="AHW72" s="16"/>
      <c r="AHX72" s="16"/>
      <c r="AHY72" s="16"/>
      <c r="AHZ72" s="16"/>
      <c r="AIA72" s="16"/>
      <c r="AIB72" s="16"/>
      <c r="AIC72" s="16"/>
      <c r="AID72" s="16"/>
      <c r="AIE72" s="16"/>
      <c r="AIF72" s="16"/>
      <c r="AIG72" s="16"/>
      <c r="AIH72" s="16"/>
      <c r="AII72" s="16"/>
      <c r="AIJ72" s="16"/>
      <c r="AIK72" s="16"/>
      <c r="AIL72" s="16"/>
      <c r="AIM72" s="16"/>
      <c r="AIN72" s="16"/>
      <c r="AIO72" s="16"/>
      <c r="AIP72" s="16"/>
      <c r="AIQ72" s="16"/>
      <c r="AIR72" s="16"/>
      <c r="AIS72" s="16"/>
      <c r="AIT72" s="16"/>
      <c r="AIU72" s="16"/>
      <c r="AIV72" s="16"/>
      <c r="AIW72" s="16"/>
      <c r="AIX72" s="16"/>
      <c r="AIY72" s="16"/>
      <c r="AIZ72" s="16"/>
      <c r="AJA72" s="16"/>
      <c r="AJB72" s="16"/>
      <c r="AJC72" s="16"/>
      <c r="AJD72" s="16"/>
      <c r="AJE72" s="16"/>
      <c r="AJF72" s="16"/>
      <c r="AJG72" s="16"/>
      <c r="AJH72" s="16"/>
      <c r="AJI72" s="16"/>
      <c r="AJJ72" s="16"/>
      <c r="AJK72" s="16"/>
      <c r="AJL72" s="16"/>
      <c r="AJM72" s="16"/>
      <c r="AJN72" s="16"/>
      <c r="AJO72" s="16"/>
      <c r="AJP72" s="16"/>
      <c r="AJQ72" s="16"/>
      <c r="AJR72" s="16"/>
      <c r="AJS72" s="16"/>
      <c r="AJT72" s="16"/>
      <c r="AJU72" s="16"/>
      <c r="AJV72" s="16"/>
      <c r="AJW72" s="16"/>
      <c r="AJX72" s="16"/>
      <c r="AJY72" s="16"/>
      <c r="AJZ72" s="16"/>
      <c r="AKA72" s="16"/>
      <c r="AKB72" s="16"/>
      <c r="AKC72" s="16"/>
      <c r="AKD72" s="16"/>
      <c r="AKE72" s="16"/>
      <c r="AKF72" s="16"/>
      <c r="AKG72" s="16"/>
      <c r="AKH72" s="16"/>
      <c r="AKI72" s="16"/>
      <c r="AKJ72" s="16"/>
      <c r="AKK72" s="16"/>
      <c r="AKL72" s="16"/>
      <c r="AKM72" s="16"/>
      <c r="AKN72" s="16"/>
      <c r="AKO72" s="16"/>
      <c r="AKP72" s="16"/>
      <c r="AKQ72" s="16"/>
      <c r="AKR72" s="16"/>
      <c r="AKS72" s="16"/>
      <c r="AKT72" s="16"/>
      <c r="AKU72" s="16"/>
      <c r="AKV72" s="16"/>
      <c r="AKW72" s="16"/>
      <c r="AKX72" s="16"/>
      <c r="AKY72" s="16"/>
      <c r="AKZ72" s="16"/>
      <c r="ALA72" s="16"/>
      <c r="ALB72" s="16"/>
      <c r="ALC72" s="16"/>
      <c r="ALD72" s="16"/>
      <c r="ALE72" s="16"/>
      <c r="ALF72" s="16"/>
      <c r="ALG72" s="16"/>
      <c r="ALH72" s="16"/>
      <c r="ALI72" s="16"/>
      <c r="ALJ72" s="16"/>
      <c r="ALK72" s="16"/>
      <c r="ALL72" s="16"/>
      <c r="ALM72" s="16"/>
      <c r="ALN72" s="16"/>
      <c r="ALO72" s="16"/>
      <c r="ALP72" s="16"/>
      <c r="ALQ72" s="16"/>
      <c r="ALR72" s="16"/>
      <c r="ALS72" s="16"/>
      <c r="ALT72" s="16"/>
      <c r="ALU72" s="16"/>
      <c r="ALV72" s="16"/>
      <c r="ALW72" s="16"/>
      <c r="ALX72" s="16"/>
      <c r="ALY72" s="16"/>
      <c r="ALZ72" s="16"/>
      <c r="AMA72" s="16"/>
      <c r="AMB72" s="16"/>
      <c r="AMC72" s="16"/>
      <c r="AMD72" s="16"/>
      <c r="AME72" s="16"/>
      <c r="AMF72" s="16"/>
      <c r="AMG72" s="16"/>
      <c r="AMH72" s="16"/>
      <c r="AMI72" s="16"/>
      <c r="AMJ72" s="16"/>
      <c r="AMK72" s="16"/>
      <c r="AML72" s="16"/>
      <c r="AMM72" s="16"/>
      <c r="AMN72" s="16"/>
      <c r="AMO72" s="16"/>
      <c r="AMP72" s="16"/>
      <c r="AMQ72" s="16"/>
      <c r="AMR72" s="16"/>
      <c r="AMS72" s="16"/>
      <c r="AMT72" s="16"/>
      <c r="AMU72" s="16"/>
      <c r="AMV72" s="16"/>
      <c r="AMW72" s="16"/>
      <c r="AMX72" s="16"/>
      <c r="AMY72" s="16"/>
      <c r="AMZ72" s="16"/>
      <c r="ANA72" s="16"/>
      <c r="ANB72" s="16"/>
      <c r="ANC72" s="16"/>
      <c r="AND72" s="16"/>
      <c r="ANE72" s="16"/>
      <c r="ANF72" s="16"/>
      <c r="ANG72" s="16"/>
      <c r="ANH72" s="16"/>
      <c r="ANI72" s="16"/>
      <c r="ANJ72" s="16"/>
      <c r="ANK72" s="16"/>
      <c r="ANL72" s="16"/>
      <c r="ANM72" s="16"/>
      <c r="ANN72" s="16"/>
      <c r="ANO72" s="16"/>
      <c r="ANP72" s="16"/>
      <c r="ANQ72" s="16"/>
      <c r="ANR72" s="16"/>
      <c r="ANS72" s="16"/>
      <c r="ANT72" s="16"/>
      <c r="ANU72" s="16"/>
      <c r="ANV72" s="16"/>
      <c r="ANW72" s="16"/>
      <c r="ANX72" s="16"/>
      <c r="ANY72" s="16"/>
      <c r="ANZ72" s="16"/>
      <c r="AOA72" s="16"/>
      <c r="AOB72" s="16"/>
      <c r="AOC72" s="16"/>
      <c r="AOD72" s="16"/>
      <c r="AOE72" s="16"/>
      <c r="AOF72" s="16"/>
      <c r="AOG72" s="16"/>
      <c r="AOH72" s="16"/>
      <c r="AOI72" s="16"/>
      <c r="AOJ72" s="16"/>
      <c r="AOK72" s="16"/>
      <c r="AOL72" s="16"/>
      <c r="AOM72" s="16"/>
      <c r="AON72" s="16"/>
      <c r="AOO72" s="16"/>
      <c r="AOP72" s="16"/>
      <c r="AOQ72" s="16"/>
      <c r="AOR72" s="16"/>
      <c r="AOS72" s="16"/>
      <c r="AOT72" s="16"/>
      <c r="AOU72" s="16"/>
      <c r="AOV72" s="16"/>
      <c r="AOW72" s="16"/>
      <c r="AOX72" s="16"/>
      <c r="AOY72" s="16"/>
      <c r="AOZ72" s="16"/>
      <c r="APA72" s="16"/>
      <c r="APB72" s="16"/>
      <c r="APC72" s="16"/>
      <c r="APD72" s="16"/>
      <c r="APE72" s="16"/>
      <c r="APF72" s="16"/>
      <c r="APG72" s="16"/>
      <c r="APH72" s="16"/>
      <c r="API72" s="16"/>
      <c r="APJ72" s="16"/>
      <c r="APK72" s="16"/>
      <c r="APL72" s="16"/>
      <c r="APM72" s="16"/>
      <c r="APN72" s="16"/>
      <c r="APO72" s="16"/>
      <c r="APP72" s="16"/>
      <c r="APQ72" s="16"/>
      <c r="APR72" s="16"/>
      <c r="APS72" s="16"/>
      <c r="APT72" s="16"/>
      <c r="APU72" s="16"/>
      <c r="APV72" s="16"/>
      <c r="APW72" s="16"/>
      <c r="APX72" s="16"/>
      <c r="APY72" s="16"/>
      <c r="APZ72" s="16"/>
      <c r="AQA72" s="16"/>
      <c r="AQB72" s="16"/>
      <c r="AQC72" s="16"/>
      <c r="AQD72" s="16"/>
      <c r="AQE72" s="16"/>
      <c r="AQF72" s="16"/>
      <c r="AQG72" s="16"/>
      <c r="AQH72" s="16"/>
      <c r="AQI72" s="16"/>
      <c r="AQJ72" s="16"/>
      <c r="AQK72" s="16"/>
      <c r="AQL72" s="16"/>
      <c r="AQM72" s="16"/>
      <c r="AQN72" s="16"/>
      <c r="AQO72" s="16"/>
      <c r="AQP72" s="16"/>
      <c r="AQQ72" s="16"/>
      <c r="AQR72" s="16"/>
      <c r="AQS72" s="16"/>
      <c r="AQT72" s="16"/>
      <c r="AQU72" s="16"/>
      <c r="AQV72" s="16"/>
      <c r="AQW72" s="16"/>
      <c r="AQX72" s="16"/>
      <c r="AQY72" s="16"/>
      <c r="AQZ72" s="16"/>
      <c r="ARA72" s="16"/>
      <c r="ARB72" s="16"/>
      <c r="ARC72" s="16"/>
      <c r="ARD72" s="16"/>
      <c r="ARE72" s="16"/>
      <c r="ARF72" s="16"/>
      <c r="ARG72" s="16"/>
      <c r="ARH72" s="16"/>
      <c r="ARI72" s="16"/>
      <c r="ARJ72" s="16"/>
      <c r="ARK72" s="16"/>
      <c r="ARL72" s="16"/>
      <c r="ARM72" s="16"/>
      <c r="ARN72" s="16"/>
      <c r="ARO72" s="16"/>
      <c r="ARP72" s="16"/>
      <c r="ARQ72" s="16"/>
      <c r="ARR72" s="16"/>
      <c r="ARS72" s="16"/>
      <c r="ART72" s="16"/>
      <c r="ARU72" s="16"/>
      <c r="ARV72" s="16"/>
      <c r="ARW72" s="16"/>
      <c r="ARX72" s="16"/>
      <c r="ARY72" s="16"/>
      <c r="ARZ72" s="16"/>
      <c r="ASA72" s="16"/>
      <c r="ASB72" s="16"/>
      <c r="ASC72" s="16"/>
      <c r="ASD72" s="16"/>
      <c r="ASE72" s="16"/>
      <c r="ASF72" s="16"/>
      <c r="ASG72" s="16"/>
      <c r="ASH72" s="16"/>
      <c r="ASI72" s="16"/>
      <c r="ASJ72" s="16"/>
      <c r="ASK72" s="16"/>
      <c r="ASL72" s="16"/>
      <c r="ASM72" s="16"/>
      <c r="ASN72" s="16"/>
      <c r="ASO72" s="16"/>
      <c r="ASP72" s="16"/>
      <c r="ASQ72" s="16"/>
      <c r="ASR72" s="16"/>
      <c r="ASS72" s="16"/>
      <c r="AST72" s="16"/>
      <c r="ASU72" s="16"/>
      <c r="ASV72" s="16"/>
      <c r="ASW72" s="16"/>
      <c r="ASX72" s="16"/>
      <c r="ASY72" s="16"/>
      <c r="ASZ72" s="16"/>
      <c r="ATA72" s="16"/>
      <c r="ATB72" s="16"/>
      <c r="ATC72" s="16"/>
      <c r="ATD72" s="16"/>
      <c r="ATE72" s="16"/>
      <c r="ATF72" s="16"/>
      <c r="ATG72" s="16"/>
      <c r="ATH72" s="16"/>
      <c r="ATI72" s="16"/>
      <c r="ATJ72" s="16"/>
      <c r="ATK72" s="16"/>
      <c r="ATL72" s="16"/>
      <c r="ATM72" s="16"/>
      <c r="ATN72" s="16"/>
      <c r="ATO72" s="16"/>
      <c r="ATP72" s="16"/>
      <c r="ATQ72" s="16"/>
      <c r="ATR72" s="16"/>
      <c r="ATS72" s="16"/>
      <c r="ATT72" s="16"/>
      <c r="ATU72" s="16"/>
      <c r="ATV72" s="16"/>
      <c r="ATW72" s="16"/>
      <c r="ATX72" s="16"/>
      <c r="ATY72" s="16"/>
      <c r="ATZ72" s="16"/>
      <c r="AUA72" s="16"/>
      <c r="AUB72" s="16"/>
      <c r="AUC72" s="16"/>
      <c r="AUD72" s="16"/>
      <c r="AUE72" s="16"/>
      <c r="AUF72" s="16"/>
      <c r="AUG72" s="16"/>
      <c r="AUH72" s="16"/>
      <c r="AUI72" s="16"/>
      <c r="AUJ72" s="16"/>
      <c r="AUK72" s="16"/>
      <c r="AUL72" s="16"/>
      <c r="AUM72" s="16"/>
      <c r="AUN72" s="16"/>
      <c r="AUO72" s="16"/>
      <c r="AUP72" s="16"/>
      <c r="AUQ72" s="16"/>
      <c r="AUR72" s="16"/>
      <c r="AUS72" s="16"/>
      <c r="AUT72" s="16"/>
      <c r="AUU72" s="16"/>
      <c r="AUV72" s="16"/>
      <c r="AUW72" s="16"/>
      <c r="AUX72" s="16"/>
      <c r="AUY72" s="16"/>
      <c r="AUZ72" s="16"/>
      <c r="AVA72" s="16"/>
      <c r="AVB72" s="16"/>
      <c r="AVC72" s="16"/>
      <c r="AVD72" s="16"/>
      <c r="AVE72" s="16"/>
      <c r="AVF72" s="16"/>
      <c r="AVG72" s="16"/>
      <c r="AVH72" s="16"/>
      <c r="AVI72" s="16"/>
      <c r="AVJ72" s="16"/>
      <c r="AVK72" s="16"/>
      <c r="AVL72" s="16"/>
      <c r="AVM72" s="16"/>
      <c r="AVN72" s="16"/>
      <c r="AVO72" s="16"/>
      <c r="AVP72" s="16"/>
      <c r="AVQ72" s="16"/>
      <c r="AVR72" s="16"/>
      <c r="AVS72" s="16"/>
      <c r="AVT72" s="16"/>
      <c r="AVU72" s="16"/>
      <c r="AVV72" s="16"/>
      <c r="AVW72" s="16"/>
      <c r="AVX72" s="16"/>
      <c r="AVY72" s="16"/>
      <c r="AVZ72" s="16"/>
      <c r="AWA72" s="16"/>
      <c r="AWB72" s="16"/>
      <c r="AWC72" s="16"/>
      <c r="AWD72" s="16"/>
      <c r="AWE72" s="16"/>
      <c r="AWF72" s="16"/>
      <c r="AWG72" s="16"/>
      <c r="AWH72" s="16"/>
      <c r="AWI72" s="16"/>
      <c r="AWJ72" s="16"/>
      <c r="AWK72" s="16"/>
      <c r="AWL72" s="16"/>
      <c r="AWM72" s="16"/>
      <c r="AWN72" s="16"/>
      <c r="AWO72" s="16"/>
      <c r="AWP72" s="16"/>
      <c r="AWQ72" s="16"/>
      <c r="AWR72" s="16"/>
      <c r="AWS72" s="16"/>
      <c r="AWT72" s="16"/>
      <c r="AWU72" s="16"/>
      <c r="AWV72" s="16"/>
      <c r="AWW72" s="16"/>
      <c r="AWX72" s="16"/>
      <c r="AWY72" s="16"/>
      <c r="AWZ72" s="16"/>
      <c r="AXA72" s="16"/>
      <c r="AXB72" s="16"/>
      <c r="AXC72" s="16"/>
      <c r="AXD72" s="16"/>
      <c r="AXE72" s="16"/>
      <c r="AXF72" s="16"/>
      <c r="AXG72" s="16"/>
      <c r="AXH72" s="16"/>
      <c r="AXI72" s="16"/>
      <c r="AXJ72" s="16"/>
      <c r="AXK72" s="16"/>
      <c r="AXL72" s="16"/>
      <c r="AXM72" s="16"/>
      <c r="AXN72" s="16"/>
      <c r="AXO72" s="16"/>
      <c r="AXP72" s="16"/>
      <c r="AXQ72" s="16"/>
      <c r="AXR72" s="16"/>
      <c r="AXS72" s="16"/>
      <c r="AXT72" s="16"/>
      <c r="AXU72" s="16"/>
      <c r="AXV72" s="16"/>
      <c r="AXW72" s="16"/>
      <c r="AXX72" s="16"/>
      <c r="AXY72" s="16"/>
      <c r="AXZ72" s="16"/>
      <c r="AYA72" s="16"/>
      <c r="AYB72" s="16"/>
      <c r="AYC72" s="16"/>
      <c r="AYD72" s="16"/>
      <c r="AYE72" s="16"/>
      <c r="AYF72" s="16"/>
      <c r="AYG72" s="16"/>
      <c r="AYH72" s="16"/>
      <c r="AYI72" s="16"/>
      <c r="AYJ72" s="16"/>
      <c r="AYK72" s="16"/>
      <c r="AYL72" s="16"/>
      <c r="AYM72" s="16"/>
      <c r="AYN72" s="16"/>
      <c r="AYO72" s="16"/>
      <c r="AYP72" s="16"/>
      <c r="AYQ72" s="16"/>
      <c r="AYR72" s="16"/>
      <c r="AYS72" s="16"/>
      <c r="AYT72" s="16"/>
      <c r="AYU72" s="16"/>
      <c r="AYV72" s="16"/>
      <c r="AYW72" s="16"/>
      <c r="AYX72" s="16"/>
      <c r="AYY72" s="16"/>
      <c r="AYZ72" s="16"/>
      <c r="AZA72" s="16"/>
      <c r="AZB72" s="16"/>
      <c r="AZC72" s="16"/>
      <c r="AZD72" s="16"/>
      <c r="AZE72" s="16"/>
      <c r="AZF72" s="16"/>
      <c r="AZG72" s="16"/>
      <c r="AZH72" s="16"/>
      <c r="AZI72" s="16"/>
      <c r="AZJ72" s="16"/>
      <c r="AZK72" s="16"/>
      <c r="AZL72" s="16"/>
      <c r="AZM72" s="16"/>
      <c r="AZN72" s="16"/>
      <c r="AZO72" s="16"/>
      <c r="AZP72" s="16"/>
      <c r="AZQ72" s="16"/>
      <c r="AZR72" s="16"/>
      <c r="AZS72" s="16"/>
      <c r="AZT72" s="16"/>
      <c r="AZU72" s="16"/>
      <c r="AZV72" s="16"/>
      <c r="AZW72" s="16"/>
      <c r="AZX72" s="16"/>
      <c r="AZY72" s="16"/>
      <c r="AZZ72" s="16"/>
      <c r="BAA72" s="16"/>
      <c r="BAB72" s="16"/>
      <c r="BAC72" s="16"/>
      <c r="BAD72" s="16"/>
      <c r="BAE72" s="16"/>
      <c r="BAF72" s="16"/>
      <c r="BAG72" s="16"/>
      <c r="BAH72" s="16"/>
      <c r="BAI72" s="16"/>
      <c r="BAJ72" s="16"/>
      <c r="BAK72" s="16"/>
      <c r="BAL72" s="16"/>
      <c r="BAM72" s="16"/>
      <c r="BAN72" s="16"/>
      <c r="BAO72" s="16"/>
      <c r="BAP72" s="16"/>
      <c r="BAQ72" s="16"/>
      <c r="BAR72" s="16"/>
      <c r="BAS72" s="16"/>
      <c r="BAT72" s="16"/>
      <c r="BAU72" s="16"/>
      <c r="BAV72" s="16"/>
      <c r="BAW72" s="16"/>
      <c r="BAX72" s="16"/>
      <c r="BAY72" s="16"/>
      <c r="BAZ72" s="16"/>
      <c r="BBA72" s="16"/>
      <c r="BBB72" s="16"/>
      <c r="BBC72" s="16"/>
      <c r="BBD72" s="16"/>
      <c r="BBE72" s="16"/>
      <c r="BBF72" s="16"/>
      <c r="BBG72" s="16"/>
      <c r="BBH72" s="16"/>
      <c r="BBI72" s="16"/>
      <c r="BBJ72" s="16"/>
      <c r="BBK72" s="16"/>
      <c r="BBL72" s="16"/>
      <c r="BBM72" s="16"/>
      <c r="BBN72" s="16"/>
      <c r="BBO72" s="16"/>
      <c r="BBP72" s="16"/>
      <c r="BBQ72" s="16"/>
      <c r="BBR72" s="16"/>
      <c r="BBS72" s="16"/>
      <c r="BBT72" s="16"/>
      <c r="BBU72" s="16"/>
      <c r="BBV72" s="16"/>
      <c r="BBW72" s="16"/>
      <c r="BBX72" s="16"/>
      <c r="BBY72" s="16"/>
      <c r="BBZ72" s="16"/>
      <c r="BCA72" s="16"/>
      <c r="BCB72" s="16"/>
      <c r="BCC72" s="16"/>
      <c r="BCD72" s="16"/>
      <c r="BCE72" s="16"/>
      <c r="BCF72" s="16"/>
      <c r="BCG72" s="16"/>
      <c r="BCH72" s="16"/>
      <c r="BCI72" s="16"/>
      <c r="BCJ72" s="16"/>
      <c r="BCK72" s="16"/>
      <c r="BCL72" s="16"/>
      <c r="BCM72" s="16"/>
      <c r="BCN72" s="16"/>
      <c r="BCO72" s="16"/>
      <c r="BCP72" s="16"/>
      <c r="BCQ72" s="16"/>
      <c r="BCR72" s="16"/>
      <c r="BCS72" s="16"/>
      <c r="BCT72" s="16"/>
      <c r="BCU72" s="16"/>
      <c r="BCV72" s="16"/>
      <c r="BCW72" s="16"/>
      <c r="BCX72" s="16"/>
      <c r="BCY72" s="16"/>
      <c r="BCZ72" s="16"/>
      <c r="BDA72" s="16"/>
      <c r="BDB72" s="16"/>
      <c r="BDC72" s="16"/>
      <c r="BDD72" s="16"/>
      <c r="BDE72" s="16"/>
      <c r="BDF72" s="16"/>
      <c r="BDG72" s="16"/>
      <c r="BDH72" s="16"/>
      <c r="BDI72" s="16"/>
      <c r="BDJ72" s="16"/>
      <c r="BDK72" s="16"/>
      <c r="BDL72" s="16"/>
      <c r="BDM72" s="16"/>
      <c r="BDN72" s="16"/>
      <c r="BDO72" s="16"/>
      <c r="BDP72" s="16"/>
      <c r="BDQ72" s="16"/>
      <c r="BDR72" s="16"/>
      <c r="BDS72" s="16"/>
      <c r="BDT72" s="16"/>
      <c r="BDU72" s="16"/>
      <c r="BDV72" s="16"/>
      <c r="BDW72" s="16"/>
      <c r="BDX72" s="16"/>
      <c r="BDY72" s="16"/>
      <c r="BDZ72" s="16"/>
      <c r="BEA72" s="16"/>
      <c r="BEB72" s="16"/>
      <c r="BEC72" s="16"/>
      <c r="BED72" s="16"/>
      <c r="BEE72" s="16"/>
      <c r="BEF72" s="16"/>
      <c r="BEG72" s="16"/>
      <c r="BEH72" s="16"/>
      <c r="BEI72" s="16"/>
      <c r="BEJ72" s="16"/>
      <c r="BEK72" s="16"/>
      <c r="BEL72" s="16"/>
      <c r="BEM72" s="16"/>
      <c r="BEN72" s="16"/>
      <c r="BEO72" s="16"/>
      <c r="BEP72" s="16"/>
      <c r="BEQ72" s="16"/>
      <c r="BER72" s="16"/>
      <c r="BES72" s="16"/>
      <c r="BET72" s="16"/>
      <c r="BEU72" s="16"/>
      <c r="BEV72" s="16"/>
      <c r="BEW72" s="16"/>
      <c r="BEX72" s="16"/>
      <c r="BEY72" s="16"/>
      <c r="BEZ72" s="16"/>
      <c r="BFA72" s="16"/>
      <c r="BFB72" s="16"/>
      <c r="BFC72" s="16"/>
      <c r="BFD72" s="16"/>
      <c r="BFE72" s="16"/>
      <c r="BFF72" s="16"/>
      <c r="BFG72" s="16"/>
      <c r="BFH72" s="16"/>
      <c r="BFI72" s="16"/>
      <c r="BFJ72" s="16"/>
      <c r="BFK72" s="16"/>
      <c r="BFL72" s="16"/>
      <c r="BFM72" s="16"/>
      <c r="BFN72" s="16"/>
      <c r="BFO72" s="16"/>
      <c r="BFP72" s="16"/>
      <c r="BFQ72" s="16"/>
      <c r="BFR72" s="16"/>
      <c r="BFS72" s="16"/>
      <c r="BFT72" s="16"/>
      <c r="BFU72" s="16"/>
      <c r="BFV72" s="16"/>
      <c r="BFW72" s="16"/>
      <c r="BFX72" s="16"/>
      <c r="BFY72" s="16"/>
      <c r="BFZ72" s="16"/>
      <c r="BGA72" s="16"/>
      <c r="BGB72" s="16"/>
      <c r="BGC72" s="16"/>
      <c r="BGD72" s="16"/>
      <c r="BGE72" s="16"/>
      <c r="BGF72" s="16"/>
      <c r="BGG72" s="16"/>
      <c r="BGH72" s="16"/>
      <c r="BGI72" s="16"/>
      <c r="BGJ72" s="16"/>
      <c r="BGK72" s="16"/>
      <c r="BGL72" s="16"/>
      <c r="BGM72" s="16"/>
      <c r="BGN72" s="16"/>
      <c r="BGO72" s="16"/>
      <c r="BGP72" s="16"/>
      <c r="BGQ72" s="16"/>
      <c r="BGR72" s="16"/>
      <c r="BGS72" s="16"/>
      <c r="BGT72" s="16"/>
      <c r="BGU72" s="16"/>
      <c r="BGV72" s="16"/>
      <c r="BGW72" s="16"/>
      <c r="BGX72" s="16"/>
      <c r="BGY72" s="16"/>
      <c r="BGZ72" s="16"/>
      <c r="BHA72" s="16"/>
      <c r="BHB72" s="16"/>
      <c r="BHC72" s="16"/>
      <c r="BHD72" s="16"/>
      <c r="BHE72" s="16"/>
      <c r="BHF72" s="16"/>
      <c r="BHG72" s="16"/>
      <c r="BHH72" s="16"/>
      <c r="BHI72" s="16"/>
      <c r="BHJ72" s="16"/>
      <c r="BHK72" s="16"/>
      <c r="BHL72" s="16"/>
      <c r="BHM72" s="16"/>
      <c r="BHN72" s="16"/>
      <c r="BHO72" s="16"/>
      <c r="BHP72" s="16"/>
      <c r="BHQ72" s="16"/>
      <c r="BHR72" s="16"/>
      <c r="BHS72" s="16"/>
      <c r="BHT72" s="16"/>
      <c r="BHU72" s="16"/>
      <c r="BHV72" s="16"/>
      <c r="BHW72" s="16"/>
      <c r="BHX72" s="16"/>
      <c r="BHY72" s="16"/>
      <c r="BHZ72" s="16"/>
      <c r="BIA72" s="16"/>
      <c r="BIB72" s="16"/>
      <c r="BIC72" s="16"/>
      <c r="BID72" s="16"/>
      <c r="BIE72" s="16"/>
      <c r="BIF72" s="16"/>
      <c r="BIG72" s="16"/>
      <c r="BIH72" s="16"/>
      <c r="BII72" s="16"/>
      <c r="BIJ72" s="16"/>
      <c r="BIK72" s="16"/>
      <c r="BIL72" s="16"/>
      <c r="BIM72" s="16"/>
      <c r="BIN72" s="16"/>
      <c r="BIO72" s="16"/>
      <c r="BIP72" s="16"/>
      <c r="BIQ72" s="16"/>
      <c r="BIR72" s="16"/>
      <c r="BIS72" s="16"/>
      <c r="BIT72" s="16"/>
      <c r="BIU72" s="16"/>
      <c r="BIV72" s="16"/>
      <c r="BIW72" s="16"/>
      <c r="BIX72" s="16"/>
      <c r="BIY72" s="16"/>
      <c r="BIZ72" s="16"/>
      <c r="BJA72" s="16"/>
      <c r="BJB72" s="16"/>
      <c r="BJC72" s="16"/>
      <c r="BJD72" s="16"/>
      <c r="BJE72" s="16"/>
      <c r="BJF72" s="16"/>
      <c r="BJG72" s="16"/>
      <c r="BJH72" s="16"/>
      <c r="BJI72" s="16"/>
      <c r="BJJ72" s="16"/>
      <c r="BJK72" s="16"/>
      <c r="BJL72" s="16"/>
      <c r="BJM72" s="16"/>
      <c r="BJN72" s="16"/>
      <c r="BJO72" s="16"/>
      <c r="BJP72" s="16"/>
      <c r="BJQ72" s="16"/>
      <c r="BJR72" s="16"/>
      <c r="BJS72" s="16"/>
      <c r="BJT72" s="16"/>
      <c r="BJU72" s="16"/>
      <c r="BJV72" s="16"/>
      <c r="BJW72" s="16"/>
      <c r="BJX72" s="16"/>
      <c r="BJY72" s="16"/>
      <c r="BJZ72" s="16"/>
      <c r="BKA72" s="16"/>
      <c r="BKB72" s="16"/>
      <c r="BKC72" s="16"/>
      <c r="BKD72" s="16"/>
      <c r="BKE72" s="16"/>
      <c r="BKF72" s="16"/>
      <c r="BKG72" s="16"/>
      <c r="BKH72" s="16"/>
      <c r="BKI72" s="16"/>
      <c r="BKJ72" s="16"/>
      <c r="BKK72" s="16"/>
      <c r="BKL72" s="16"/>
      <c r="BKM72" s="16"/>
      <c r="BKN72" s="16"/>
      <c r="BKO72" s="16"/>
      <c r="BKP72" s="16"/>
      <c r="BKQ72" s="16"/>
      <c r="BKR72" s="16"/>
      <c r="BKS72" s="16"/>
      <c r="BKT72" s="16"/>
      <c r="BKU72" s="16"/>
      <c r="BKV72" s="16"/>
      <c r="BKW72" s="16"/>
      <c r="BKX72" s="16"/>
      <c r="BKY72" s="16"/>
      <c r="BKZ72" s="16"/>
      <c r="BLA72" s="16"/>
      <c r="BLB72" s="16"/>
      <c r="BLC72" s="16"/>
      <c r="BLD72" s="16"/>
      <c r="BLE72" s="16"/>
      <c r="BLF72" s="16"/>
      <c r="BLG72" s="16"/>
      <c r="BLH72" s="16"/>
      <c r="BLI72" s="16"/>
      <c r="BLJ72" s="16"/>
      <c r="BLK72" s="16"/>
      <c r="BLL72" s="16"/>
      <c r="BLM72" s="16"/>
      <c r="BLN72" s="16"/>
      <c r="BLO72" s="16"/>
      <c r="BLP72" s="16"/>
      <c r="BLQ72" s="16"/>
      <c r="BLR72" s="16"/>
      <c r="BLS72" s="16"/>
      <c r="BLT72" s="16"/>
      <c r="BLU72" s="16"/>
      <c r="BLV72" s="16"/>
      <c r="BLW72" s="16"/>
      <c r="BLX72" s="16"/>
      <c r="BLY72" s="16"/>
      <c r="BLZ72" s="16"/>
      <c r="BMA72" s="16"/>
      <c r="BMB72" s="16"/>
      <c r="BMC72" s="16"/>
      <c r="BMD72" s="16"/>
      <c r="BME72" s="16"/>
      <c r="BMF72" s="16"/>
      <c r="BMG72" s="16"/>
      <c r="BMH72" s="16"/>
      <c r="BMI72" s="16"/>
      <c r="BMJ72" s="16"/>
      <c r="BMK72" s="16"/>
      <c r="BML72" s="16"/>
      <c r="BMM72" s="16"/>
      <c r="BMN72" s="16"/>
      <c r="BMO72" s="16"/>
      <c r="BMP72" s="16"/>
      <c r="BMQ72" s="16"/>
      <c r="BMR72" s="16"/>
      <c r="BMS72" s="16"/>
      <c r="BMT72" s="16"/>
      <c r="BMU72" s="16"/>
      <c r="BMV72" s="16"/>
      <c r="BMW72" s="16"/>
      <c r="BMX72" s="16"/>
      <c r="BMY72" s="16"/>
      <c r="BMZ72" s="16"/>
      <c r="BNA72" s="16"/>
      <c r="BNB72" s="16"/>
      <c r="BNC72" s="16"/>
      <c r="BND72" s="16"/>
      <c r="BNE72" s="16"/>
      <c r="BNF72" s="16"/>
      <c r="BNG72" s="16"/>
      <c r="BNH72" s="16"/>
      <c r="BNI72" s="16"/>
      <c r="BNJ72" s="16"/>
      <c r="BNK72" s="16"/>
      <c r="BNL72" s="16"/>
      <c r="BNM72" s="16"/>
      <c r="BNN72" s="16"/>
      <c r="BNO72" s="16"/>
      <c r="BNP72" s="16"/>
      <c r="BNQ72" s="16"/>
      <c r="BNR72" s="16"/>
      <c r="BNS72" s="16"/>
      <c r="BNT72" s="16"/>
      <c r="BNU72" s="16"/>
      <c r="BNV72" s="16"/>
      <c r="BNW72" s="16"/>
      <c r="BNX72" s="16"/>
      <c r="BNY72" s="16"/>
      <c r="BNZ72" s="16"/>
      <c r="BOA72" s="16"/>
      <c r="BOB72" s="16"/>
      <c r="BOC72" s="16"/>
      <c r="BOD72" s="16"/>
      <c r="BOE72" s="16"/>
      <c r="BOF72" s="16"/>
      <c r="BOG72" s="16"/>
      <c r="BOH72" s="16"/>
      <c r="BOI72" s="16"/>
      <c r="BOJ72" s="16"/>
      <c r="BOK72" s="16"/>
      <c r="BOL72" s="16"/>
      <c r="BOM72" s="16"/>
      <c r="BON72" s="16"/>
      <c r="BOO72" s="16"/>
      <c r="BOP72" s="16"/>
      <c r="BOQ72" s="16"/>
      <c r="BOR72" s="16"/>
      <c r="BOS72" s="16"/>
      <c r="BOT72" s="16"/>
      <c r="BOU72" s="16"/>
      <c r="BOV72" s="16"/>
      <c r="BOW72" s="16"/>
      <c r="BOX72" s="16"/>
      <c r="BOY72" s="16"/>
      <c r="BOZ72" s="16"/>
      <c r="BPA72" s="16"/>
      <c r="BPB72" s="16"/>
      <c r="BPC72" s="16"/>
      <c r="BPD72" s="16"/>
      <c r="BPE72" s="16"/>
      <c r="BPF72" s="16"/>
      <c r="BPG72" s="16"/>
      <c r="BPH72" s="16"/>
      <c r="BPI72" s="16"/>
      <c r="BPJ72" s="16"/>
      <c r="BPK72" s="16"/>
      <c r="BPL72" s="16"/>
      <c r="BPM72" s="16"/>
      <c r="BPN72" s="16"/>
      <c r="BPO72" s="16"/>
      <c r="BPP72" s="16"/>
      <c r="BPQ72" s="16"/>
      <c r="BPR72" s="16"/>
      <c r="BPS72" s="16"/>
      <c r="BPT72" s="16"/>
      <c r="BPU72" s="16"/>
      <c r="BPV72" s="16"/>
      <c r="BPW72" s="16"/>
      <c r="BPX72" s="16"/>
      <c r="BPY72" s="16"/>
      <c r="BPZ72" s="16"/>
      <c r="BQA72" s="16"/>
      <c r="BQB72" s="16"/>
      <c r="BQC72" s="16"/>
      <c r="BQD72" s="16"/>
      <c r="BQE72" s="16"/>
      <c r="BQF72" s="16"/>
      <c r="BQG72" s="16"/>
      <c r="BQH72" s="16"/>
      <c r="BQI72" s="16"/>
      <c r="BQJ72" s="16"/>
      <c r="BQK72" s="16"/>
      <c r="BQL72" s="16"/>
      <c r="BQM72" s="16"/>
      <c r="BQN72" s="16"/>
      <c r="BQO72" s="16"/>
      <c r="BQP72" s="16"/>
      <c r="BQQ72" s="16"/>
      <c r="BQR72" s="16"/>
      <c r="BQS72" s="16"/>
      <c r="BQT72" s="16"/>
      <c r="BQU72" s="16"/>
      <c r="BQV72" s="16"/>
      <c r="BQW72" s="16"/>
      <c r="BQX72" s="16"/>
      <c r="BQY72" s="16"/>
      <c r="BQZ72" s="16"/>
      <c r="BRA72" s="16"/>
      <c r="BRB72" s="16"/>
      <c r="BRC72" s="16"/>
      <c r="BRD72" s="16"/>
      <c r="BRE72" s="16"/>
      <c r="BRF72" s="16"/>
      <c r="BRG72" s="16"/>
      <c r="BRH72" s="16"/>
      <c r="BRI72" s="16"/>
      <c r="BRJ72" s="16"/>
      <c r="BRK72" s="16"/>
      <c r="BRL72" s="16"/>
      <c r="BRM72" s="16"/>
      <c r="BRN72" s="16"/>
      <c r="BRO72" s="16"/>
      <c r="BRP72" s="16"/>
      <c r="BRQ72" s="16"/>
      <c r="BRR72" s="16"/>
      <c r="BRS72" s="16"/>
      <c r="BRT72" s="16"/>
      <c r="BRU72" s="16"/>
      <c r="BRV72" s="16"/>
      <c r="BRW72" s="16"/>
      <c r="BRX72" s="16"/>
      <c r="BRY72" s="16"/>
      <c r="BRZ72" s="16"/>
      <c r="BSA72" s="16"/>
      <c r="BSB72" s="16"/>
      <c r="BSC72" s="16"/>
      <c r="BSD72" s="16"/>
      <c r="BSE72" s="16"/>
      <c r="BSF72" s="16"/>
      <c r="BSG72" s="16"/>
      <c r="BSH72" s="16"/>
      <c r="BSI72" s="16"/>
      <c r="BSJ72" s="16"/>
      <c r="BSK72" s="16"/>
      <c r="BSL72" s="16"/>
      <c r="BSM72" s="16"/>
      <c r="BSN72" s="16"/>
      <c r="BSO72" s="16"/>
      <c r="BSP72" s="16"/>
      <c r="BSQ72" s="16"/>
      <c r="BSR72" s="16"/>
      <c r="BSS72" s="16"/>
      <c r="BST72" s="16"/>
      <c r="BSU72" s="16"/>
      <c r="BSV72" s="16"/>
      <c r="BSW72" s="16"/>
      <c r="BSX72" s="16"/>
      <c r="BSY72" s="16"/>
      <c r="BSZ72" s="16"/>
      <c r="BTA72" s="16"/>
      <c r="BTB72" s="16"/>
      <c r="BTC72" s="16"/>
      <c r="BTD72" s="16"/>
      <c r="BTE72" s="16"/>
      <c r="BTF72" s="16"/>
      <c r="BTG72" s="16"/>
      <c r="BTH72" s="16"/>
      <c r="BTI72" s="16"/>
      <c r="BTJ72" s="16"/>
      <c r="BTK72" s="16"/>
      <c r="BTL72" s="16"/>
      <c r="BTM72" s="16"/>
      <c r="BTN72" s="16"/>
      <c r="BTO72" s="16"/>
      <c r="BTP72" s="16"/>
      <c r="BTQ72" s="16"/>
      <c r="BTR72" s="16"/>
      <c r="BTS72" s="16"/>
      <c r="BTT72" s="16"/>
      <c r="BTU72" s="16"/>
      <c r="BTV72" s="16"/>
      <c r="BTW72" s="16"/>
      <c r="BTX72" s="16"/>
      <c r="BTY72" s="16"/>
      <c r="BTZ72" s="16"/>
      <c r="BUA72" s="16"/>
      <c r="BUB72" s="16"/>
      <c r="BUC72" s="16"/>
      <c r="BUD72" s="16"/>
      <c r="BUE72" s="16"/>
      <c r="BUF72" s="16"/>
      <c r="BUG72" s="16"/>
      <c r="BUH72" s="16"/>
      <c r="BUI72" s="16"/>
      <c r="BUJ72" s="16"/>
      <c r="BUK72" s="16"/>
      <c r="BUL72" s="16"/>
      <c r="BUM72" s="16"/>
      <c r="BUN72" s="16"/>
      <c r="BUO72" s="16"/>
      <c r="BUP72" s="16"/>
      <c r="BUQ72" s="16"/>
      <c r="BUR72" s="16"/>
      <c r="BUS72" s="16"/>
      <c r="BUT72" s="16"/>
      <c r="BUU72" s="16"/>
      <c r="BUV72" s="16"/>
      <c r="BUW72" s="16"/>
      <c r="BUX72" s="16"/>
      <c r="BUY72" s="16"/>
      <c r="BUZ72" s="16"/>
      <c r="BVA72" s="16"/>
      <c r="BVB72" s="16"/>
      <c r="BVC72" s="16"/>
      <c r="BVD72" s="16"/>
      <c r="BVE72" s="16"/>
      <c r="BVF72" s="16"/>
      <c r="BVG72" s="16"/>
      <c r="BVH72" s="16"/>
      <c r="BVI72" s="16"/>
      <c r="BVJ72" s="16"/>
      <c r="BVK72" s="16"/>
      <c r="BVL72" s="16"/>
      <c r="BVM72" s="16"/>
      <c r="BVN72" s="16"/>
      <c r="BVO72" s="16"/>
      <c r="BVP72" s="16"/>
      <c r="BVQ72" s="16"/>
      <c r="BVR72" s="16"/>
      <c r="BVS72" s="16"/>
      <c r="BVT72" s="16"/>
      <c r="BVU72" s="16"/>
      <c r="BVV72" s="16"/>
      <c r="BVW72" s="16"/>
      <c r="BVX72" s="16"/>
      <c r="BVY72" s="16"/>
      <c r="BVZ72" s="16"/>
      <c r="BWA72" s="16"/>
      <c r="BWB72" s="16"/>
      <c r="BWC72" s="16"/>
      <c r="BWD72" s="16"/>
      <c r="BWE72" s="16"/>
      <c r="BWF72" s="16"/>
      <c r="BWG72" s="16"/>
      <c r="BWH72" s="16"/>
      <c r="BWI72" s="16"/>
      <c r="BWJ72" s="16"/>
      <c r="BWK72" s="16"/>
      <c r="BWL72" s="16"/>
      <c r="BWM72" s="16"/>
      <c r="BWN72" s="16"/>
      <c r="BWO72" s="16"/>
      <c r="BWP72" s="16"/>
      <c r="BWQ72" s="16"/>
      <c r="BWR72" s="16"/>
      <c r="BWS72" s="16"/>
      <c r="BWT72" s="16"/>
      <c r="BWU72" s="16"/>
      <c r="BWV72" s="16"/>
      <c r="BWW72" s="16"/>
      <c r="BWX72" s="16"/>
      <c r="BWY72" s="16"/>
      <c r="BWZ72" s="16"/>
      <c r="BXA72" s="16"/>
      <c r="BXB72" s="16"/>
      <c r="BXC72" s="16"/>
      <c r="BXD72" s="16"/>
      <c r="BXE72" s="16"/>
      <c r="BXF72" s="16"/>
      <c r="BXG72" s="16"/>
      <c r="BXH72" s="16"/>
      <c r="BXI72" s="16"/>
      <c r="BXJ72" s="16"/>
      <c r="BXK72" s="16"/>
      <c r="BXL72" s="16"/>
      <c r="BXM72" s="16"/>
      <c r="BXN72" s="16"/>
      <c r="BXO72" s="16"/>
      <c r="BXP72" s="16"/>
      <c r="BXQ72" s="16"/>
      <c r="BXR72" s="16"/>
      <c r="BXS72" s="16"/>
      <c r="BXT72" s="16"/>
      <c r="BXU72" s="16"/>
      <c r="BXV72" s="16"/>
      <c r="BXW72" s="16"/>
      <c r="BXX72" s="16"/>
      <c r="BXY72" s="16"/>
      <c r="BXZ72" s="16"/>
      <c r="BYA72" s="16"/>
      <c r="BYB72" s="16"/>
      <c r="BYC72" s="16"/>
      <c r="BYD72" s="16"/>
      <c r="BYE72" s="16"/>
      <c r="BYF72" s="16"/>
      <c r="BYG72" s="16"/>
      <c r="BYH72" s="16"/>
      <c r="BYI72" s="16"/>
      <c r="BYJ72" s="16"/>
      <c r="BYK72" s="16"/>
      <c r="BYL72" s="16"/>
      <c r="BYM72" s="16"/>
      <c r="BYN72" s="16"/>
      <c r="BYO72" s="16"/>
      <c r="BYP72" s="16"/>
      <c r="BYQ72" s="16"/>
      <c r="BYR72" s="16"/>
      <c r="BYS72" s="16"/>
      <c r="BYT72" s="16"/>
      <c r="BYU72" s="16"/>
      <c r="BYV72" s="16"/>
      <c r="BYW72" s="16"/>
      <c r="BYX72" s="16"/>
      <c r="BYY72" s="16"/>
      <c r="BYZ72" s="16"/>
      <c r="BZA72" s="16"/>
      <c r="BZB72" s="16"/>
      <c r="BZC72" s="16"/>
      <c r="BZD72" s="16"/>
      <c r="BZE72" s="16"/>
      <c r="BZF72" s="16"/>
      <c r="BZG72" s="16"/>
      <c r="BZH72" s="16"/>
      <c r="BZI72" s="16"/>
      <c r="BZJ72" s="16"/>
      <c r="BZK72" s="16"/>
      <c r="BZL72" s="16"/>
      <c r="BZM72" s="16"/>
      <c r="BZN72" s="16"/>
      <c r="BZO72" s="16"/>
      <c r="BZP72" s="16"/>
      <c r="BZQ72" s="16"/>
      <c r="BZR72" s="16"/>
      <c r="BZS72" s="16"/>
      <c r="BZT72" s="16"/>
      <c r="BZU72" s="16"/>
      <c r="BZV72" s="16"/>
      <c r="BZW72" s="16"/>
      <c r="BZX72" s="16"/>
      <c r="BZY72" s="16"/>
      <c r="BZZ72" s="16"/>
      <c r="CAA72" s="16"/>
      <c r="CAB72" s="16"/>
      <c r="CAC72" s="16"/>
      <c r="CAD72" s="16"/>
      <c r="CAE72" s="16"/>
      <c r="CAF72" s="16"/>
      <c r="CAG72" s="16"/>
      <c r="CAH72" s="16"/>
      <c r="CAI72" s="16"/>
      <c r="CAJ72" s="16"/>
      <c r="CAK72" s="16"/>
      <c r="CAL72" s="16"/>
      <c r="CAM72" s="16"/>
      <c r="CAN72" s="16"/>
      <c r="CAO72" s="16"/>
      <c r="CAP72" s="16"/>
      <c r="CAQ72" s="16"/>
      <c r="CAR72" s="16"/>
      <c r="CAS72" s="16"/>
      <c r="CAT72" s="16"/>
      <c r="CAU72" s="16"/>
      <c r="CAV72" s="16"/>
      <c r="CAW72" s="16"/>
      <c r="CAX72" s="16"/>
      <c r="CAY72" s="16"/>
      <c r="CAZ72" s="16"/>
      <c r="CBA72" s="16"/>
      <c r="CBB72" s="16"/>
      <c r="CBC72" s="16"/>
      <c r="CBD72" s="16"/>
      <c r="CBE72" s="16"/>
      <c r="CBF72" s="16"/>
      <c r="CBG72" s="16"/>
      <c r="CBH72" s="16"/>
      <c r="CBI72" s="16"/>
      <c r="CBJ72" s="16"/>
      <c r="CBK72" s="16"/>
      <c r="CBL72" s="16"/>
      <c r="CBM72" s="16"/>
      <c r="CBN72" s="16"/>
      <c r="CBO72" s="16"/>
      <c r="CBP72" s="16"/>
      <c r="CBQ72" s="16"/>
      <c r="CBR72" s="16"/>
      <c r="CBS72" s="16"/>
      <c r="CBT72" s="16"/>
      <c r="CBU72" s="16"/>
      <c r="CBV72" s="16"/>
      <c r="CBW72" s="16"/>
      <c r="CBX72" s="16"/>
      <c r="CBY72" s="16"/>
      <c r="CBZ72" s="16"/>
      <c r="CCA72" s="16"/>
      <c r="CCB72" s="16"/>
      <c r="CCC72" s="16"/>
      <c r="CCD72" s="16"/>
      <c r="CCE72" s="16"/>
      <c r="CCF72" s="16"/>
      <c r="CCG72" s="16"/>
      <c r="CCH72" s="16"/>
      <c r="CCI72" s="16"/>
      <c r="CCJ72" s="16"/>
      <c r="CCK72" s="16"/>
      <c r="CCL72" s="16"/>
      <c r="CCM72" s="16"/>
      <c r="CCN72" s="16"/>
      <c r="CCO72" s="16"/>
      <c r="CCP72" s="16"/>
      <c r="CCQ72" s="16"/>
      <c r="CCR72" s="16"/>
      <c r="CCS72" s="16"/>
      <c r="CCT72" s="16"/>
      <c r="CCU72" s="16"/>
      <c r="CCV72" s="16"/>
      <c r="CCW72" s="16"/>
      <c r="CCX72" s="16"/>
      <c r="CCY72" s="16"/>
      <c r="CCZ72" s="16"/>
      <c r="CDA72" s="16"/>
      <c r="CDB72" s="16"/>
      <c r="CDC72" s="16"/>
      <c r="CDD72" s="16"/>
      <c r="CDE72" s="16"/>
      <c r="CDF72" s="16"/>
      <c r="CDG72" s="16"/>
      <c r="CDH72" s="16"/>
      <c r="CDI72" s="16"/>
      <c r="CDJ72" s="16"/>
      <c r="CDK72" s="16"/>
      <c r="CDL72" s="16"/>
      <c r="CDM72" s="16"/>
      <c r="CDN72" s="16"/>
      <c r="CDO72" s="16"/>
      <c r="CDP72" s="16"/>
      <c r="CDQ72" s="16"/>
      <c r="CDR72" s="16"/>
      <c r="CDS72" s="16"/>
      <c r="CDT72" s="16"/>
      <c r="CDU72" s="16"/>
      <c r="CDV72" s="16"/>
      <c r="CDW72" s="16"/>
      <c r="CDX72" s="16"/>
      <c r="CDY72" s="16"/>
      <c r="CDZ72" s="16"/>
      <c r="CEA72" s="16"/>
      <c r="CEB72" s="16"/>
      <c r="CEC72" s="16"/>
      <c r="CED72" s="16"/>
      <c r="CEE72" s="16"/>
      <c r="CEF72" s="16"/>
      <c r="CEG72" s="16"/>
      <c r="CEH72" s="16"/>
      <c r="CEI72" s="16"/>
      <c r="CEJ72" s="16"/>
      <c r="CEK72" s="16"/>
      <c r="CEL72" s="16"/>
      <c r="CEM72" s="16"/>
      <c r="CEN72" s="16"/>
      <c r="CEO72" s="16"/>
      <c r="CEP72" s="16"/>
      <c r="CEQ72" s="16"/>
      <c r="CER72" s="16"/>
      <c r="CES72" s="16"/>
      <c r="CET72" s="16"/>
      <c r="CEU72" s="16"/>
      <c r="CEV72" s="16"/>
      <c r="CEW72" s="16"/>
      <c r="CEX72" s="16"/>
      <c r="CEY72" s="16"/>
      <c r="CEZ72" s="16"/>
      <c r="CFA72" s="16"/>
      <c r="CFB72" s="16"/>
      <c r="CFC72" s="16"/>
      <c r="CFD72" s="16"/>
      <c r="CFE72" s="16"/>
      <c r="CFF72" s="16"/>
      <c r="CFG72" s="16"/>
      <c r="CFH72" s="16"/>
      <c r="CFI72" s="16"/>
      <c r="CFJ72" s="16"/>
      <c r="CFK72" s="16"/>
      <c r="CFL72" s="16"/>
      <c r="CFM72" s="16"/>
      <c r="CFN72" s="16"/>
      <c r="CFO72" s="16"/>
      <c r="CFP72" s="16"/>
      <c r="CFQ72" s="16"/>
      <c r="CFR72" s="16"/>
      <c r="CFS72" s="16"/>
      <c r="CFT72" s="16"/>
      <c r="CFU72" s="16"/>
      <c r="CFV72" s="16"/>
      <c r="CFW72" s="16"/>
      <c r="CFX72" s="16"/>
      <c r="CFY72" s="16"/>
      <c r="CFZ72" s="16"/>
      <c r="CGA72" s="16"/>
      <c r="CGB72" s="16"/>
      <c r="CGC72" s="16"/>
      <c r="CGD72" s="16"/>
      <c r="CGE72" s="16"/>
      <c r="CGF72" s="16"/>
      <c r="CGG72" s="16"/>
      <c r="CGH72" s="16"/>
      <c r="CGI72" s="16"/>
      <c r="CGJ72" s="16"/>
      <c r="CGK72" s="16"/>
      <c r="CGL72" s="16"/>
      <c r="CGM72" s="16"/>
      <c r="CGN72" s="16"/>
      <c r="CGO72" s="16"/>
      <c r="CGP72" s="16"/>
      <c r="CGQ72" s="16"/>
      <c r="CGR72" s="16"/>
      <c r="CGS72" s="16"/>
      <c r="CGT72" s="16"/>
      <c r="CGU72" s="16"/>
      <c r="CGV72" s="16"/>
      <c r="CGW72" s="16"/>
      <c r="CGX72" s="16"/>
      <c r="CGY72" s="16"/>
      <c r="CGZ72" s="16"/>
      <c r="CHA72" s="16"/>
      <c r="CHB72" s="16"/>
      <c r="CHC72" s="16"/>
      <c r="CHD72" s="16"/>
      <c r="CHE72" s="16"/>
      <c r="CHF72" s="16"/>
      <c r="CHG72" s="16"/>
      <c r="CHH72" s="16"/>
      <c r="CHI72" s="16"/>
      <c r="CHJ72" s="16"/>
      <c r="CHK72" s="16"/>
      <c r="CHL72" s="16"/>
      <c r="CHM72" s="16"/>
      <c r="CHN72" s="16"/>
      <c r="CHO72" s="16"/>
      <c r="CHP72" s="16"/>
      <c r="CHQ72" s="16"/>
      <c r="CHR72" s="16"/>
      <c r="CHS72" s="16"/>
      <c r="CHT72" s="16"/>
      <c r="CHU72" s="16"/>
      <c r="CHV72" s="16"/>
      <c r="CHW72" s="16"/>
      <c r="CHX72" s="16"/>
      <c r="CHY72" s="16"/>
      <c r="CHZ72" s="16"/>
      <c r="CIA72" s="16"/>
      <c r="CIB72" s="16"/>
      <c r="CIC72" s="16"/>
      <c r="CID72" s="16"/>
      <c r="CIE72" s="16"/>
      <c r="CIF72" s="16"/>
      <c r="CIG72" s="16"/>
      <c r="CIH72" s="16"/>
      <c r="CII72" s="16"/>
      <c r="CIJ72" s="16"/>
      <c r="CIK72" s="16"/>
      <c r="CIL72" s="16"/>
      <c r="CIM72" s="16"/>
      <c r="CIN72" s="16"/>
      <c r="CIO72" s="16"/>
      <c r="CIP72" s="16"/>
      <c r="CIQ72" s="16"/>
      <c r="CIR72" s="16"/>
      <c r="CIS72" s="16"/>
      <c r="CIT72" s="16"/>
      <c r="CIU72" s="16"/>
      <c r="CIV72" s="16"/>
      <c r="CIW72" s="16"/>
      <c r="CIX72" s="16"/>
      <c r="CIY72" s="16"/>
      <c r="CIZ72" s="16"/>
      <c r="CJA72" s="16"/>
      <c r="CJB72" s="16"/>
      <c r="CJC72" s="16"/>
      <c r="CJD72" s="16"/>
      <c r="CJE72" s="16"/>
      <c r="CJF72" s="16"/>
      <c r="CJG72" s="16"/>
      <c r="CJH72" s="16"/>
      <c r="CJI72" s="16"/>
      <c r="CJJ72" s="16"/>
      <c r="CJK72" s="16"/>
      <c r="CJL72" s="16"/>
      <c r="CJM72" s="16"/>
      <c r="CJN72" s="16"/>
      <c r="CJO72" s="16"/>
      <c r="CJP72" s="16"/>
      <c r="CJQ72" s="16"/>
      <c r="CJR72" s="16"/>
      <c r="CJS72" s="16"/>
      <c r="CJT72" s="16"/>
      <c r="CJU72" s="16"/>
      <c r="CJV72" s="16"/>
      <c r="CJW72" s="16"/>
      <c r="CJX72" s="16"/>
      <c r="CJY72" s="16"/>
      <c r="CJZ72" s="16"/>
      <c r="CKA72" s="16"/>
      <c r="CKB72" s="16"/>
      <c r="CKC72" s="16"/>
      <c r="CKD72" s="16"/>
      <c r="CKE72" s="16"/>
      <c r="CKF72" s="16"/>
      <c r="CKG72" s="16"/>
      <c r="CKH72" s="16"/>
      <c r="CKI72" s="16"/>
      <c r="CKJ72" s="16"/>
      <c r="CKK72" s="16"/>
      <c r="CKL72" s="16"/>
      <c r="CKM72" s="16"/>
      <c r="CKN72" s="16"/>
      <c r="CKO72" s="16"/>
      <c r="CKP72" s="16"/>
      <c r="CKQ72" s="16"/>
      <c r="CKR72" s="16"/>
      <c r="CKS72" s="16"/>
      <c r="CKT72" s="16"/>
      <c r="CKU72" s="16"/>
      <c r="CKV72" s="16"/>
      <c r="CKW72" s="16"/>
      <c r="CKX72" s="16"/>
      <c r="CKY72" s="16"/>
      <c r="CKZ72" s="16"/>
      <c r="CLA72" s="16"/>
      <c r="CLB72" s="16"/>
      <c r="CLC72" s="16"/>
      <c r="CLD72" s="16"/>
      <c r="CLE72" s="16"/>
      <c r="CLF72" s="16"/>
      <c r="CLG72" s="16"/>
      <c r="CLH72" s="16"/>
      <c r="CLI72" s="16"/>
      <c r="CLJ72" s="16"/>
      <c r="CLK72" s="16"/>
      <c r="CLL72" s="16"/>
      <c r="CLM72" s="16"/>
      <c r="CLN72" s="16"/>
      <c r="CLO72" s="16"/>
      <c r="CLP72" s="16"/>
      <c r="CLQ72" s="16"/>
      <c r="CLR72" s="16"/>
      <c r="CLS72" s="16"/>
      <c r="CLT72" s="16"/>
      <c r="CLU72" s="16"/>
      <c r="CLV72" s="16"/>
      <c r="CLW72" s="16"/>
      <c r="CLX72" s="16"/>
      <c r="CLY72" s="16"/>
      <c r="CLZ72" s="16"/>
      <c r="CMA72" s="16"/>
      <c r="CMB72" s="16"/>
      <c r="CMC72" s="16"/>
      <c r="CMD72" s="16"/>
      <c r="CME72" s="16"/>
      <c r="CMF72" s="16"/>
      <c r="CMG72" s="16"/>
      <c r="CMH72" s="16"/>
      <c r="CMI72" s="16"/>
      <c r="CMJ72" s="16"/>
      <c r="CMK72" s="16"/>
      <c r="CML72" s="16"/>
      <c r="CMM72" s="16"/>
      <c r="CMN72" s="16"/>
      <c r="CMO72" s="16"/>
      <c r="CMP72" s="16"/>
      <c r="CMQ72" s="16"/>
      <c r="CMR72" s="16"/>
      <c r="CMS72" s="16"/>
      <c r="CMT72" s="16"/>
      <c r="CMU72" s="16"/>
      <c r="CMV72" s="16"/>
      <c r="CMW72" s="16"/>
      <c r="CMX72" s="16"/>
      <c r="CMY72" s="16"/>
      <c r="CMZ72" s="16"/>
      <c r="CNA72" s="16"/>
      <c r="CNB72" s="16"/>
      <c r="CNC72" s="16"/>
      <c r="CND72" s="16"/>
      <c r="CNE72" s="16"/>
      <c r="CNF72" s="16"/>
      <c r="CNG72" s="16"/>
      <c r="CNH72" s="16"/>
      <c r="CNI72" s="16"/>
      <c r="CNJ72" s="16"/>
      <c r="CNK72" s="16"/>
      <c r="CNL72" s="16"/>
      <c r="CNM72" s="16"/>
      <c r="CNN72" s="16"/>
      <c r="CNO72" s="16"/>
      <c r="CNP72" s="16"/>
      <c r="CNQ72" s="16"/>
      <c r="CNR72" s="16"/>
      <c r="CNS72" s="16"/>
      <c r="CNT72" s="16"/>
      <c r="CNU72" s="16"/>
      <c r="CNV72" s="16"/>
      <c r="CNW72" s="16"/>
      <c r="CNX72" s="16"/>
      <c r="CNY72" s="16"/>
      <c r="CNZ72" s="16"/>
      <c r="COA72" s="16"/>
      <c r="COB72" s="16"/>
      <c r="COC72" s="16"/>
      <c r="COD72" s="16"/>
      <c r="COE72" s="16"/>
      <c r="COF72" s="16"/>
      <c r="COG72" s="16"/>
      <c r="COH72" s="16"/>
      <c r="COI72" s="16"/>
      <c r="COJ72" s="16"/>
      <c r="COK72" s="16"/>
      <c r="COL72" s="16"/>
      <c r="COM72" s="16"/>
      <c r="CON72" s="16"/>
      <c r="COO72" s="16"/>
      <c r="COP72" s="16"/>
      <c r="COQ72" s="16"/>
      <c r="COR72" s="16"/>
      <c r="COS72" s="16"/>
      <c r="COT72" s="16"/>
      <c r="COU72" s="16"/>
      <c r="COV72" s="16"/>
      <c r="COW72" s="16"/>
      <c r="COX72" s="16"/>
      <c r="COY72" s="16"/>
      <c r="COZ72" s="16"/>
      <c r="CPA72" s="16"/>
      <c r="CPB72" s="16"/>
      <c r="CPC72" s="16"/>
      <c r="CPD72" s="16"/>
      <c r="CPE72" s="16"/>
      <c r="CPF72" s="16"/>
      <c r="CPG72" s="16"/>
      <c r="CPH72" s="16"/>
      <c r="CPI72" s="16"/>
      <c r="CPJ72" s="16"/>
      <c r="CPK72" s="16"/>
      <c r="CPL72" s="16"/>
      <c r="CPM72" s="16"/>
      <c r="CPN72" s="16"/>
      <c r="CPO72" s="16"/>
      <c r="CPP72" s="16"/>
      <c r="CPQ72" s="16"/>
      <c r="CPR72" s="16"/>
      <c r="CPS72" s="16"/>
      <c r="CPT72" s="16"/>
      <c r="CPU72" s="16"/>
      <c r="CPV72" s="16"/>
      <c r="CPW72" s="16"/>
      <c r="CPX72" s="16"/>
      <c r="CPY72" s="16"/>
      <c r="CPZ72" s="16"/>
      <c r="CQA72" s="16"/>
      <c r="CQB72" s="16"/>
      <c r="CQC72" s="16"/>
      <c r="CQD72" s="16"/>
      <c r="CQE72" s="16"/>
      <c r="CQF72" s="16"/>
      <c r="CQG72" s="16"/>
      <c r="CQH72" s="16"/>
      <c r="CQI72" s="16"/>
      <c r="CQJ72" s="16"/>
      <c r="CQK72" s="16"/>
      <c r="CQL72" s="16"/>
      <c r="CQM72" s="16"/>
      <c r="CQN72" s="16"/>
      <c r="CQO72" s="16"/>
      <c r="CQP72" s="16"/>
      <c r="CQQ72" s="16"/>
      <c r="CQR72" s="16"/>
      <c r="CQS72" s="16"/>
      <c r="CQT72" s="16"/>
      <c r="CQU72" s="16"/>
      <c r="CQV72" s="16"/>
      <c r="CQW72" s="16"/>
      <c r="CQX72" s="16"/>
      <c r="CQY72" s="16"/>
      <c r="CQZ72" s="16"/>
      <c r="CRA72" s="16"/>
      <c r="CRB72" s="16"/>
      <c r="CRC72" s="16"/>
      <c r="CRD72" s="16"/>
      <c r="CRE72" s="16"/>
      <c r="CRF72" s="16"/>
      <c r="CRG72" s="16"/>
      <c r="CRH72" s="16"/>
      <c r="CRI72" s="16"/>
      <c r="CRJ72" s="16"/>
      <c r="CRK72" s="16"/>
      <c r="CRL72" s="16"/>
      <c r="CRM72" s="16"/>
      <c r="CRN72" s="16"/>
      <c r="CRO72" s="16"/>
      <c r="CRP72" s="16"/>
      <c r="CRQ72" s="16"/>
      <c r="CRR72" s="16"/>
      <c r="CRS72" s="16"/>
      <c r="CRT72" s="16"/>
      <c r="CRU72" s="16"/>
      <c r="CRV72" s="16"/>
      <c r="CRW72" s="16"/>
      <c r="CRX72" s="16"/>
      <c r="CRY72" s="16"/>
      <c r="CRZ72" s="16"/>
      <c r="CSA72" s="16"/>
      <c r="CSB72" s="16"/>
      <c r="CSC72" s="16"/>
      <c r="CSD72" s="16"/>
      <c r="CSE72" s="16"/>
      <c r="CSF72" s="16"/>
      <c r="CSG72" s="16"/>
      <c r="CSH72" s="16"/>
      <c r="CSI72" s="16"/>
      <c r="CSJ72" s="16"/>
      <c r="CSK72" s="16"/>
      <c r="CSL72" s="16"/>
      <c r="CSM72" s="16"/>
      <c r="CSN72" s="16"/>
      <c r="CSO72" s="16"/>
      <c r="CSP72" s="16"/>
      <c r="CSQ72" s="16"/>
      <c r="CSR72" s="16"/>
      <c r="CSS72" s="16"/>
      <c r="CST72" s="16"/>
      <c r="CSU72" s="16"/>
      <c r="CSV72" s="16"/>
      <c r="CSW72" s="16"/>
      <c r="CSX72" s="16"/>
      <c r="CSY72" s="16"/>
      <c r="CSZ72" s="16"/>
      <c r="CTA72" s="16"/>
      <c r="CTB72" s="16"/>
      <c r="CTC72" s="16"/>
      <c r="CTD72" s="16"/>
      <c r="CTE72" s="16"/>
      <c r="CTF72" s="16"/>
      <c r="CTG72" s="16"/>
      <c r="CTH72" s="16"/>
      <c r="CTI72" s="16"/>
      <c r="CTJ72" s="16"/>
      <c r="CTK72" s="16"/>
      <c r="CTL72" s="16"/>
      <c r="CTM72" s="16"/>
      <c r="CTN72" s="16"/>
      <c r="CTO72" s="16"/>
      <c r="CTP72" s="16"/>
      <c r="CTQ72" s="16"/>
      <c r="CTR72" s="16"/>
      <c r="CTS72" s="16"/>
      <c r="CTT72" s="16"/>
      <c r="CTU72" s="16"/>
      <c r="CTV72" s="16"/>
      <c r="CTW72" s="16"/>
      <c r="CTX72" s="16"/>
      <c r="CTY72" s="16"/>
      <c r="CTZ72" s="16"/>
      <c r="CUA72" s="16"/>
      <c r="CUB72" s="16"/>
      <c r="CUC72" s="16"/>
      <c r="CUD72" s="16"/>
      <c r="CUE72" s="16"/>
      <c r="CUF72" s="16"/>
      <c r="CUG72" s="16"/>
      <c r="CUH72" s="16"/>
      <c r="CUI72" s="16"/>
      <c r="CUJ72" s="16"/>
      <c r="CUK72" s="16"/>
      <c r="CUL72" s="16"/>
      <c r="CUM72" s="16"/>
      <c r="CUN72" s="16"/>
      <c r="CUO72" s="16"/>
      <c r="CUP72" s="16"/>
      <c r="CUQ72" s="16"/>
      <c r="CUR72" s="16"/>
      <c r="CUS72" s="16"/>
      <c r="CUT72" s="16"/>
      <c r="CUU72" s="16"/>
      <c r="CUV72" s="16"/>
      <c r="CUW72" s="16"/>
      <c r="CUX72" s="16"/>
      <c r="CUY72" s="16"/>
      <c r="CUZ72" s="16"/>
      <c r="CVA72" s="16"/>
      <c r="CVB72" s="16"/>
      <c r="CVC72" s="16"/>
      <c r="CVD72" s="16"/>
      <c r="CVE72" s="16"/>
      <c r="CVF72" s="16"/>
      <c r="CVG72" s="16"/>
      <c r="CVH72" s="16"/>
      <c r="CVI72" s="16"/>
      <c r="CVJ72" s="16"/>
      <c r="CVK72" s="16"/>
      <c r="CVL72" s="16"/>
      <c r="CVM72" s="16"/>
      <c r="CVN72" s="16"/>
      <c r="CVO72" s="16"/>
      <c r="CVP72" s="16"/>
      <c r="CVQ72" s="16"/>
      <c r="CVR72" s="16"/>
      <c r="CVS72" s="16"/>
      <c r="CVT72" s="16"/>
      <c r="CVU72" s="16"/>
      <c r="CVV72" s="16"/>
      <c r="CVW72" s="16"/>
      <c r="CVX72" s="16"/>
      <c r="CVY72" s="16"/>
      <c r="CVZ72" s="16"/>
      <c r="CWA72" s="16"/>
      <c r="CWB72" s="16"/>
      <c r="CWC72" s="16"/>
      <c r="CWD72" s="16"/>
      <c r="CWE72" s="16"/>
      <c r="CWF72" s="16"/>
      <c r="CWG72" s="16"/>
      <c r="CWH72" s="16"/>
      <c r="CWI72" s="16"/>
      <c r="CWJ72" s="16"/>
      <c r="CWK72" s="16"/>
      <c r="CWL72" s="16"/>
      <c r="CWM72" s="16"/>
      <c r="CWN72" s="16"/>
      <c r="CWO72" s="16"/>
      <c r="CWP72" s="16"/>
      <c r="CWQ72" s="16"/>
      <c r="CWR72" s="16"/>
      <c r="CWS72" s="16"/>
      <c r="CWT72" s="16"/>
      <c r="CWU72" s="16"/>
      <c r="CWV72" s="16"/>
      <c r="CWW72" s="16"/>
      <c r="CWX72" s="16"/>
      <c r="CWY72" s="16"/>
      <c r="CWZ72" s="16"/>
      <c r="CXA72" s="16"/>
      <c r="CXB72" s="16"/>
      <c r="CXC72" s="16"/>
      <c r="CXD72" s="16"/>
      <c r="CXE72" s="16"/>
      <c r="CXF72" s="16"/>
      <c r="CXG72" s="16"/>
      <c r="CXH72" s="16"/>
      <c r="CXI72" s="16"/>
      <c r="CXJ72" s="16"/>
      <c r="CXK72" s="16"/>
      <c r="CXL72" s="16"/>
      <c r="CXM72" s="16"/>
      <c r="CXN72" s="16"/>
      <c r="CXO72" s="16"/>
      <c r="CXP72" s="16"/>
      <c r="CXQ72" s="16"/>
      <c r="CXR72" s="16"/>
      <c r="CXS72" s="16"/>
      <c r="CXT72" s="16"/>
      <c r="CXU72" s="16"/>
      <c r="CXV72" s="16"/>
      <c r="CXW72" s="16"/>
      <c r="CXX72" s="16"/>
      <c r="CXY72" s="16"/>
      <c r="CXZ72" s="16"/>
      <c r="CYA72" s="16"/>
      <c r="CYB72" s="16"/>
      <c r="CYC72" s="16"/>
      <c r="CYD72" s="16"/>
      <c r="CYE72" s="16"/>
      <c r="CYF72" s="16"/>
      <c r="CYG72" s="16"/>
      <c r="CYH72" s="16"/>
      <c r="CYI72" s="16"/>
      <c r="CYJ72" s="16"/>
      <c r="CYK72" s="16"/>
      <c r="CYL72" s="16"/>
      <c r="CYM72" s="16"/>
      <c r="CYN72" s="16"/>
      <c r="CYO72" s="16"/>
      <c r="CYP72" s="16"/>
      <c r="CYQ72" s="16"/>
      <c r="CYR72" s="16"/>
      <c r="CYS72" s="16"/>
      <c r="CYT72" s="16"/>
      <c r="CYU72" s="16"/>
      <c r="CYV72" s="16"/>
      <c r="CYW72" s="16"/>
      <c r="CYX72" s="16"/>
      <c r="CYY72" s="16"/>
      <c r="CYZ72" s="16"/>
      <c r="CZA72" s="16"/>
      <c r="CZB72" s="16"/>
      <c r="CZC72" s="16"/>
      <c r="CZD72" s="16"/>
      <c r="CZE72" s="16"/>
      <c r="CZF72" s="16"/>
      <c r="CZG72" s="16"/>
      <c r="CZH72" s="16"/>
      <c r="CZI72" s="16"/>
      <c r="CZJ72" s="16"/>
      <c r="CZK72" s="16"/>
      <c r="CZL72" s="16"/>
      <c r="CZM72" s="16"/>
      <c r="CZN72" s="16"/>
      <c r="CZO72" s="16"/>
      <c r="CZP72" s="16"/>
      <c r="CZQ72" s="16"/>
      <c r="CZR72" s="16"/>
      <c r="CZS72" s="16"/>
      <c r="CZT72" s="16"/>
      <c r="CZU72" s="16"/>
      <c r="CZV72" s="16"/>
      <c r="CZW72" s="16"/>
      <c r="CZX72" s="16"/>
      <c r="CZY72" s="16"/>
      <c r="CZZ72" s="16"/>
      <c r="DAA72" s="16"/>
      <c r="DAB72" s="16"/>
      <c r="DAC72" s="16"/>
      <c r="DAD72" s="16"/>
      <c r="DAE72" s="16"/>
      <c r="DAF72" s="16"/>
      <c r="DAG72" s="16"/>
      <c r="DAH72" s="16"/>
      <c r="DAI72" s="16"/>
      <c r="DAJ72" s="16"/>
      <c r="DAK72" s="16"/>
      <c r="DAL72" s="16"/>
      <c r="DAM72" s="16"/>
      <c r="DAN72" s="16"/>
      <c r="DAO72" s="16"/>
      <c r="DAP72" s="16"/>
      <c r="DAQ72" s="16"/>
      <c r="DAR72" s="16"/>
      <c r="DAS72" s="16"/>
      <c r="DAT72" s="16"/>
      <c r="DAU72" s="16"/>
      <c r="DAV72" s="16"/>
      <c r="DAW72" s="16"/>
      <c r="DAX72" s="16"/>
      <c r="DAY72" s="16"/>
      <c r="DAZ72" s="16"/>
      <c r="DBA72" s="16"/>
      <c r="DBB72" s="16"/>
      <c r="DBC72" s="16"/>
      <c r="DBD72" s="16"/>
      <c r="DBE72" s="16"/>
      <c r="DBF72" s="16"/>
      <c r="DBG72" s="16"/>
      <c r="DBH72" s="16"/>
      <c r="DBI72" s="16"/>
      <c r="DBJ72" s="16"/>
      <c r="DBK72" s="16"/>
      <c r="DBL72" s="16"/>
      <c r="DBM72" s="16"/>
      <c r="DBN72" s="16"/>
      <c r="DBO72" s="16"/>
      <c r="DBP72" s="16"/>
      <c r="DBQ72" s="16"/>
      <c r="DBR72" s="16"/>
      <c r="DBS72" s="16"/>
      <c r="DBT72" s="16"/>
      <c r="DBU72" s="16"/>
      <c r="DBV72" s="16"/>
      <c r="DBW72" s="16"/>
      <c r="DBX72" s="16"/>
      <c r="DBY72" s="16"/>
      <c r="DBZ72" s="16"/>
      <c r="DCA72" s="16"/>
      <c r="DCB72" s="16"/>
      <c r="DCC72" s="16"/>
      <c r="DCD72" s="16"/>
      <c r="DCE72" s="16"/>
      <c r="DCF72" s="16"/>
      <c r="DCG72" s="16"/>
      <c r="DCH72" s="16"/>
      <c r="DCI72" s="16"/>
      <c r="DCJ72" s="16"/>
      <c r="DCK72" s="16"/>
      <c r="DCL72" s="16"/>
      <c r="DCM72" s="16"/>
      <c r="DCN72" s="16"/>
      <c r="DCO72" s="16"/>
      <c r="DCP72" s="16"/>
      <c r="DCQ72" s="16"/>
      <c r="DCR72" s="16"/>
      <c r="DCS72" s="16"/>
      <c r="DCT72" s="16"/>
      <c r="DCU72" s="16"/>
      <c r="DCV72" s="16"/>
      <c r="DCW72" s="16"/>
      <c r="DCX72" s="16"/>
      <c r="DCY72" s="16"/>
      <c r="DCZ72" s="16"/>
      <c r="DDA72" s="16"/>
      <c r="DDB72" s="16"/>
      <c r="DDC72" s="16"/>
      <c r="DDD72" s="16"/>
      <c r="DDE72" s="16"/>
      <c r="DDF72" s="16"/>
      <c r="DDG72" s="16"/>
      <c r="DDH72" s="16"/>
      <c r="DDI72" s="16"/>
      <c r="DDJ72" s="16"/>
      <c r="DDK72" s="16"/>
      <c r="DDL72" s="16"/>
      <c r="DDM72" s="16"/>
      <c r="DDN72" s="16"/>
      <c r="DDO72" s="16"/>
      <c r="DDP72" s="16"/>
      <c r="DDQ72" s="16"/>
      <c r="DDR72" s="16"/>
      <c r="DDS72" s="16"/>
      <c r="DDT72" s="16"/>
      <c r="DDU72" s="16"/>
      <c r="DDV72" s="16"/>
      <c r="DDW72" s="16"/>
      <c r="DDX72" s="16"/>
      <c r="DDY72" s="16"/>
      <c r="DDZ72" s="16"/>
      <c r="DEA72" s="16"/>
      <c r="DEB72" s="16"/>
      <c r="DEC72" s="16"/>
      <c r="DED72" s="16"/>
      <c r="DEE72" s="16"/>
      <c r="DEF72" s="16"/>
      <c r="DEG72" s="16"/>
      <c r="DEH72" s="16"/>
      <c r="DEI72" s="16"/>
      <c r="DEJ72" s="16"/>
      <c r="DEK72" s="16"/>
      <c r="DEL72" s="16"/>
      <c r="DEM72" s="16"/>
      <c r="DEN72" s="16"/>
      <c r="DEO72" s="16"/>
      <c r="DEP72" s="16"/>
      <c r="DEQ72" s="16"/>
      <c r="DER72" s="16"/>
      <c r="DES72" s="16"/>
      <c r="DET72" s="16"/>
      <c r="DEU72" s="16"/>
      <c r="DEV72" s="16"/>
      <c r="DEW72" s="16"/>
      <c r="DEX72" s="16"/>
      <c r="DEY72" s="16"/>
      <c r="DEZ72" s="16"/>
      <c r="DFA72" s="16"/>
      <c r="DFB72" s="16"/>
      <c r="DFC72" s="16"/>
      <c r="DFD72" s="16"/>
      <c r="DFE72" s="16"/>
      <c r="DFF72" s="16"/>
      <c r="DFG72" s="16"/>
      <c r="DFH72" s="16"/>
      <c r="DFI72" s="16"/>
      <c r="DFJ72" s="16"/>
      <c r="DFK72" s="16"/>
      <c r="DFL72" s="16"/>
      <c r="DFM72" s="16"/>
      <c r="DFN72" s="16"/>
      <c r="DFO72" s="16"/>
      <c r="DFP72" s="16"/>
      <c r="DFQ72" s="16"/>
      <c r="DFR72" s="16"/>
      <c r="DFS72" s="16"/>
      <c r="DFT72" s="16"/>
      <c r="DFU72" s="16"/>
      <c r="DFV72" s="16"/>
      <c r="DFW72" s="16"/>
      <c r="DFX72" s="16"/>
      <c r="DFY72" s="16"/>
      <c r="DFZ72" s="16"/>
      <c r="DGA72" s="16"/>
      <c r="DGB72" s="16"/>
      <c r="DGC72" s="16"/>
      <c r="DGD72" s="16"/>
      <c r="DGE72" s="16"/>
      <c r="DGF72" s="16"/>
      <c r="DGG72" s="16"/>
      <c r="DGH72" s="16"/>
      <c r="DGI72" s="16"/>
      <c r="DGJ72" s="16"/>
      <c r="DGK72" s="16"/>
      <c r="DGL72" s="16"/>
      <c r="DGM72" s="16"/>
      <c r="DGN72" s="16"/>
      <c r="DGO72" s="16"/>
      <c r="DGP72" s="16"/>
      <c r="DGQ72" s="16"/>
      <c r="DGR72" s="16"/>
      <c r="DGS72" s="16"/>
      <c r="DGT72" s="16"/>
      <c r="DGU72" s="16"/>
      <c r="DGV72" s="16"/>
      <c r="DGW72" s="16"/>
      <c r="DGX72" s="16"/>
      <c r="DGY72" s="16"/>
      <c r="DGZ72" s="16"/>
      <c r="DHA72" s="16"/>
      <c r="DHB72" s="16"/>
      <c r="DHC72" s="16"/>
      <c r="DHD72" s="16"/>
      <c r="DHE72" s="16"/>
      <c r="DHF72" s="16"/>
      <c r="DHG72" s="16"/>
      <c r="DHH72" s="16"/>
      <c r="DHI72" s="16"/>
      <c r="DHJ72" s="16"/>
      <c r="DHK72" s="16"/>
      <c r="DHL72" s="16"/>
      <c r="DHM72" s="16"/>
      <c r="DHN72" s="16"/>
      <c r="DHO72" s="16"/>
      <c r="DHP72" s="16"/>
      <c r="DHQ72" s="16"/>
      <c r="DHR72" s="16"/>
      <c r="DHS72" s="16"/>
      <c r="DHT72" s="16"/>
      <c r="DHU72" s="16"/>
      <c r="DHV72" s="16"/>
      <c r="DHW72" s="16"/>
      <c r="DHX72" s="16"/>
      <c r="DHY72" s="16"/>
      <c r="DHZ72" s="16"/>
      <c r="DIA72" s="16"/>
      <c r="DIB72" s="16"/>
      <c r="DIC72" s="16"/>
      <c r="DID72" s="16"/>
      <c r="DIE72" s="16"/>
      <c r="DIF72" s="16"/>
      <c r="DIG72" s="16"/>
      <c r="DIH72" s="16"/>
      <c r="DII72" s="16"/>
      <c r="DIJ72" s="16"/>
      <c r="DIK72" s="16"/>
      <c r="DIL72" s="16"/>
      <c r="DIM72" s="16"/>
      <c r="DIN72" s="16"/>
      <c r="DIO72" s="16"/>
      <c r="DIP72" s="16"/>
      <c r="DIQ72" s="16"/>
      <c r="DIR72" s="16"/>
      <c r="DIS72" s="16"/>
      <c r="DIT72" s="16"/>
      <c r="DIU72" s="16"/>
      <c r="DIV72" s="16"/>
      <c r="DIW72" s="16"/>
      <c r="DIX72" s="16"/>
      <c r="DIY72" s="16"/>
      <c r="DIZ72" s="16"/>
      <c r="DJA72" s="16"/>
      <c r="DJB72" s="16"/>
      <c r="DJC72" s="16"/>
      <c r="DJD72" s="16"/>
      <c r="DJE72" s="16"/>
      <c r="DJF72" s="16"/>
      <c r="DJG72" s="16"/>
      <c r="DJH72" s="16"/>
      <c r="DJI72" s="16"/>
      <c r="DJJ72" s="16"/>
      <c r="DJK72" s="16"/>
      <c r="DJL72" s="16"/>
      <c r="DJM72" s="16"/>
      <c r="DJN72" s="16"/>
      <c r="DJO72" s="16"/>
      <c r="DJP72" s="16"/>
      <c r="DJQ72" s="16"/>
      <c r="DJR72" s="16"/>
      <c r="DJS72" s="16"/>
      <c r="DJT72" s="16"/>
      <c r="DJU72" s="16"/>
      <c r="DJV72" s="16"/>
      <c r="DJW72" s="16"/>
      <c r="DJX72" s="16"/>
      <c r="DJY72" s="16"/>
      <c r="DJZ72" s="16"/>
      <c r="DKA72" s="16"/>
      <c r="DKB72" s="16"/>
      <c r="DKC72" s="16"/>
      <c r="DKD72" s="16"/>
      <c r="DKE72" s="16"/>
      <c r="DKF72" s="16"/>
      <c r="DKG72" s="16"/>
      <c r="DKH72" s="16"/>
      <c r="DKI72" s="16"/>
      <c r="DKJ72" s="16"/>
      <c r="DKK72" s="16"/>
      <c r="DKL72" s="16"/>
      <c r="DKM72" s="16"/>
      <c r="DKN72" s="16"/>
      <c r="DKO72" s="16"/>
      <c r="DKP72" s="16"/>
      <c r="DKQ72" s="16"/>
      <c r="DKR72" s="16"/>
      <c r="DKS72" s="16"/>
      <c r="DKT72" s="16"/>
      <c r="DKU72" s="16"/>
      <c r="DKV72" s="16"/>
      <c r="DKW72" s="16"/>
      <c r="DKX72" s="16"/>
      <c r="DKY72" s="16"/>
      <c r="DKZ72" s="16"/>
      <c r="DLA72" s="16"/>
      <c r="DLB72" s="16"/>
      <c r="DLC72" s="16"/>
      <c r="DLD72" s="16"/>
      <c r="DLE72" s="16"/>
      <c r="DLF72" s="16"/>
      <c r="DLG72" s="16"/>
      <c r="DLH72" s="16"/>
      <c r="DLI72" s="16"/>
      <c r="DLJ72" s="16"/>
      <c r="DLK72" s="16"/>
      <c r="DLL72" s="16"/>
      <c r="DLM72" s="16"/>
      <c r="DLN72" s="16"/>
      <c r="DLO72" s="16"/>
      <c r="DLP72" s="16"/>
      <c r="DLQ72" s="16"/>
      <c r="DLR72" s="16"/>
      <c r="DLS72" s="16"/>
      <c r="DLT72" s="16"/>
      <c r="DLU72" s="16"/>
      <c r="DLV72" s="16"/>
      <c r="DLW72" s="16"/>
      <c r="DLX72" s="16"/>
      <c r="DLY72" s="16"/>
      <c r="DLZ72" s="16"/>
      <c r="DMA72" s="16"/>
      <c r="DMB72" s="16"/>
      <c r="DMC72" s="16"/>
      <c r="DMD72" s="16"/>
      <c r="DME72" s="16"/>
      <c r="DMF72" s="16"/>
      <c r="DMG72" s="16"/>
      <c r="DMH72" s="16"/>
      <c r="DMI72" s="16"/>
      <c r="DMJ72" s="16"/>
      <c r="DMK72" s="16"/>
      <c r="DML72" s="16"/>
      <c r="DMM72" s="16"/>
      <c r="DMN72" s="16"/>
      <c r="DMO72" s="16"/>
      <c r="DMP72" s="16"/>
      <c r="DMQ72" s="16"/>
      <c r="DMR72" s="16"/>
      <c r="DMS72" s="16"/>
      <c r="DMT72" s="16"/>
      <c r="DMU72" s="16"/>
      <c r="DMV72" s="16"/>
      <c r="DMW72" s="16"/>
      <c r="DMX72" s="16"/>
      <c r="DMY72" s="16"/>
      <c r="DMZ72" s="16"/>
      <c r="DNA72" s="16"/>
      <c r="DNB72" s="16"/>
      <c r="DNC72" s="16"/>
      <c r="DND72" s="16"/>
      <c r="DNE72" s="16"/>
      <c r="DNF72" s="16"/>
      <c r="DNG72" s="16"/>
      <c r="DNH72" s="16"/>
      <c r="DNI72" s="16"/>
      <c r="DNJ72" s="16"/>
      <c r="DNK72" s="16"/>
      <c r="DNL72" s="16"/>
      <c r="DNM72" s="16"/>
      <c r="DNN72" s="16"/>
      <c r="DNO72" s="16"/>
      <c r="DNP72" s="16"/>
      <c r="DNQ72" s="16"/>
      <c r="DNR72" s="16"/>
      <c r="DNS72" s="16"/>
      <c r="DNT72" s="16"/>
      <c r="DNU72" s="16"/>
      <c r="DNV72" s="16"/>
      <c r="DNW72" s="16"/>
      <c r="DNX72" s="16"/>
      <c r="DNY72" s="16"/>
      <c r="DNZ72" s="16"/>
      <c r="DOA72" s="16"/>
      <c r="DOB72" s="16"/>
      <c r="DOC72" s="16"/>
      <c r="DOD72" s="16"/>
      <c r="DOE72" s="16"/>
      <c r="DOF72" s="16"/>
      <c r="DOG72" s="16"/>
      <c r="DOH72" s="16"/>
      <c r="DOI72" s="16"/>
      <c r="DOJ72" s="16"/>
      <c r="DOK72" s="16"/>
      <c r="DOL72" s="16"/>
      <c r="DOM72" s="16"/>
      <c r="DON72" s="16"/>
      <c r="DOO72" s="16"/>
      <c r="DOP72" s="16"/>
      <c r="DOQ72" s="16"/>
      <c r="DOR72" s="16"/>
      <c r="DOS72" s="16"/>
      <c r="DOT72" s="16"/>
      <c r="DOU72" s="16"/>
      <c r="DOV72" s="16"/>
      <c r="DOW72" s="16"/>
      <c r="DOX72" s="16"/>
      <c r="DOY72" s="16"/>
      <c r="DOZ72" s="16"/>
      <c r="DPA72" s="16"/>
      <c r="DPB72" s="16"/>
      <c r="DPC72" s="16"/>
      <c r="DPD72" s="16"/>
      <c r="DPE72" s="16"/>
      <c r="DPF72" s="16"/>
      <c r="DPG72" s="16"/>
      <c r="DPH72" s="16"/>
      <c r="DPI72" s="16"/>
      <c r="DPJ72" s="16"/>
      <c r="DPK72" s="16"/>
      <c r="DPL72" s="16"/>
      <c r="DPM72" s="16"/>
      <c r="DPN72" s="16"/>
      <c r="DPO72" s="16"/>
      <c r="DPP72" s="16"/>
      <c r="DPQ72" s="16"/>
      <c r="DPR72" s="16"/>
      <c r="DPS72" s="16"/>
      <c r="DPT72" s="16"/>
      <c r="DPU72" s="16"/>
      <c r="DPV72" s="16"/>
      <c r="DPW72" s="16"/>
      <c r="DPX72" s="16"/>
      <c r="DPY72" s="16"/>
      <c r="DPZ72" s="16"/>
      <c r="DQA72" s="16"/>
      <c r="DQB72" s="16"/>
      <c r="DQC72" s="16"/>
      <c r="DQD72" s="16"/>
      <c r="DQE72" s="16"/>
      <c r="DQF72" s="16"/>
      <c r="DQG72" s="16"/>
      <c r="DQH72" s="16"/>
      <c r="DQI72" s="16"/>
      <c r="DQJ72" s="16"/>
      <c r="DQK72" s="16"/>
      <c r="DQL72" s="16"/>
      <c r="DQM72" s="16"/>
      <c r="DQN72" s="16"/>
      <c r="DQO72" s="16"/>
      <c r="DQP72" s="16"/>
      <c r="DQQ72" s="16"/>
      <c r="DQR72" s="16"/>
      <c r="DQS72" s="16"/>
      <c r="DQT72" s="16"/>
      <c r="DQU72" s="16"/>
      <c r="DQV72" s="16"/>
      <c r="DQW72" s="16"/>
      <c r="DQX72" s="16"/>
      <c r="DQY72" s="16"/>
      <c r="DQZ72" s="16"/>
      <c r="DRA72" s="16"/>
      <c r="DRB72" s="16"/>
      <c r="DRC72" s="16"/>
      <c r="DRD72" s="16"/>
      <c r="DRE72" s="16"/>
      <c r="DRF72" s="16"/>
      <c r="DRG72" s="16"/>
      <c r="DRH72" s="16"/>
      <c r="DRI72" s="16"/>
      <c r="DRJ72" s="16"/>
      <c r="DRK72" s="16"/>
      <c r="DRL72" s="16"/>
      <c r="DRM72" s="16"/>
      <c r="DRN72" s="16"/>
      <c r="DRO72" s="16"/>
      <c r="DRP72" s="16"/>
      <c r="DRQ72" s="16"/>
      <c r="DRR72" s="16"/>
      <c r="DRS72" s="16"/>
      <c r="DRT72" s="16"/>
      <c r="DRU72" s="16"/>
      <c r="DRV72" s="16"/>
      <c r="DRW72" s="16"/>
      <c r="DRX72" s="16"/>
      <c r="DRY72" s="16"/>
      <c r="DRZ72" s="16"/>
      <c r="DSA72" s="16"/>
      <c r="DSB72" s="16"/>
      <c r="DSC72" s="16"/>
      <c r="DSD72" s="16"/>
      <c r="DSE72" s="16"/>
      <c r="DSF72" s="16"/>
      <c r="DSG72" s="16"/>
      <c r="DSH72" s="16"/>
      <c r="DSI72" s="16"/>
      <c r="DSJ72" s="16"/>
      <c r="DSK72" s="16"/>
      <c r="DSL72" s="16"/>
      <c r="DSM72" s="16"/>
      <c r="DSN72" s="16"/>
      <c r="DSO72" s="16"/>
      <c r="DSP72" s="16"/>
      <c r="DSQ72" s="16"/>
      <c r="DSR72" s="16"/>
      <c r="DSS72" s="16"/>
      <c r="DST72" s="16"/>
      <c r="DSU72" s="16"/>
      <c r="DSV72" s="16"/>
      <c r="DSW72" s="16"/>
      <c r="DSX72" s="16"/>
      <c r="DSY72" s="16"/>
      <c r="DSZ72" s="16"/>
      <c r="DTA72" s="16"/>
      <c r="DTB72" s="16"/>
      <c r="DTC72" s="16"/>
      <c r="DTD72" s="16"/>
      <c r="DTE72" s="16"/>
      <c r="DTF72" s="16"/>
      <c r="DTG72" s="16"/>
      <c r="DTH72" s="16"/>
      <c r="DTI72" s="16"/>
      <c r="DTJ72" s="16"/>
      <c r="DTK72" s="16"/>
      <c r="DTL72" s="16"/>
      <c r="DTM72" s="16"/>
      <c r="DTN72" s="16"/>
      <c r="DTO72" s="16"/>
      <c r="DTP72" s="16"/>
      <c r="DTQ72" s="16"/>
      <c r="DTR72" s="16"/>
      <c r="DTS72" s="16"/>
      <c r="DTT72" s="16"/>
      <c r="DTU72" s="16"/>
      <c r="DTV72" s="16"/>
      <c r="DTW72" s="16"/>
      <c r="DTX72" s="16"/>
      <c r="DTY72" s="16"/>
      <c r="DTZ72" s="16"/>
      <c r="DUA72" s="16"/>
      <c r="DUB72" s="16"/>
      <c r="DUC72" s="16"/>
      <c r="DUD72" s="16"/>
      <c r="DUE72" s="16"/>
      <c r="DUF72" s="16"/>
      <c r="DUG72" s="16"/>
      <c r="DUH72" s="16"/>
      <c r="DUI72" s="16"/>
      <c r="DUJ72" s="16"/>
      <c r="DUK72" s="16"/>
      <c r="DUL72" s="16"/>
      <c r="DUM72" s="16"/>
      <c r="DUN72" s="16"/>
      <c r="DUO72" s="16"/>
      <c r="DUP72" s="16"/>
      <c r="DUQ72" s="16"/>
      <c r="DUR72" s="16"/>
      <c r="DUS72" s="16"/>
      <c r="DUT72" s="16"/>
      <c r="DUU72" s="16"/>
      <c r="DUV72" s="16"/>
      <c r="DUW72" s="16"/>
      <c r="DUX72" s="16"/>
      <c r="DUY72" s="16"/>
      <c r="DUZ72" s="16"/>
      <c r="DVA72" s="16"/>
      <c r="DVB72" s="16"/>
      <c r="DVC72" s="16"/>
      <c r="DVD72" s="16"/>
      <c r="DVE72" s="16"/>
      <c r="DVF72" s="16"/>
      <c r="DVG72" s="16"/>
      <c r="DVH72" s="16"/>
      <c r="DVI72" s="16"/>
      <c r="DVJ72" s="16"/>
      <c r="DVK72" s="16"/>
      <c r="DVL72" s="16"/>
      <c r="DVM72" s="16"/>
      <c r="DVN72" s="16"/>
      <c r="DVO72" s="16"/>
      <c r="DVP72" s="16"/>
      <c r="DVQ72" s="16"/>
      <c r="DVR72" s="16"/>
      <c r="DVS72" s="16"/>
      <c r="DVT72" s="16"/>
      <c r="DVU72" s="16"/>
      <c r="DVV72" s="16"/>
      <c r="DVW72" s="16"/>
      <c r="DVX72" s="16"/>
      <c r="DVY72" s="16"/>
      <c r="DVZ72" s="16"/>
      <c r="DWA72" s="16"/>
      <c r="DWB72" s="16"/>
      <c r="DWC72" s="16"/>
      <c r="DWD72" s="16"/>
      <c r="DWE72" s="16"/>
      <c r="DWF72" s="16"/>
      <c r="DWG72" s="16"/>
      <c r="DWH72" s="16"/>
      <c r="DWI72" s="16"/>
      <c r="DWJ72" s="16"/>
      <c r="DWK72" s="16"/>
      <c r="DWL72" s="16"/>
      <c r="DWM72" s="16"/>
      <c r="DWN72" s="16"/>
      <c r="DWO72" s="16"/>
      <c r="DWP72" s="16"/>
      <c r="DWQ72" s="16"/>
      <c r="DWR72" s="16"/>
      <c r="DWS72" s="16"/>
      <c r="DWT72" s="16"/>
      <c r="DWU72" s="16"/>
      <c r="DWV72" s="16"/>
      <c r="DWW72" s="16"/>
      <c r="DWX72" s="16"/>
      <c r="DWY72" s="16"/>
      <c r="DWZ72" s="16"/>
      <c r="DXA72" s="16"/>
      <c r="DXB72" s="16"/>
      <c r="DXC72" s="16"/>
      <c r="DXD72" s="16"/>
      <c r="DXE72" s="16"/>
      <c r="DXF72" s="16"/>
      <c r="DXG72" s="16"/>
      <c r="DXH72" s="16"/>
      <c r="DXI72" s="16"/>
      <c r="DXJ72" s="16"/>
      <c r="DXK72" s="16"/>
      <c r="DXL72" s="16"/>
      <c r="DXM72" s="16"/>
      <c r="DXN72" s="16"/>
      <c r="DXO72" s="16"/>
      <c r="DXP72" s="16"/>
      <c r="DXQ72" s="16"/>
      <c r="DXR72" s="16"/>
      <c r="DXS72" s="16"/>
      <c r="DXT72" s="16"/>
      <c r="DXU72" s="16"/>
      <c r="DXV72" s="16"/>
      <c r="DXW72" s="16"/>
      <c r="DXX72" s="16"/>
      <c r="DXY72" s="16"/>
      <c r="DXZ72" s="16"/>
      <c r="DYA72" s="16"/>
      <c r="DYB72" s="16"/>
      <c r="DYC72" s="16"/>
      <c r="DYD72" s="16"/>
      <c r="DYE72" s="16"/>
      <c r="DYF72" s="16"/>
      <c r="DYG72" s="16"/>
      <c r="DYH72" s="16"/>
      <c r="DYI72" s="16"/>
      <c r="DYJ72" s="16"/>
      <c r="DYK72" s="16"/>
      <c r="DYL72" s="16"/>
      <c r="DYM72" s="16"/>
      <c r="DYN72" s="16"/>
      <c r="DYO72" s="16"/>
      <c r="DYP72" s="16"/>
      <c r="DYQ72" s="16"/>
      <c r="DYR72" s="16"/>
      <c r="DYS72" s="16"/>
      <c r="DYT72" s="16"/>
      <c r="DYU72" s="16"/>
      <c r="DYV72" s="16"/>
      <c r="DYW72" s="16"/>
      <c r="DYX72" s="16"/>
      <c r="DYY72" s="16"/>
      <c r="DYZ72" s="16"/>
      <c r="DZA72" s="16"/>
      <c r="DZB72" s="16"/>
      <c r="DZC72" s="16"/>
      <c r="DZD72" s="16"/>
      <c r="DZE72" s="16"/>
      <c r="DZF72" s="16"/>
      <c r="DZG72" s="16"/>
      <c r="DZH72" s="16"/>
      <c r="DZI72" s="16"/>
      <c r="DZJ72" s="16"/>
      <c r="DZK72" s="16"/>
      <c r="DZL72" s="16"/>
      <c r="DZM72" s="16"/>
      <c r="DZN72" s="16"/>
      <c r="DZO72" s="16"/>
      <c r="DZP72" s="16"/>
      <c r="DZQ72" s="16"/>
      <c r="DZR72" s="16"/>
      <c r="DZS72" s="16"/>
      <c r="DZT72" s="16"/>
      <c r="DZU72" s="16"/>
      <c r="DZV72" s="16"/>
      <c r="DZW72" s="16"/>
      <c r="DZX72" s="16"/>
      <c r="DZY72" s="16"/>
      <c r="DZZ72" s="16"/>
      <c r="EAA72" s="16"/>
      <c r="EAB72" s="16"/>
      <c r="EAC72" s="16"/>
      <c r="EAD72" s="16"/>
      <c r="EAE72" s="16"/>
      <c r="EAF72" s="16"/>
      <c r="EAG72" s="16"/>
      <c r="EAH72" s="16"/>
      <c r="EAI72" s="16"/>
      <c r="EAJ72" s="16"/>
      <c r="EAK72" s="16"/>
      <c r="EAL72" s="16"/>
      <c r="EAM72" s="16"/>
      <c r="EAN72" s="16"/>
      <c r="EAO72" s="16"/>
      <c r="EAP72" s="16"/>
      <c r="EAQ72" s="16"/>
      <c r="EAR72" s="16"/>
      <c r="EAS72" s="16"/>
      <c r="EAT72" s="16"/>
      <c r="EAU72" s="16"/>
      <c r="EAV72" s="16"/>
      <c r="EAW72" s="16"/>
      <c r="EAX72" s="16"/>
      <c r="EAY72" s="16"/>
      <c r="EAZ72" s="16"/>
      <c r="EBA72" s="16"/>
      <c r="EBB72" s="16"/>
      <c r="EBC72" s="16"/>
      <c r="EBD72" s="16"/>
      <c r="EBE72" s="16"/>
      <c r="EBF72" s="16"/>
      <c r="EBG72" s="16"/>
      <c r="EBH72" s="16"/>
      <c r="EBI72" s="16"/>
      <c r="EBJ72" s="16"/>
      <c r="EBK72" s="16"/>
      <c r="EBL72" s="16"/>
      <c r="EBM72" s="16"/>
      <c r="EBN72" s="16"/>
      <c r="EBO72" s="16"/>
      <c r="EBP72" s="16"/>
      <c r="EBQ72" s="16"/>
      <c r="EBR72" s="16"/>
      <c r="EBS72" s="16"/>
      <c r="EBT72" s="16"/>
      <c r="EBU72" s="16"/>
      <c r="EBV72" s="16"/>
      <c r="EBW72" s="16"/>
      <c r="EBX72" s="16"/>
      <c r="EBY72" s="16"/>
      <c r="EBZ72" s="16"/>
      <c r="ECA72" s="16"/>
      <c r="ECB72" s="16"/>
      <c r="ECC72" s="16"/>
      <c r="ECD72" s="16"/>
      <c r="ECE72" s="16"/>
      <c r="ECF72" s="16"/>
      <c r="ECG72" s="16"/>
      <c r="ECH72" s="16"/>
      <c r="ECI72" s="16"/>
      <c r="ECJ72" s="16"/>
      <c r="ECK72" s="16"/>
      <c r="ECL72" s="16"/>
      <c r="ECM72" s="16"/>
      <c r="ECN72" s="16"/>
      <c r="ECO72" s="16"/>
      <c r="ECP72" s="16"/>
      <c r="ECQ72" s="16"/>
      <c r="ECR72" s="16"/>
      <c r="ECS72" s="16"/>
      <c r="ECT72" s="16"/>
      <c r="ECU72" s="16"/>
      <c r="ECV72" s="16"/>
      <c r="ECW72" s="16"/>
      <c r="ECX72" s="16"/>
      <c r="ECY72" s="16"/>
      <c r="ECZ72" s="16"/>
      <c r="EDA72" s="16"/>
      <c r="EDB72" s="16"/>
      <c r="EDC72" s="16"/>
      <c r="EDD72" s="16"/>
      <c r="EDE72" s="16"/>
      <c r="EDF72" s="16"/>
      <c r="EDG72" s="16"/>
      <c r="EDH72" s="16"/>
      <c r="EDI72" s="16"/>
      <c r="EDJ72" s="16"/>
      <c r="EDK72" s="16"/>
      <c r="EDL72" s="16"/>
      <c r="EDM72" s="16"/>
      <c r="EDN72" s="16"/>
      <c r="EDO72" s="16"/>
      <c r="EDP72" s="16"/>
      <c r="EDQ72" s="16"/>
      <c r="EDR72" s="16"/>
      <c r="EDS72" s="16"/>
      <c r="EDT72" s="16"/>
      <c r="EDU72" s="16"/>
      <c r="EDV72" s="16"/>
      <c r="EDW72" s="16"/>
      <c r="EDX72" s="16"/>
      <c r="EDY72" s="16"/>
      <c r="EDZ72" s="16"/>
      <c r="EEA72" s="16"/>
      <c r="EEB72" s="16"/>
      <c r="EEC72" s="16"/>
      <c r="EED72" s="16"/>
      <c r="EEE72" s="16"/>
      <c r="EEF72" s="16"/>
      <c r="EEG72" s="16"/>
      <c r="EEH72" s="16"/>
      <c r="EEI72" s="16"/>
      <c r="EEJ72" s="16"/>
      <c r="EEK72" s="16"/>
      <c r="EEL72" s="16"/>
      <c r="EEM72" s="16"/>
      <c r="EEN72" s="16"/>
      <c r="EEO72" s="16"/>
      <c r="EEP72" s="16"/>
      <c r="EEQ72" s="16"/>
      <c r="EER72" s="16"/>
      <c r="EES72" s="16"/>
      <c r="EET72" s="16"/>
      <c r="EEU72" s="16"/>
      <c r="EEV72" s="16"/>
      <c r="EEW72" s="16"/>
      <c r="EEX72" s="16"/>
      <c r="EEY72" s="16"/>
      <c r="EEZ72" s="16"/>
      <c r="EFA72" s="16"/>
      <c r="EFB72" s="16"/>
      <c r="EFC72" s="16"/>
      <c r="EFD72" s="16"/>
      <c r="EFE72" s="16"/>
      <c r="EFF72" s="16"/>
      <c r="EFG72" s="16"/>
      <c r="EFH72" s="16"/>
      <c r="EFI72" s="16"/>
      <c r="EFJ72" s="16"/>
      <c r="EFK72" s="16"/>
      <c r="EFL72" s="16"/>
      <c r="EFM72" s="16"/>
      <c r="EFN72" s="16"/>
      <c r="EFO72" s="16"/>
      <c r="EFP72" s="16"/>
      <c r="EFQ72" s="16"/>
      <c r="EFR72" s="16"/>
      <c r="EFS72" s="16"/>
      <c r="EFT72" s="16"/>
      <c r="EFU72" s="16"/>
      <c r="EFV72" s="16"/>
      <c r="EFW72" s="16"/>
      <c r="EFX72" s="16"/>
      <c r="EFY72" s="16"/>
      <c r="EFZ72" s="16"/>
      <c r="EGA72" s="16"/>
      <c r="EGB72" s="16"/>
      <c r="EGC72" s="16"/>
      <c r="EGD72" s="16"/>
      <c r="EGE72" s="16"/>
      <c r="EGF72" s="16"/>
      <c r="EGG72" s="16"/>
      <c r="EGH72" s="16"/>
      <c r="EGI72" s="16"/>
      <c r="EGJ72" s="16"/>
      <c r="EGK72" s="16"/>
      <c r="EGL72" s="16"/>
      <c r="EGM72" s="16"/>
      <c r="EGN72" s="16"/>
      <c r="EGO72" s="16"/>
      <c r="EGP72" s="16"/>
      <c r="EGQ72" s="16"/>
      <c r="EGR72" s="16"/>
      <c r="EGS72" s="16"/>
      <c r="EGT72" s="16"/>
      <c r="EGU72" s="16"/>
      <c r="EGV72" s="16"/>
      <c r="EGW72" s="16"/>
      <c r="EGX72" s="16"/>
      <c r="EGY72" s="16"/>
      <c r="EGZ72" s="16"/>
      <c r="EHA72" s="16"/>
      <c r="EHB72" s="16"/>
      <c r="EHC72" s="16"/>
      <c r="EHD72" s="16"/>
      <c r="EHE72" s="16"/>
      <c r="EHF72" s="16"/>
      <c r="EHG72" s="16"/>
      <c r="EHH72" s="16"/>
      <c r="EHI72" s="16"/>
      <c r="EHJ72" s="16"/>
      <c r="EHK72" s="16"/>
      <c r="EHL72" s="16"/>
      <c r="EHM72" s="16"/>
      <c r="EHN72" s="16"/>
      <c r="EHO72" s="16"/>
      <c r="EHP72" s="16"/>
      <c r="EHQ72" s="16"/>
      <c r="EHR72" s="16"/>
      <c r="EHS72" s="16"/>
      <c r="EHT72" s="16"/>
      <c r="EHU72" s="16"/>
      <c r="EHV72" s="16"/>
      <c r="EHW72" s="16"/>
      <c r="EHX72" s="16"/>
      <c r="EHY72" s="16"/>
      <c r="EHZ72" s="16"/>
      <c r="EIA72" s="16"/>
      <c r="EIB72" s="16"/>
      <c r="EIC72" s="16"/>
      <c r="EID72" s="16"/>
      <c r="EIE72" s="16"/>
      <c r="EIF72" s="16"/>
      <c r="EIG72" s="16"/>
      <c r="EIH72" s="16"/>
      <c r="EII72" s="16"/>
      <c r="EIJ72" s="16"/>
      <c r="EIK72" s="16"/>
      <c r="EIL72" s="16"/>
      <c r="EIM72" s="16"/>
      <c r="EIN72" s="16"/>
      <c r="EIO72" s="16"/>
      <c r="EIP72" s="16"/>
      <c r="EIQ72" s="16"/>
      <c r="EIR72" s="16"/>
      <c r="EIS72" s="16"/>
      <c r="EIT72" s="16"/>
      <c r="EIU72" s="16"/>
      <c r="EIV72" s="16"/>
      <c r="EIW72" s="16"/>
      <c r="EIX72" s="16"/>
      <c r="EIY72" s="16"/>
      <c r="EIZ72" s="16"/>
      <c r="EJA72" s="16"/>
      <c r="EJB72" s="16"/>
      <c r="EJC72" s="16"/>
      <c r="EJD72" s="16"/>
      <c r="EJE72" s="16"/>
      <c r="EJF72" s="16"/>
      <c r="EJG72" s="16"/>
      <c r="EJH72" s="16"/>
      <c r="EJI72" s="16"/>
      <c r="EJJ72" s="16"/>
      <c r="EJK72" s="16"/>
      <c r="EJL72" s="16"/>
      <c r="EJM72" s="16"/>
      <c r="EJN72" s="16"/>
      <c r="EJO72" s="16"/>
      <c r="EJP72" s="16"/>
      <c r="EJQ72" s="16"/>
      <c r="EJR72" s="16"/>
      <c r="EJS72" s="16"/>
      <c r="EJT72" s="16"/>
      <c r="EJU72" s="16"/>
      <c r="EJV72" s="16"/>
      <c r="EJW72" s="16"/>
      <c r="EJX72" s="16"/>
      <c r="EJY72" s="16"/>
      <c r="EJZ72" s="16"/>
      <c r="EKA72" s="16"/>
      <c r="EKB72" s="16"/>
      <c r="EKC72" s="16"/>
      <c r="EKD72" s="16"/>
      <c r="EKE72" s="16"/>
      <c r="EKF72" s="16"/>
      <c r="EKG72" s="16"/>
      <c r="EKH72" s="16"/>
      <c r="EKI72" s="16"/>
      <c r="EKJ72" s="16"/>
      <c r="EKK72" s="16"/>
      <c r="EKL72" s="16"/>
      <c r="EKM72" s="16"/>
      <c r="EKN72" s="16"/>
      <c r="EKO72" s="16"/>
      <c r="EKP72" s="16"/>
      <c r="EKQ72" s="16"/>
      <c r="EKR72" s="16"/>
      <c r="EKS72" s="16"/>
      <c r="EKT72" s="16"/>
      <c r="EKU72" s="16"/>
      <c r="EKV72" s="16"/>
      <c r="EKW72" s="16"/>
      <c r="EKX72" s="16"/>
      <c r="EKY72" s="16"/>
      <c r="EKZ72" s="16"/>
      <c r="ELA72" s="16"/>
      <c r="ELB72" s="16"/>
      <c r="ELC72" s="16"/>
      <c r="ELD72" s="16"/>
      <c r="ELE72" s="16"/>
      <c r="ELF72" s="16"/>
      <c r="ELG72" s="16"/>
      <c r="ELH72" s="16"/>
      <c r="ELI72" s="16"/>
      <c r="ELJ72" s="16"/>
      <c r="ELK72" s="16"/>
      <c r="ELL72" s="16"/>
      <c r="ELM72" s="16"/>
      <c r="ELN72" s="16"/>
      <c r="ELO72" s="16"/>
      <c r="ELP72" s="16"/>
      <c r="ELQ72" s="16"/>
      <c r="ELR72" s="16"/>
      <c r="ELS72" s="16"/>
      <c r="ELT72" s="16"/>
      <c r="ELU72" s="16"/>
      <c r="ELV72" s="16"/>
      <c r="ELW72" s="16"/>
      <c r="ELX72" s="16"/>
      <c r="ELY72" s="16"/>
      <c r="ELZ72" s="16"/>
      <c r="EMA72" s="16"/>
      <c r="EMB72" s="16"/>
      <c r="EMC72" s="16"/>
      <c r="EMD72" s="16"/>
      <c r="EME72" s="16"/>
      <c r="EMF72" s="16"/>
      <c r="EMG72" s="16"/>
      <c r="EMH72" s="16"/>
      <c r="EMI72" s="16"/>
      <c r="EMJ72" s="16"/>
      <c r="EMK72" s="16"/>
      <c r="EML72" s="16"/>
      <c r="EMM72" s="16"/>
      <c r="EMN72" s="16"/>
      <c r="EMO72" s="16"/>
      <c r="EMP72" s="16"/>
      <c r="EMQ72" s="16"/>
      <c r="EMR72" s="16"/>
      <c r="EMS72" s="16"/>
      <c r="EMT72" s="16"/>
      <c r="EMU72" s="16"/>
      <c r="EMV72" s="16"/>
      <c r="EMW72" s="16"/>
      <c r="EMX72" s="16"/>
      <c r="EMY72" s="16"/>
      <c r="EMZ72" s="16"/>
      <c r="ENA72" s="16"/>
      <c r="ENB72" s="16"/>
      <c r="ENC72" s="16"/>
      <c r="END72" s="16"/>
      <c r="ENE72" s="16"/>
      <c r="ENF72" s="16"/>
      <c r="ENG72" s="16"/>
      <c r="ENH72" s="16"/>
      <c r="ENI72" s="16"/>
      <c r="ENJ72" s="16"/>
      <c r="ENK72" s="16"/>
      <c r="ENL72" s="16"/>
      <c r="ENM72" s="16"/>
      <c r="ENN72" s="16"/>
      <c r="ENO72" s="16"/>
      <c r="ENP72" s="16"/>
      <c r="ENQ72" s="16"/>
      <c r="ENR72" s="16"/>
      <c r="ENS72" s="16"/>
      <c r="ENT72" s="16"/>
      <c r="ENU72" s="16"/>
      <c r="ENV72" s="16"/>
      <c r="ENW72" s="16"/>
      <c r="ENX72" s="16"/>
      <c r="ENY72" s="16"/>
      <c r="ENZ72" s="16"/>
      <c r="EOA72" s="16"/>
      <c r="EOB72" s="16"/>
      <c r="EOC72" s="16"/>
      <c r="EOD72" s="16"/>
      <c r="EOE72" s="16"/>
      <c r="EOF72" s="16"/>
      <c r="EOG72" s="16"/>
      <c r="EOH72" s="16"/>
      <c r="EOI72" s="16"/>
      <c r="EOJ72" s="16"/>
      <c r="EOK72" s="16"/>
      <c r="EOL72" s="16"/>
      <c r="EOM72" s="16"/>
      <c r="EON72" s="16"/>
      <c r="EOO72" s="16"/>
      <c r="EOP72" s="16"/>
      <c r="EOQ72" s="16"/>
      <c r="EOR72" s="16"/>
      <c r="EOS72" s="16"/>
      <c r="EOT72" s="16"/>
      <c r="EOU72" s="16"/>
      <c r="EOV72" s="16"/>
      <c r="EOW72" s="16"/>
      <c r="EOX72" s="16"/>
      <c r="EOY72" s="16"/>
      <c r="EOZ72" s="16"/>
      <c r="EPA72" s="16"/>
      <c r="EPB72" s="16"/>
      <c r="EPC72" s="16"/>
      <c r="EPD72" s="16"/>
      <c r="EPE72" s="16"/>
      <c r="EPF72" s="16"/>
      <c r="EPG72" s="16"/>
      <c r="EPH72" s="16"/>
      <c r="EPI72" s="16"/>
      <c r="EPJ72" s="16"/>
      <c r="EPK72" s="16"/>
      <c r="EPL72" s="16"/>
      <c r="EPM72" s="16"/>
      <c r="EPN72" s="16"/>
      <c r="EPO72" s="16"/>
      <c r="EPP72" s="16"/>
      <c r="EPQ72" s="16"/>
      <c r="EPR72" s="16"/>
      <c r="EPS72" s="16"/>
      <c r="EPT72" s="16"/>
      <c r="EPU72" s="16"/>
      <c r="EPV72" s="16"/>
      <c r="EPW72" s="16"/>
      <c r="EPX72" s="16"/>
      <c r="EPY72" s="16"/>
      <c r="EPZ72" s="16"/>
      <c r="EQA72" s="16"/>
      <c r="EQB72" s="16"/>
      <c r="EQC72" s="16"/>
      <c r="EQD72" s="16"/>
      <c r="EQE72" s="16"/>
      <c r="EQF72" s="16"/>
      <c r="EQG72" s="16"/>
      <c r="EQH72" s="16"/>
      <c r="EQI72" s="16"/>
      <c r="EQJ72" s="16"/>
      <c r="EQK72" s="16"/>
      <c r="EQL72" s="16"/>
      <c r="EQM72" s="16"/>
      <c r="EQN72" s="16"/>
      <c r="EQO72" s="16"/>
      <c r="EQP72" s="16"/>
      <c r="EQQ72" s="16"/>
      <c r="EQR72" s="16"/>
      <c r="EQS72" s="16"/>
      <c r="EQT72" s="16"/>
      <c r="EQU72" s="16"/>
      <c r="EQV72" s="16"/>
      <c r="EQW72" s="16"/>
      <c r="EQX72" s="16"/>
      <c r="EQY72" s="16"/>
      <c r="EQZ72" s="16"/>
      <c r="ERA72" s="16"/>
      <c r="ERB72" s="16"/>
      <c r="ERC72" s="16"/>
      <c r="ERD72" s="16"/>
      <c r="ERE72" s="16"/>
      <c r="ERF72" s="16"/>
      <c r="ERG72" s="16"/>
      <c r="ERH72" s="16"/>
      <c r="ERI72" s="16"/>
      <c r="ERJ72" s="16"/>
      <c r="ERK72" s="16"/>
      <c r="ERL72" s="16"/>
      <c r="ERM72" s="16"/>
      <c r="ERN72" s="16"/>
      <c r="ERO72" s="16"/>
      <c r="ERP72" s="16"/>
      <c r="ERQ72" s="16"/>
      <c r="ERR72" s="16"/>
      <c r="ERS72" s="16"/>
      <c r="ERT72" s="16"/>
      <c r="ERU72" s="16"/>
      <c r="ERV72" s="16"/>
      <c r="ERW72" s="16"/>
      <c r="ERX72" s="16"/>
      <c r="ERY72" s="16"/>
      <c r="ERZ72" s="16"/>
      <c r="ESA72" s="16"/>
      <c r="ESB72" s="16"/>
      <c r="ESC72" s="16"/>
      <c r="ESD72" s="16"/>
      <c r="ESE72" s="16"/>
      <c r="ESF72" s="16"/>
      <c r="ESG72" s="16"/>
      <c r="ESH72" s="16"/>
      <c r="ESI72" s="16"/>
      <c r="ESJ72" s="16"/>
      <c r="ESK72" s="16"/>
      <c r="ESL72" s="16"/>
      <c r="ESM72" s="16"/>
      <c r="ESN72" s="16"/>
      <c r="ESO72" s="16"/>
      <c r="ESP72" s="16"/>
      <c r="ESQ72" s="16"/>
      <c r="ESR72" s="16"/>
      <c r="ESS72" s="16"/>
      <c r="EST72" s="16"/>
      <c r="ESU72" s="16"/>
      <c r="ESV72" s="16"/>
      <c r="ESW72" s="16"/>
      <c r="ESX72" s="16"/>
      <c r="ESY72" s="16"/>
      <c r="ESZ72" s="16"/>
      <c r="ETA72" s="16"/>
      <c r="ETB72" s="16"/>
      <c r="ETC72" s="16"/>
      <c r="ETD72" s="16"/>
      <c r="ETE72" s="16"/>
      <c r="ETF72" s="16"/>
      <c r="ETG72" s="16"/>
      <c r="ETH72" s="16"/>
      <c r="ETI72" s="16"/>
      <c r="ETJ72" s="16"/>
      <c r="ETK72" s="16"/>
      <c r="ETL72" s="16"/>
      <c r="ETM72" s="16"/>
      <c r="ETN72" s="16"/>
      <c r="ETO72" s="16"/>
      <c r="ETP72" s="16"/>
      <c r="ETQ72" s="16"/>
      <c r="ETR72" s="16"/>
      <c r="ETS72" s="16"/>
      <c r="ETT72" s="16"/>
      <c r="ETU72" s="16"/>
      <c r="ETV72" s="16"/>
      <c r="ETW72" s="16"/>
      <c r="ETX72" s="16"/>
      <c r="ETY72" s="16"/>
      <c r="ETZ72" s="16"/>
      <c r="EUA72" s="16"/>
      <c r="EUB72" s="16"/>
      <c r="EUC72" s="16"/>
      <c r="EUD72" s="16"/>
      <c r="EUE72" s="16"/>
      <c r="EUF72" s="16"/>
      <c r="EUG72" s="16"/>
      <c r="EUH72" s="16"/>
      <c r="EUI72" s="16"/>
      <c r="EUJ72" s="16"/>
      <c r="EUK72" s="16"/>
      <c r="EUL72" s="16"/>
      <c r="EUM72" s="16"/>
      <c r="EUN72" s="16"/>
      <c r="EUO72" s="16"/>
      <c r="EUP72" s="16"/>
      <c r="EUQ72" s="16"/>
      <c r="EUR72" s="16"/>
      <c r="EUS72" s="16"/>
      <c r="EUT72" s="16"/>
      <c r="EUU72" s="16"/>
      <c r="EUV72" s="16"/>
      <c r="EUW72" s="16"/>
      <c r="EUX72" s="16"/>
      <c r="EUY72" s="16"/>
      <c r="EUZ72" s="16"/>
      <c r="EVA72" s="16"/>
      <c r="EVB72" s="16"/>
      <c r="EVC72" s="16"/>
      <c r="EVD72" s="16"/>
      <c r="EVE72" s="16"/>
      <c r="EVF72" s="16"/>
      <c r="EVG72" s="16"/>
      <c r="EVH72" s="16"/>
      <c r="EVI72" s="16"/>
      <c r="EVJ72" s="16"/>
      <c r="EVK72" s="16"/>
      <c r="EVL72" s="16"/>
      <c r="EVM72" s="16"/>
      <c r="EVN72" s="16"/>
      <c r="EVO72" s="16"/>
      <c r="EVP72" s="16"/>
      <c r="EVQ72" s="16"/>
      <c r="EVR72" s="16"/>
      <c r="EVS72" s="16"/>
      <c r="EVT72" s="16"/>
      <c r="EVU72" s="16"/>
      <c r="EVV72" s="16"/>
      <c r="EVW72" s="16"/>
      <c r="EVX72" s="16"/>
      <c r="EVY72" s="16"/>
      <c r="EVZ72" s="16"/>
      <c r="EWA72" s="16"/>
      <c r="EWB72" s="16"/>
      <c r="EWC72" s="16"/>
      <c r="EWD72" s="16"/>
      <c r="EWE72" s="16"/>
      <c r="EWF72" s="16"/>
      <c r="EWG72" s="16"/>
      <c r="EWH72" s="16"/>
      <c r="EWI72" s="16"/>
      <c r="EWJ72" s="16"/>
      <c r="EWK72" s="16"/>
      <c r="EWL72" s="16"/>
      <c r="EWM72" s="16"/>
      <c r="EWN72" s="16"/>
      <c r="EWO72" s="16"/>
      <c r="EWP72" s="16"/>
      <c r="EWQ72" s="16"/>
      <c r="EWR72" s="16"/>
      <c r="EWS72" s="16"/>
      <c r="EWT72" s="16"/>
      <c r="EWU72" s="16"/>
      <c r="EWV72" s="16"/>
      <c r="EWW72" s="16"/>
      <c r="EWX72" s="16"/>
      <c r="EWY72" s="16"/>
      <c r="EWZ72" s="16"/>
      <c r="EXA72" s="16"/>
      <c r="EXB72" s="16"/>
      <c r="EXC72" s="16"/>
      <c r="EXD72" s="16"/>
      <c r="EXE72" s="16"/>
      <c r="EXF72" s="16"/>
      <c r="EXG72" s="16"/>
      <c r="EXH72" s="16"/>
      <c r="EXI72" s="16"/>
      <c r="EXJ72" s="16"/>
      <c r="EXK72" s="16"/>
      <c r="EXL72" s="16"/>
      <c r="EXM72" s="16"/>
      <c r="EXN72" s="16"/>
      <c r="EXO72" s="16"/>
      <c r="EXP72" s="16"/>
      <c r="EXQ72" s="16"/>
      <c r="EXR72" s="16"/>
      <c r="EXS72" s="16"/>
      <c r="EXT72" s="16"/>
      <c r="EXU72" s="16"/>
      <c r="EXV72" s="16"/>
      <c r="EXW72" s="16"/>
      <c r="EXX72" s="16"/>
      <c r="EXY72" s="16"/>
      <c r="EXZ72" s="16"/>
      <c r="EYA72" s="16"/>
      <c r="EYB72" s="16"/>
      <c r="EYC72" s="16"/>
      <c r="EYD72" s="16"/>
      <c r="EYE72" s="16"/>
      <c r="EYF72" s="16"/>
      <c r="EYG72" s="16"/>
      <c r="EYH72" s="16"/>
      <c r="EYI72" s="16"/>
      <c r="EYJ72" s="16"/>
      <c r="EYK72" s="16"/>
      <c r="EYL72" s="16"/>
      <c r="EYM72" s="16"/>
      <c r="EYN72" s="16"/>
      <c r="EYO72" s="16"/>
      <c r="EYP72" s="16"/>
      <c r="EYQ72" s="16"/>
      <c r="EYR72" s="16"/>
      <c r="EYS72" s="16"/>
      <c r="EYT72" s="16"/>
      <c r="EYU72" s="16"/>
      <c r="EYV72" s="16"/>
      <c r="EYW72" s="16"/>
      <c r="EYX72" s="16"/>
      <c r="EYY72" s="16"/>
      <c r="EYZ72" s="16"/>
      <c r="EZA72" s="16"/>
      <c r="EZB72" s="16"/>
      <c r="EZC72" s="16"/>
      <c r="EZD72" s="16"/>
      <c r="EZE72" s="16"/>
      <c r="EZF72" s="16"/>
      <c r="EZG72" s="16"/>
      <c r="EZH72" s="16"/>
      <c r="EZI72" s="16"/>
      <c r="EZJ72" s="16"/>
      <c r="EZK72" s="16"/>
      <c r="EZL72" s="16"/>
      <c r="EZM72" s="16"/>
      <c r="EZN72" s="16"/>
      <c r="EZO72" s="16"/>
      <c r="EZP72" s="16"/>
      <c r="EZQ72" s="16"/>
      <c r="EZR72" s="16"/>
      <c r="EZS72" s="16"/>
      <c r="EZT72" s="16"/>
      <c r="EZU72" s="16"/>
      <c r="EZV72" s="16"/>
      <c r="EZW72" s="16"/>
      <c r="EZX72" s="16"/>
      <c r="EZY72" s="16"/>
      <c r="EZZ72" s="16"/>
      <c r="FAA72" s="16"/>
      <c r="FAB72" s="16"/>
      <c r="FAC72" s="16"/>
      <c r="FAD72" s="16"/>
      <c r="FAE72" s="16"/>
      <c r="FAF72" s="16"/>
      <c r="FAG72" s="16"/>
      <c r="FAH72" s="16"/>
      <c r="FAI72" s="16"/>
      <c r="FAJ72" s="16"/>
      <c r="FAK72" s="16"/>
      <c r="FAL72" s="16"/>
      <c r="FAM72" s="16"/>
      <c r="FAN72" s="16"/>
      <c r="FAO72" s="16"/>
      <c r="FAP72" s="16"/>
      <c r="FAQ72" s="16"/>
      <c r="FAR72" s="16"/>
      <c r="FAS72" s="16"/>
      <c r="FAT72" s="16"/>
      <c r="FAU72" s="16"/>
      <c r="FAV72" s="16"/>
      <c r="FAW72" s="16"/>
      <c r="FAX72" s="16"/>
      <c r="FAY72" s="16"/>
      <c r="FAZ72" s="16"/>
      <c r="FBA72" s="16"/>
      <c r="FBB72" s="16"/>
      <c r="FBC72" s="16"/>
      <c r="FBD72" s="16"/>
      <c r="FBE72" s="16"/>
      <c r="FBF72" s="16"/>
      <c r="FBG72" s="16"/>
      <c r="FBH72" s="16"/>
      <c r="FBI72" s="16"/>
      <c r="FBJ72" s="16"/>
      <c r="FBK72" s="16"/>
      <c r="FBL72" s="16"/>
      <c r="FBM72" s="16"/>
      <c r="FBN72" s="16"/>
      <c r="FBO72" s="16"/>
      <c r="FBP72" s="16"/>
      <c r="FBQ72" s="16"/>
      <c r="FBR72" s="16"/>
      <c r="FBS72" s="16"/>
      <c r="FBT72" s="16"/>
      <c r="FBU72" s="16"/>
      <c r="FBV72" s="16"/>
      <c r="FBW72" s="16"/>
      <c r="FBX72" s="16"/>
      <c r="FBY72" s="16"/>
      <c r="FBZ72" s="16"/>
      <c r="FCA72" s="16"/>
      <c r="FCB72" s="16"/>
      <c r="FCC72" s="16"/>
      <c r="FCD72" s="16"/>
      <c r="FCE72" s="16"/>
      <c r="FCF72" s="16"/>
      <c r="FCG72" s="16"/>
      <c r="FCH72" s="16"/>
      <c r="FCI72" s="16"/>
      <c r="FCJ72" s="16"/>
      <c r="FCK72" s="16"/>
      <c r="FCL72" s="16"/>
      <c r="FCM72" s="16"/>
      <c r="FCN72" s="16"/>
      <c r="FCO72" s="16"/>
      <c r="FCP72" s="16"/>
      <c r="FCQ72" s="16"/>
      <c r="FCR72" s="16"/>
      <c r="FCS72" s="16"/>
      <c r="FCT72" s="16"/>
      <c r="FCU72" s="16"/>
      <c r="FCV72" s="16"/>
      <c r="FCW72" s="16"/>
      <c r="FCX72" s="16"/>
      <c r="FCY72" s="16"/>
      <c r="FCZ72" s="16"/>
      <c r="FDA72" s="16"/>
      <c r="FDB72" s="16"/>
      <c r="FDC72" s="16"/>
      <c r="FDD72" s="16"/>
      <c r="FDE72" s="16"/>
      <c r="FDF72" s="16"/>
      <c r="FDG72" s="16"/>
      <c r="FDH72" s="16"/>
      <c r="FDI72" s="16"/>
      <c r="FDJ72" s="16"/>
      <c r="FDK72" s="16"/>
      <c r="FDL72" s="16"/>
      <c r="FDM72" s="16"/>
      <c r="FDN72" s="16"/>
      <c r="FDO72" s="16"/>
      <c r="FDP72" s="16"/>
      <c r="FDQ72" s="16"/>
      <c r="FDR72" s="16"/>
      <c r="FDS72" s="16"/>
      <c r="FDT72" s="16"/>
      <c r="FDU72" s="16"/>
      <c r="FDV72" s="16"/>
      <c r="FDW72" s="16"/>
      <c r="FDX72" s="16"/>
      <c r="FDY72" s="16"/>
      <c r="FDZ72" s="16"/>
      <c r="FEA72" s="16"/>
      <c r="FEB72" s="16"/>
      <c r="FEC72" s="16"/>
      <c r="FED72" s="16"/>
      <c r="FEE72" s="16"/>
      <c r="FEF72" s="16"/>
      <c r="FEG72" s="16"/>
      <c r="FEH72" s="16"/>
      <c r="FEI72" s="16"/>
      <c r="FEJ72" s="16"/>
      <c r="FEK72" s="16"/>
      <c r="FEL72" s="16"/>
      <c r="FEM72" s="16"/>
      <c r="FEN72" s="16"/>
      <c r="FEO72" s="16"/>
      <c r="FEP72" s="16"/>
      <c r="FEQ72" s="16"/>
      <c r="FER72" s="16"/>
      <c r="FES72" s="16"/>
      <c r="FET72" s="16"/>
      <c r="FEU72" s="16"/>
      <c r="FEV72" s="16"/>
      <c r="FEW72" s="16"/>
      <c r="FEX72" s="16"/>
      <c r="FEY72" s="16"/>
      <c r="FEZ72" s="16"/>
      <c r="FFA72" s="16"/>
      <c r="FFB72" s="16"/>
      <c r="FFC72" s="16"/>
      <c r="FFD72" s="16"/>
      <c r="FFE72" s="16"/>
      <c r="FFF72" s="16"/>
      <c r="FFG72" s="16"/>
      <c r="FFH72" s="16"/>
      <c r="FFI72" s="16"/>
      <c r="FFJ72" s="16"/>
      <c r="FFK72" s="16"/>
      <c r="FFL72" s="16"/>
      <c r="FFM72" s="16"/>
      <c r="FFN72" s="16"/>
      <c r="FFO72" s="16"/>
      <c r="FFP72" s="16"/>
      <c r="FFQ72" s="16"/>
      <c r="FFR72" s="16"/>
      <c r="FFS72" s="16"/>
      <c r="FFT72" s="16"/>
      <c r="FFU72" s="16"/>
      <c r="FFV72" s="16"/>
      <c r="FFW72" s="16"/>
      <c r="FFX72" s="16"/>
      <c r="FFY72" s="16"/>
      <c r="FFZ72" s="16"/>
      <c r="FGA72" s="16"/>
      <c r="FGB72" s="16"/>
      <c r="FGC72" s="16"/>
      <c r="FGD72" s="16"/>
      <c r="FGE72" s="16"/>
      <c r="FGF72" s="16"/>
      <c r="FGG72" s="16"/>
      <c r="FGH72" s="16"/>
      <c r="FGI72" s="16"/>
      <c r="FGJ72" s="16"/>
      <c r="FGK72" s="16"/>
      <c r="FGL72" s="16"/>
      <c r="FGM72" s="16"/>
      <c r="FGN72" s="16"/>
      <c r="FGO72" s="16"/>
      <c r="FGP72" s="16"/>
      <c r="FGQ72" s="16"/>
      <c r="FGR72" s="16"/>
      <c r="FGS72" s="16"/>
      <c r="FGT72" s="16"/>
      <c r="FGU72" s="16"/>
      <c r="FGV72" s="16"/>
      <c r="FGW72" s="16"/>
      <c r="FGX72" s="16"/>
      <c r="FGY72" s="16"/>
      <c r="FGZ72" s="16"/>
      <c r="FHA72" s="16"/>
      <c r="FHB72" s="16"/>
      <c r="FHC72" s="16"/>
      <c r="FHD72" s="16"/>
      <c r="FHE72" s="16"/>
      <c r="FHF72" s="16"/>
      <c r="FHG72" s="16"/>
      <c r="FHH72" s="16"/>
      <c r="FHI72" s="16"/>
      <c r="FHJ72" s="16"/>
      <c r="FHK72" s="16"/>
      <c r="FHL72" s="16"/>
      <c r="FHM72" s="16"/>
      <c r="FHN72" s="16"/>
      <c r="FHO72" s="16"/>
      <c r="FHP72" s="16"/>
      <c r="FHQ72" s="16"/>
      <c r="FHR72" s="16"/>
      <c r="FHS72" s="16"/>
      <c r="FHT72" s="16"/>
      <c r="FHU72" s="16"/>
      <c r="FHV72" s="16"/>
      <c r="FHW72" s="16"/>
      <c r="FHX72" s="16"/>
      <c r="FHY72" s="16"/>
      <c r="FHZ72" s="16"/>
      <c r="FIA72" s="16"/>
      <c r="FIB72" s="16"/>
      <c r="FIC72" s="16"/>
      <c r="FID72" s="16"/>
      <c r="FIE72" s="16"/>
      <c r="FIF72" s="16"/>
      <c r="FIG72" s="16"/>
      <c r="FIH72" s="16"/>
      <c r="FII72" s="16"/>
      <c r="FIJ72" s="16"/>
      <c r="FIK72" s="16"/>
      <c r="FIL72" s="16"/>
      <c r="FIM72" s="16"/>
      <c r="FIN72" s="16"/>
      <c r="FIO72" s="16"/>
      <c r="FIP72" s="16"/>
      <c r="FIQ72" s="16"/>
      <c r="FIR72" s="16"/>
      <c r="FIS72" s="16"/>
      <c r="FIT72" s="16"/>
      <c r="FIU72" s="16"/>
      <c r="FIV72" s="16"/>
      <c r="FIW72" s="16"/>
      <c r="FIX72" s="16"/>
      <c r="FIY72" s="16"/>
      <c r="FIZ72" s="16"/>
      <c r="FJA72" s="16"/>
      <c r="FJB72" s="16"/>
      <c r="FJC72" s="16"/>
      <c r="FJD72" s="16"/>
      <c r="FJE72" s="16"/>
      <c r="FJF72" s="16"/>
      <c r="FJG72" s="16"/>
      <c r="FJH72" s="16"/>
      <c r="FJI72" s="16"/>
      <c r="FJJ72" s="16"/>
      <c r="FJK72" s="16"/>
      <c r="FJL72" s="16"/>
      <c r="FJM72" s="16"/>
      <c r="FJN72" s="16"/>
      <c r="FJO72" s="16"/>
      <c r="FJP72" s="16"/>
      <c r="FJQ72" s="16"/>
      <c r="FJR72" s="16"/>
      <c r="FJS72" s="16"/>
      <c r="FJT72" s="16"/>
      <c r="FJU72" s="16"/>
      <c r="FJV72" s="16"/>
      <c r="FJW72" s="16"/>
      <c r="FJX72" s="16"/>
      <c r="FJY72" s="16"/>
      <c r="FJZ72" s="16"/>
      <c r="FKA72" s="16"/>
      <c r="FKB72" s="16"/>
      <c r="FKC72" s="16"/>
      <c r="FKD72" s="16"/>
      <c r="FKE72" s="16"/>
      <c r="FKF72" s="16"/>
      <c r="FKG72" s="16"/>
      <c r="FKH72" s="16"/>
      <c r="FKI72" s="16"/>
      <c r="FKJ72" s="16"/>
      <c r="FKK72" s="16"/>
      <c r="FKL72" s="16"/>
      <c r="FKM72" s="16"/>
      <c r="FKN72" s="16"/>
      <c r="FKO72" s="16"/>
      <c r="FKP72" s="16"/>
      <c r="FKQ72" s="16"/>
      <c r="FKR72" s="16"/>
      <c r="FKS72" s="16"/>
      <c r="FKT72" s="16"/>
      <c r="FKU72" s="16"/>
      <c r="FKV72" s="16"/>
      <c r="FKW72" s="16"/>
      <c r="FKX72" s="16"/>
      <c r="FKY72" s="16"/>
      <c r="FKZ72" s="16"/>
      <c r="FLA72" s="16"/>
      <c r="FLB72" s="16"/>
      <c r="FLC72" s="16"/>
      <c r="FLD72" s="16"/>
      <c r="FLE72" s="16"/>
      <c r="FLF72" s="16"/>
      <c r="FLG72" s="16"/>
      <c r="FLH72" s="16"/>
      <c r="FLI72" s="16"/>
      <c r="FLJ72" s="16"/>
      <c r="FLK72" s="16"/>
      <c r="FLL72" s="16"/>
      <c r="FLM72" s="16"/>
      <c r="FLN72" s="16"/>
      <c r="FLO72" s="16"/>
      <c r="FLP72" s="16"/>
      <c r="FLQ72" s="16"/>
      <c r="FLR72" s="16"/>
      <c r="FLS72" s="16"/>
      <c r="FLT72" s="16"/>
      <c r="FLU72" s="16"/>
      <c r="FLV72" s="16"/>
      <c r="FLW72" s="16"/>
      <c r="FLX72" s="16"/>
      <c r="FLY72" s="16"/>
      <c r="FLZ72" s="16"/>
      <c r="FMA72" s="16"/>
      <c r="FMB72" s="16"/>
      <c r="FMC72" s="16"/>
      <c r="FMD72" s="16"/>
      <c r="FME72" s="16"/>
      <c r="FMF72" s="16"/>
      <c r="FMG72" s="16"/>
      <c r="FMH72" s="16"/>
      <c r="FMI72" s="16"/>
      <c r="FMJ72" s="16"/>
      <c r="FMK72" s="16"/>
      <c r="FML72" s="16"/>
      <c r="FMM72" s="16"/>
      <c r="FMN72" s="16"/>
      <c r="FMO72" s="16"/>
      <c r="FMP72" s="16"/>
      <c r="FMQ72" s="16"/>
      <c r="FMR72" s="16"/>
      <c r="FMS72" s="16"/>
      <c r="FMT72" s="16"/>
      <c r="FMU72" s="16"/>
      <c r="FMV72" s="16"/>
      <c r="FMW72" s="16"/>
      <c r="FMX72" s="16"/>
      <c r="FMY72" s="16"/>
      <c r="FMZ72" s="16"/>
      <c r="FNA72" s="16"/>
      <c r="FNB72" s="16"/>
      <c r="FNC72" s="16"/>
      <c r="FND72" s="16"/>
      <c r="FNE72" s="16"/>
      <c r="FNF72" s="16"/>
      <c r="FNG72" s="16"/>
      <c r="FNH72" s="16"/>
      <c r="FNI72" s="16"/>
      <c r="FNJ72" s="16"/>
      <c r="FNK72" s="16"/>
      <c r="FNL72" s="16"/>
      <c r="FNM72" s="16"/>
      <c r="FNN72" s="16"/>
      <c r="FNO72" s="16"/>
      <c r="FNP72" s="16"/>
      <c r="FNQ72" s="16"/>
      <c r="FNR72" s="16"/>
      <c r="FNS72" s="16"/>
      <c r="FNT72" s="16"/>
      <c r="FNU72" s="16"/>
      <c r="FNV72" s="16"/>
      <c r="FNW72" s="16"/>
      <c r="FNX72" s="16"/>
      <c r="FNY72" s="16"/>
      <c r="FNZ72" s="16"/>
      <c r="FOA72" s="16"/>
      <c r="FOB72" s="16"/>
      <c r="FOC72" s="16"/>
      <c r="FOD72" s="16"/>
      <c r="FOE72" s="16"/>
      <c r="FOF72" s="16"/>
      <c r="FOG72" s="16"/>
      <c r="FOH72" s="16"/>
      <c r="FOI72" s="16"/>
      <c r="FOJ72" s="16"/>
      <c r="FOK72" s="16"/>
      <c r="FOL72" s="16"/>
      <c r="FOM72" s="16"/>
      <c r="FON72" s="16"/>
      <c r="FOO72" s="16"/>
      <c r="FOP72" s="16"/>
      <c r="FOQ72" s="16"/>
      <c r="FOR72" s="16"/>
      <c r="FOS72" s="16"/>
      <c r="FOT72" s="16"/>
      <c r="FOU72" s="16"/>
      <c r="FOV72" s="16"/>
      <c r="FOW72" s="16"/>
      <c r="FOX72" s="16"/>
      <c r="FOY72" s="16"/>
      <c r="FOZ72" s="16"/>
      <c r="FPA72" s="16"/>
      <c r="FPB72" s="16"/>
      <c r="FPC72" s="16"/>
      <c r="FPD72" s="16"/>
      <c r="FPE72" s="16"/>
      <c r="FPF72" s="16"/>
      <c r="FPG72" s="16"/>
      <c r="FPH72" s="16"/>
      <c r="FPI72" s="16"/>
      <c r="FPJ72" s="16"/>
      <c r="FPK72" s="16"/>
      <c r="FPL72" s="16"/>
      <c r="FPM72" s="16"/>
      <c r="FPN72" s="16"/>
      <c r="FPO72" s="16"/>
      <c r="FPP72" s="16"/>
      <c r="FPQ72" s="16"/>
      <c r="FPR72" s="16"/>
      <c r="FPS72" s="16"/>
      <c r="FPT72" s="16"/>
      <c r="FPU72" s="16"/>
      <c r="FPV72" s="16"/>
      <c r="FPW72" s="16"/>
      <c r="FPX72" s="16"/>
      <c r="FPY72" s="16"/>
      <c r="FPZ72" s="16"/>
      <c r="FQA72" s="16"/>
      <c r="FQB72" s="16"/>
      <c r="FQC72" s="16"/>
      <c r="FQD72" s="16"/>
      <c r="FQE72" s="16"/>
      <c r="FQF72" s="16"/>
      <c r="FQG72" s="16"/>
      <c r="FQH72" s="16"/>
      <c r="FQI72" s="16"/>
      <c r="FQJ72" s="16"/>
      <c r="FQK72" s="16"/>
      <c r="FQL72" s="16"/>
      <c r="FQM72" s="16"/>
      <c r="FQN72" s="16"/>
      <c r="FQO72" s="16"/>
      <c r="FQP72" s="16"/>
      <c r="FQQ72" s="16"/>
      <c r="FQR72" s="16"/>
      <c r="FQS72" s="16"/>
      <c r="FQT72" s="16"/>
      <c r="FQU72" s="16"/>
      <c r="FQV72" s="16"/>
      <c r="FQW72" s="16"/>
      <c r="FQX72" s="16"/>
      <c r="FQY72" s="16"/>
      <c r="FQZ72" s="16"/>
      <c r="FRA72" s="16"/>
      <c r="FRB72" s="16"/>
      <c r="FRC72" s="16"/>
      <c r="FRD72" s="16"/>
      <c r="FRE72" s="16"/>
      <c r="FRF72" s="16"/>
      <c r="FRG72" s="16"/>
      <c r="FRH72" s="16"/>
      <c r="FRI72" s="16"/>
      <c r="FRJ72" s="16"/>
      <c r="FRK72" s="16"/>
      <c r="FRL72" s="16"/>
      <c r="FRM72" s="16"/>
      <c r="FRN72" s="16"/>
      <c r="FRO72" s="16"/>
      <c r="FRP72" s="16"/>
      <c r="FRQ72" s="16"/>
      <c r="FRR72" s="16"/>
      <c r="FRS72" s="16"/>
      <c r="FRT72" s="16"/>
      <c r="FRU72" s="16"/>
      <c r="FRV72" s="16"/>
      <c r="FRW72" s="16"/>
      <c r="FRX72" s="16"/>
      <c r="FRY72" s="16"/>
      <c r="FRZ72" s="16"/>
      <c r="FSA72" s="16"/>
      <c r="FSB72" s="16"/>
      <c r="FSC72" s="16"/>
      <c r="FSD72" s="16"/>
      <c r="FSE72" s="16"/>
      <c r="FSF72" s="16"/>
      <c r="FSG72" s="16"/>
      <c r="FSH72" s="16"/>
      <c r="FSI72" s="16"/>
      <c r="FSJ72" s="16"/>
      <c r="FSK72" s="16"/>
      <c r="FSL72" s="16"/>
      <c r="FSM72" s="16"/>
      <c r="FSN72" s="16"/>
      <c r="FSO72" s="16"/>
      <c r="FSP72" s="16"/>
      <c r="FSQ72" s="16"/>
      <c r="FSR72" s="16"/>
      <c r="FSS72" s="16"/>
      <c r="FST72" s="16"/>
      <c r="FSU72" s="16"/>
      <c r="FSV72" s="16"/>
      <c r="FSW72" s="16"/>
      <c r="FSX72" s="16"/>
      <c r="FSY72" s="16"/>
      <c r="FSZ72" s="16"/>
      <c r="FTA72" s="16"/>
      <c r="FTB72" s="16"/>
      <c r="FTC72" s="16"/>
      <c r="FTD72" s="16"/>
      <c r="FTE72" s="16"/>
      <c r="FTF72" s="16"/>
      <c r="FTG72" s="16"/>
      <c r="FTH72" s="16"/>
      <c r="FTI72" s="16"/>
      <c r="FTJ72" s="16"/>
      <c r="FTK72" s="16"/>
      <c r="FTL72" s="16"/>
      <c r="FTM72" s="16"/>
      <c r="FTN72" s="16"/>
      <c r="FTO72" s="16"/>
      <c r="FTP72" s="16"/>
      <c r="FTQ72" s="16"/>
      <c r="FTR72" s="16"/>
      <c r="FTS72" s="16"/>
      <c r="FTT72" s="16"/>
      <c r="FTU72" s="16"/>
      <c r="FTV72" s="16"/>
      <c r="FTW72" s="16"/>
      <c r="FTX72" s="16"/>
      <c r="FTY72" s="16"/>
      <c r="FTZ72" s="16"/>
      <c r="FUA72" s="16"/>
      <c r="FUB72" s="16"/>
      <c r="FUC72" s="16"/>
      <c r="FUD72" s="16"/>
      <c r="FUE72" s="16"/>
      <c r="FUF72" s="16"/>
      <c r="FUG72" s="16"/>
      <c r="FUH72" s="16"/>
      <c r="FUI72" s="16"/>
      <c r="FUJ72" s="16"/>
      <c r="FUK72" s="16"/>
      <c r="FUL72" s="16"/>
      <c r="FUM72" s="16"/>
      <c r="FUN72" s="16"/>
      <c r="FUO72" s="16"/>
      <c r="FUP72" s="16"/>
      <c r="FUQ72" s="16"/>
      <c r="FUR72" s="16"/>
      <c r="FUS72" s="16"/>
      <c r="FUT72" s="16"/>
      <c r="FUU72" s="16"/>
      <c r="FUV72" s="16"/>
      <c r="FUW72" s="16"/>
      <c r="FUX72" s="16"/>
      <c r="FUY72" s="16"/>
      <c r="FUZ72" s="16"/>
      <c r="FVA72" s="16"/>
      <c r="FVB72" s="16"/>
      <c r="FVC72" s="16"/>
      <c r="FVD72" s="16"/>
      <c r="FVE72" s="16"/>
      <c r="FVF72" s="16"/>
      <c r="FVG72" s="16"/>
      <c r="FVH72" s="16"/>
      <c r="FVI72" s="16"/>
      <c r="FVJ72" s="16"/>
      <c r="FVK72" s="16"/>
      <c r="FVL72" s="16"/>
      <c r="FVM72" s="16"/>
      <c r="FVN72" s="16"/>
      <c r="FVO72" s="16"/>
      <c r="FVP72" s="16"/>
      <c r="FVQ72" s="16"/>
      <c r="FVR72" s="16"/>
      <c r="FVS72" s="16"/>
      <c r="FVT72" s="16"/>
      <c r="FVU72" s="16"/>
      <c r="FVV72" s="16"/>
      <c r="FVW72" s="16"/>
      <c r="FVX72" s="16"/>
      <c r="FVY72" s="16"/>
      <c r="FVZ72" s="16"/>
      <c r="FWA72" s="16"/>
      <c r="FWB72" s="16"/>
      <c r="FWC72" s="16"/>
      <c r="FWD72" s="16"/>
      <c r="FWE72" s="16"/>
      <c r="FWF72" s="16"/>
      <c r="FWG72" s="16"/>
      <c r="FWH72" s="16"/>
      <c r="FWI72" s="16"/>
      <c r="FWJ72" s="16"/>
      <c r="FWK72" s="16"/>
      <c r="FWL72" s="16"/>
      <c r="FWM72" s="16"/>
      <c r="FWN72" s="16"/>
      <c r="FWO72" s="16"/>
      <c r="FWP72" s="16"/>
      <c r="FWQ72" s="16"/>
      <c r="FWR72" s="16"/>
      <c r="FWS72" s="16"/>
      <c r="FWT72" s="16"/>
      <c r="FWU72" s="16"/>
      <c r="FWV72" s="16"/>
      <c r="FWW72" s="16"/>
      <c r="FWX72" s="16"/>
      <c r="FWY72" s="16"/>
      <c r="FWZ72" s="16"/>
      <c r="FXA72" s="16"/>
      <c r="FXB72" s="16"/>
      <c r="FXC72" s="16"/>
      <c r="FXD72" s="16"/>
      <c r="FXE72" s="16"/>
      <c r="FXF72" s="16"/>
      <c r="FXG72" s="16"/>
      <c r="FXH72" s="16"/>
      <c r="FXI72" s="16"/>
      <c r="FXJ72" s="16"/>
      <c r="FXK72" s="16"/>
      <c r="FXL72" s="16"/>
      <c r="FXM72" s="16"/>
      <c r="FXN72" s="16"/>
      <c r="FXO72" s="16"/>
      <c r="FXP72" s="16"/>
      <c r="FXQ72" s="16"/>
      <c r="FXR72" s="16"/>
      <c r="FXS72" s="16"/>
      <c r="FXT72" s="16"/>
      <c r="FXU72" s="16"/>
      <c r="FXV72" s="16"/>
      <c r="FXW72" s="16"/>
      <c r="FXX72" s="16"/>
      <c r="FXY72" s="16"/>
      <c r="FXZ72" s="16"/>
      <c r="FYA72" s="16"/>
      <c r="FYB72" s="16"/>
      <c r="FYC72" s="16"/>
      <c r="FYD72" s="16"/>
      <c r="FYE72" s="16"/>
      <c r="FYF72" s="16"/>
      <c r="FYG72" s="16"/>
      <c r="FYH72" s="16"/>
      <c r="FYI72" s="16"/>
      <c r="FYJ72" s="16"/>
      <c r="FYK72" s="16"/>
      <c r="FYL72" s="16"/>
      <c r="FYM72" s="16"/>
      <c r="FYN72" s="16"/>
      <c r="FYO72" s="16"/>
      <c r="FYP72" s="16"/>
      <c r="FYQ72" s="16"/>
      <c r="FYR72" s="16"/>
      <c r="FYS72" s="16"/>
      <c r="FYT72" s="16"/>
      <c r="FYU72" s="16"/>
      <c r="FYV72" s="16"/>
      <c r="FYW72" s="16"/>
      <c r="FYX72" s="16"/>
      <c r="FYY72" s="16"/>
      <c r="FYZ72" s="16"/>
      <c r="FZA72" s="16"/>
      <c r="FZB72" s="16"/>
      <c r="FZC72" s="16"/>
      <c r="FZD72" s="16"/>
      <c r="FZE72" s="16"/>
      <c r="FZF72" s="16"/>
      <c r="FZG72" s="16"/>
      <c r="FZH72" s="16"/>
      <c r="FZI72" s="16"/>
      <c r="FZJ72" s="16"/>
      <c r="FZK72" s="16"/>
      <c r="FZL72" s="16"/>
      <c r="FZM72" s="16"/>
      <c r="FZN72" s="16"/>
      <c r="FZO72" s="16"/>
      <c r="FZP72" s="16"/>
      <c r="FZQ72" s="16"/>
      <c r="FZR72" s="16"/>
      <c r="FZS72" s="16"/>
      <c r="FZT72" s="16"/>
      <c r="FZU72" s="16"/>
      <c r="FZV72" s="16"/>
      <c r="FZW72" s="16"/>
      <c r="FZX72" s="16"/>
      <c r="FZY72" s="16"/>
      <c r="FZZ72" s="16"/>
      <c r="GAA72" s="16"/>
      <c r="GAB72" s="16"/>
      <c r="GAC72" s="16"/>
      <c r="GAD72" s="16"/>
      <c r="GAE72" s="16"/>
      <c r="GAF72" s="16"/>
      <c r="GAG72" s="16"/>
      <c r="GAH72" s="16"/>
      <c r="GAI72" s="16"/>
      <c r="GAJ72" s="16"/>
      <c r="GAK72" s="16"/>
      <c r="GAL72" s="16"/>
      <c r="GAM72" s="16"/>
      <c r="GAN72" s="16"/>
      <c r="GAO72" s="16"/>
      <c r="GAP72" s="16"/>
      <c r="GAQ72" s="16"/>
      <c r="GAR72" s="16"/>
      <c r="GAS72" s="16"/>
      <c r="GAT72" s="16"/>
      <c r="GAU72" s="16"/>
      <c r="GAV72" s="16"/>
      <c r="GAW72" s="16"/>
      <c r="GAX72" s="16"/>
      <c r="GAY72" s="16"/>
      <c r="GAZ72" s="16"/>
      <c r="GBA72" s="16"/>
      <c r="GBB72" s="16"/>
      <c r="GBC72" s="16"/>
      <c r="GBD72" s="16"/>
      <c r="GBE72" s="16"/>
      <c r="GBF72" s="16"/>
      <c r="GBG72" s="16"/>
      <c r="GBH72" s="16"/>
      <c r="GBI72" s="16"/>
      <c r="GBJ72" s="16"/>
      <c r="GBK72" s="16"/>
      <c r="GBL72" s="16"/>
      <c r="GBM72" s="16"/>
      <c r="GBN72" s="16"/>
      <c r="GBO72" s="16"/>
      <c r="GBP72" s="16"/>
      <c r="GBQ72" s="16"/>
      <c r="GBR72" s="16"/>
      <c r="GBS72" s="16"/>
      <c r="GBT72" s="16"/>
      <c r="GBU72" s="16"/>
      <c r="GBV72" s="16"/>
      <c r="GBW72" s="16"/>
      <c r="GBX72" s="16"/>
      <c r="GBY72" s="16"/>
      <c r="GBZ72" s="16"/>
      <c r="GCA72" s="16"/>
      <c r="GCB72" s="16"/>
      <c r="GCC72" s="16"/>
      <c r="GCD72" s="16"/>
      <c r="GCE72" s="16"/>
      <c r="GCF72" s="16"/>
      <c r="GCG72" s="16"/>
      <c r="GCH72" s="16"/>
      <c r="GCI72" s="16"/>
      <c r="GCJ72" s="16"/>
      <c r="GCK72" s="16"/>
      <c r="GCL72" s="16"/>
      <c r="GCM72" s="16"/>
      <c r="GCN72" s="16"/>
      <c r="GCO72" s="16"/>
      <c r="GCP72" s="16"/>
      <c r="GCQ72" s="16"/>
      <c r="GCR72" s="16"/>
      <c r="GCS72" s="16"/>
      <c r="GCT72" s="16"/>
      <c r="GCU72" s="16"/>
      <c r="GCV72" s="16"/>
      <c r="GCW72" s="16"/>
      <c r="GCX72" s="16"/>
      <c r="GCY72" s="16"/>
      <c r="GCZ72" s="16"/>
      <c r="GDA72" s="16"/>
      <c r="GDB72" s="16"/>
      <c r="GDC72" s="16"/>
      <c r="GDD72" s="16"/>
      <c r="GDE72" s="16"/>
      <c r="GDF72" s="16"/>
      <c r="GDG72" s="16"/>
      <c r="GDH72" s="16"/>
      <c r="GDI72" s="16"/>
      <c r="GDJ72" s="16"/>
      <c r="GDK72" s="16"/>
      <c r="GDL72" s="16"/>
      <c r="GDM72" s="16"/>
      <c r="GDN72" s="16"/>
      <c r="GDO72" s="16"/>
      <c r="GDP72" s="16"/>
      <c r="GDQ72" s="16"/>
      <c r="GDR72" s="16"/>
      <c r="GDS72" s="16"/>
      <c r="GDT72" s="16"/>
      <c r="GDU72" s="16"/>
      <c r="GDV72" s="16"/>
      <c r="GDW72" s="16"/>
      <c r="GDX72" s="16"/>
      <c r="GDY72" s="16"/>
      <c r="GDZ72" s="16"/>
      <c r="GEA72" s="16"/>
      <c r="GEB72" s="16"/>
      <c r="GEC72" s="16"/>
      <c r="GED72" s="16"/>
      <c r="GEE72" s="16"/>
      <c r="GEF72" s="16"/>
      <c r="GEG72" s="16"/>
      <c r="GEH72" s="16"/>
      <c r="GEI72" s="16"/>
      <c r="GEJ72" s="16"/>
      <c r="GEK72" s="16"/>
      <c r="GEL72" s="16"/>
      <c r="GEM72" s="16"/>
      <c r="GEN72" s="16"/>
      <c r="GEO72" s="16"/>
      <c r="GEP72" s="16"/>
      <c r="GEQ72" s="16"/>
      <c r="GER72" s="16"/>
      <c r="GES72" s="16"/>
      <c r="GET72" s="16"/>
      <c r="GEU72" s="16"/>
      <c r="GEV72" s="16"/>
      <c r="GEW72" s="16"/>
      <c r="GEX72" s="16"/>
      <c r="GEY72" s="16"/>
      <c r="GEZ72" s="16"/>
      <c r="GFA72" s="16"/>
      <c r="GFB72" s="16"/>
      <c r="GFC72" s="16"/>
      <c r="GFD72" s="16"/>
      <c r="GFE72" s="16"/>
      <c r="GFF72" s="16"/>
      <c r="GFG72" s="16"/>
      <c r="GFH72" s="16"/>
      <c r="GFI72" s="16"/>
      <c r="GFJ72" s="16"/>
      <c r="GFK72" s="16"/>
      <c r="GFL72" s="16"/>
      <c r="GFM72" s="16"/>
      <c r="GFN72" s="16"/>
      <c r="GFO72" s="16"/>
      <c r="GFP72" s="16"/>
      <c r="GFQ72" s="16"/>
      <c r="GFR72" s="16"/>
      <c r="GFS72" s="16"/>
      <c r="GFT72" s="16"/>
      <c r="GFU72" s="16"/>
      <c r="GFV72" s="16"/>
      <c r="GFW72" s="16"/>
      <c r="GFX72" s="16"/>
      <c r="GFY72" s="16"/>
      <c r="GFZ72" s="16"/>
      <c r="GGA72" s="16"/>
      <c r="GGB72" s="16"/>
      <c r="GGC72" s="16"/>
      <c r="GGD72" s="16"/>
      <c r="GGE72" s="16"/>
      <c r="GGF72" s="16"/>
      <c r="GGG72" s="16"/>
      <c r="GGH72" s="16"/>
      <c r="GGI72" s="16"/>
      <c r="GGJ72" s="16"/>
      <c r="GGK72" s="16"/>
      <c r="GGL72" s="16"/>
      <c r="GGM72" s="16"/>
      <c r="GGN72" s="16"/>
      <c r="GGO72" s="16"/>
      <c r="GGP72" s="16"/>
      <c r="GGQ72" s="16"/>
      <c r="GGR72" s="16"/>
      <c r="GGS72" s="16"/>
      <c r="GGT72" s="16"/>
      <c r="GGU72" s="16"/>
      <c r="GGV72" s="16"/>
      <c r="GGW72" s="16"/>
      <c r="GGX72" s="16"/>
      <c r="GGY72" s="16"/>
      <c r="GGZ72" s="16"/>
      <c r="GHA72" s="16"/>
      <c r="GHB72" s="16"/>
      <c r="GHC72" s="16"/>
      <c r="GHD72" s="16"/>
      <c r="GHE72" s="16"/>
      <c r="GHF72" s="16"/>
      <c r="GHG72" s="16"/>
      <c r="GHH72" s="16"/>
      <c r="GHI72" s="16"/>
      <c r="GHJ72" s="16"/>
      <c r="GHK72" s="16"/>
      <c r="GHL72" s="16"/>
      <c r="GHM72" s="16"/>
      <c r="GHN72" s="16"/>
      <c r="GHO72" s="16"/>
      <c r="GHP72" s="16"/>
      <c r="GHQ72" s="16"/>
      <c r="GHR72" s="16"/>
      <c r="GHS72" s="16"/>
      <c r="GHT72" s="16"/>
      <c r="GHU72" s="16"/>
      <c r="GHV72" s="16"/>
      <c r="GHW72" s="16"/>
      <c r="GHX72" s="16"/>
      <c r="GHY72" s="16"/>
      <c r="GHZ72" s="16"/>
      <c r="GIA72" s="16"/>
      <c r="GIB72" s="16"/>
      <c r="GIC72" s="16"/>
      <c r="GID72" s="16"/>
      <c r="GIE72" s="16"/>
      <c r="GIF72" s="16"/>
      <c r="GIG72" s="16"/>
      <c r="GIH72" s="16"/>
      <c r="GII72" s="16"/>
      <c r="GIJ72" s="16"/>
      <c r="GIK72" s="16"/>
      <c r="GIL72" s="16"/>
      <c r="GIM72" s="16"/>
      <c r="GIN72" s="16"/>
      <c r="GIO72" s="16"/>
      <c r="GIP72" s="16"/>
      <c r="GIQ72" s="16"/>
      <c r="GIR72" s="16"/>
      <c r="GIS72" s="16"/>
      <c r="GIT72" s="16"/>
      <c r="GIU72" s="16"/>
      <c r="GIV72" s="16"/>
      <c r="GIW72" s="16"/>
      <c r="GIX72" s="16"/>
      <c r="GIY72" s="16"/>
      <c r="GIZ72" s="16"/>
      <c r="GJA72" s="16"/>
      <c r="GJB72" s="16"/>
      <c r="GJC72" s="16"/>
      <c r="GJD72" s="16"/>
      <c r="GJE72" s="16"/>
      <c r="GJF72" s="16"/>
      <c r="GJG72" s="16"/>
      <c r="GJH72" s="16"/>
      <c r="GJI72" s="16"/>
      <c r="GJJ72" s="16"/>
      <c r="GJK72" s="16"/>
      <c r="GJL72" s="16"/>
      <c r="GJM72" s="16"/>
      <c r="GJN72" s="16"/>
      <c r="GJO72" s="16"/>
      <c r="GJP72" s="16"/>
      <c r="GJQ72" s="16"/>
      <c r="GJR72" s="16"/>
      <c r="GJS72" s="16"/>
      <c r="GJT72" s="16"/>
      <c r="GJU72" s="16"/>
      <c r="GJV72" s="16"/>
      <c r="GJW72" s="16"/>
      <c r="GJX72" s="16"/>
      <c r="GJY72" s="16"/>
      <c r="GJZ72" s="16"/>
      <c r="GKA72" s="16"/>
      <c r="GKB72" s="16"/>
      <c r="GKC72" s="16"/>
      <c r="GKD72" s="16"/>
      <c r="GKE72" s="16"/>
      <c r="GKF72" s="16"/>
      <c r="GKG72" s="16"/>
      <c r="GKH72" s="16"/>
      <c r="GKI72" s="16"/>
      <c r="GKJ72" s="16"/>
      <c r="GKK72" s="16"/>
      <c r="GKL72" s="16"/>
      <c r="GKM72" s="16"/>
      <c r="GKN72" s="16"/>
      <c r="GKO72" s="16"/>
      <c r="GKP72" s="16"/>
      <c r="GKQ72" s="16"/>
      <c r="GKR72" s="16"/>
      <c r="GKS72" s="16"/>
      <c r="GKT72" s="16"/>
      <c r="GKU72" s="16"/>
      <c r="GKV72" s="16"/>
      <c r="GKW72" s="16"/>
      <c r="GKX72" s="16"/>
      <c r="GKY72" s="16"/>
      <c r="GKZ72" s="16"/>
      <c r="GLA72" s="16"/>
      <c r="GLB72" s="16"/>
      <c r="GLC72" s="16"/>
      <c r="GLD72" s="16"/>
      <c r="GLE72" s="16"/>
      <c r="GLF72" s="16"/>
      <c r="GLG72" s="16"/>
      <c r="GLH72" s="16"/>
      <c r="GLI72" s="16"/>
      <c r="GLJ72" s="16"/>
      <c r="GLK72" s="16"/>
      <c r="GLL72" s="16"/>
      <c r="GLM72" s="16"/>
      <c r="GLN72" s="16"/>
      <c r="GLO72" s="16"/>
      <c r="GLP72" s="16"/>
      <c r="GLQ72" s="16"/>
      <c r="GLR72" s="16"/>
      <c r="GLS72" s="16"/>
      <c r="GLT72" s="16"/>
      <c r="GLU72" s="16"/>
      <c r="GLV72" s="16"/>
      <c r="GLW72" s="16"/>
      <c r="GLX72" s="16"/>
      <c r="GLY72" s="16"/>
      <c r="GLZ72" s="16"/>
      <c r="GMA72" s="16"/>
      <c r="GMB72" s="16"/>
      <c r="GMC72" s="16"/>
      <c r="GMD72" s="16"/>
      <c r="GME72" s="16"/>
      <c r="GMF72" s="16"/>
      <c r="GMG72" s="16"/>
      <c r="GMH72" s="16"/>
      <c r="GMI72" s="16"/>
      <c r="GMJ72" s="16"/>
      <c r="GMK72" s="16"/>
      <c r="GML72" s="16"/>
      <c r="GMM72" s="16"/>
      <c r="GMN72" s="16"/>
      <c r="GMO72" s="16"/>
      <c r="GMP72" s="16"/>
      <c r="GMQ72" s="16"/>
      <c r="GMR72" s="16"/>
      <c r="GMS72" s="16"/>
      <c r="GMT72" s="16"/>
      <c r="GMU72" s="16"/>
      <c r="GMV72" s="16"/>
      <c r="GMW72" s="16"/>
      <c r="GMX72" s="16"/>
      <c r="GMY72" s="16"/>
      <c r="GMZ72" s="16"/>
      <c r="GNA72" s="16"/>
      <c r="GNB72" s="16"/>
      <c r="GNC72" s="16"/>
      <c r="GND72" s="16"/>
      <c r="GNE72" s="16"/>
      <c r="GNF72" s="16"/>
      <c r="GNG72" s="16"/>
      <c r="GNH72" s="16"/>
      <c r="GNI72" s="16"/>
      <c r="GNJ72" s="16"/>
      <c r="GNK72" s="16"/>
      <c r="GNL72" s="16"/>
      <c r="GNM72" s="16"/>
      <c r="GNN72" s="16"/>
      <c r="GNO72" s="16"/>
      <c r="GNP72" s="16"/>
      <c r="GNQ72" s="16"/>
      <c r="GNR72" s="16"/>
      <c r="GNS72" s="16"/>
      <c r="GNT72" s="16"/>
      <c r="GNU72" s="16"/>
      <c r="GNV72" s="16"/>
      <c r="GNW72" s="16"/>
      <c r="GNX72" s="16"/>
      <c r="GNY72" s="16"/>
      <c r="GNZ72" s="16"/>
      <c r="GOA72" s="16"/>
      <c r="GOB72" s="16"/>
      <c r="GOC72" s="16"/>
      <c r="GOD72" s="16"/>
      <c r="GOE72" s="16"/>
      <c r="GOF72" s="16"/>
      <c r="GOG72" s="16"/>
      <c r="GOH72" s="16"/>
      <c r="GOI72" s="16"/>
      <c r="GOJ72" s="16"/>
      <c r="GOK72" s="16"/>
      <c r="GOL72" s="16"/>
      <c r="GOM72" s="16"/>
      <c r="GON72" s="16"/>
      <c r="GOO72" s="16"/>
      <c r="GOP72" s="16"/>
      <c r="GOQ72" s="16"/>
      <c r="GOR72" s="16"/>
      <c r="GOS72" s="16"/>
      <c r="GOT72" s="16"/>
      <c r="GOU72" s="16"/>
      <c r="GOV72" s="16"/>
      <c r="GOW72" s="16"/>
      <c r="GOX72" s="16"/>
      <c r="GOY72" s="16"/>
      <c r="GOZ72" s="16"/>
      <c r="GPA72" s="16"/>
      <c r="GPB72" s="16"/>
      <c r="GPC72" s="16"/>
      <c r="GPD72" s="16"/>
      <c r="GPE72" s="16"/>
      <c r="GPF72" s="16"/>
      <c r="GPG72" s="16"/>
      <c r="GPH72" s="16"/>
      <c r="GPI72" s="16"/>
      <c r="GPJ72" s="16"/>
      <c r="GPK72" s="16"/>
      <c r="GPL72" s="16"/>
      <c r="GPM72" s="16"/>
      <c r="GPN72" s="16"/>
      <c r="GPO72" s="16"/>
      <c r="GPP72" s="16"/>
      <c r="GPQ72" s="16"/>
      <c r="GPR72" s="16"/>
      <c r="GPS72" s="16"/>
      <c r="GPT72" s="16"/>
      <c r="GPU72" s="16"/>
      <c r="GPV72" s="16"/>
      <c r="GPW72" s="16"/>
      <c r="GPX72" s="16"/>
      <c r="GPY72" s="16"/>
      <c r="GPZ72" s="16"/>
      <c r="GQA72" s="16"/>
      <c r="GQB72" s="16"/>
      <c r="GQC72" s="16"/>
      <c r="GQD72" s="16"/>
      <c r="GQE72" s="16"/>
      <c r="GQF72" s="16"/>
      <c r="GQG72" s="16"/>
      <c r="GQH72" s="16"/>
      <c r="GQI72" s="16"/>
      <c r="GQJ72" s="16"/>
      <c r="GQK72" s="16"/>
      <c r="GQL72" s="16"/>
      <c r="GQM72" s="16"/>
      <c r="GQN72" s="16"/>
      <c r="GQO72" s="16"/>
      <c r="GQP72" s="16"/>
      <c r="GQQ72" s="16"/>
      <c r="GQR72" s="16"/>
      <c r="GQS72" s="16"/>
      <c r="GQT72" s="16"/>
      <c r="GQU72" s="16"/>
      <c r="GQV72" s="16"/>
      <c r="GQW72" s="16"/>
      <c r="GQX72" s="16"/>
      <c r="GQY72" s="16"/>
      <c r="GQZ72" s="16"/>
      <c r="GRA72" s="16"/>
      <c r="GRB72" s="16"/>
      <c r="GRC72" s="16"/>
      <c r="GRD72" s="16"/>
      <c r="GRE72" s="16"/>
      <c r="GRF72" s="16"/>
      <c r="GRG72" s="16"/>
      <c r="GRH72" s="16"/>
      <c r="GRI72" s="16"/>
      <c r="GRJ72" s="16"/>
      <c r="GRK72" s="16"/>
      <c r="GRL72" s="16"/>
      <c r="GRM72" s="16"/>
      <c r="GRN72" s="16"/>
      <c r="GRO72" s="16"/>
      <c r="GRP72" s="16"/>
      <c r="GRQ72" s="16"/>
      <c r="GRR72" s="16"/>
      <c r="GRS72" s="16"/>
      <c r="GRT72" s="16"/>
      <c r="GRU72" s="16"/>
      <c r="GRV72" s="16"/>
      <c r="GRW72" s="16"/>
      <c r="GRX72" s="16"/>
      <c r="GRY72" s="16"/>
      <c r="GRZ72" s="16"/>
      <c r="GSA72" s="16"/>
      <c r="GSB72" s="16"/>
      <c r="GSC72" s="16"/>
      <c r="GSD72" s="16"/>
      <c r="GSE72" s="16"/>
      <c r="GSF72" s="16"/>
      <c r="GSG72" s="16"/>
      <c r="GSH72" s="16"/>
      <c r="GSI72" s="16"/>
      <c r="GSJ72" s="16"/>
      <c r="GSK72" s="16"/>
      <c r="GSL72" s="16"/>
      <c r="GSM72" s="16"/>
      <c r="GSN72" s="16"/>
      <c r="GSO72" s="16"/>
      <c r="GSP72" s="16"/>
      <c r="GSQ72" s="16"/>
      <c r="GSR72" s="16"/>
      <c r="GSS72" s="16"/>
      <c r="GST72" s="16"/>
      <c r="GSU72" s="16"/>
      <c r="GSV72" s="16"/>
      <c r="GSW72" s="16"/>
      <c r="GSX72" s="16"/>
      <c r="GSY72" s="16"/>
      <c r="GSZ72" s="16"/>
      <c r="GTA72" s="16"/>
      <c r="GTB72" s="16"/>
      <c r="GTC72" s="16"/>
      <c r="GTD72" s="16"/>
      <c r="GTE72" s="16"/>
      <c r="GTF72" s="16"/>
      <c r="GTG72" s="16"/>
      <c r="GTH72" s="16"/>
      <c r="GTI72" s="16"/>
      <c r="GTJ72" s="16"/>
      <c r="GTK72" s="16"/>
      <c r="GTL72" s="16"/>
      <c r="GTM72" s="16"/>
      <c r="GTN72" s="16"/>
      <c r="GTO72" s="16"/>
      <c r="GTP72" s="16"/>
      <c r="GTQ72" s="16"/>
      <c r="GTR72" s="16"/>
      <c r="GTS72" s="16"/>
      <c r="GTT72" s="16"/>
      <c r="GTU72" s="16"/>
      <c r="GTV72" s="16"/>
      <c r="GTW72" s="16"/>
      <c r="GTX72" s="16"/>
      <c r="GTY72" s="16"/>
      <c r="GTZ72" s="16"/>
      <c r="GUA72" s="16"/>
      <c r="GUB72" s="16"/>
      <c r="GUC72" s="16"/>
      <c r="GUD72" s="16"/>
      <c r="GUE72" s="16"/>
      <c r="GUF72" s="16"/>
      <c r="GUG72" s="16"/>
      <c r="GUH72" s="16"/>
      <c r="GUI72" s="16"/>
      <c r="GUJ72" s="16"/>
      <c r="GUK72" s="16"/>
      <c r="GUL72" s="16"/>
      <c r="GUM72" s="16"/>
      <c r="GUN72" s="16"/>
      <c r="GUO72" s="16"/>
      <c r="GUP72" s="16"/>
      <c r="GUQ72" s="16"/>
      <c r="GUR72" s="16"/>
      <c r="GUS72" s="16"/>
      <c r="GUT72" s="16"/>
      <c r="GUU72" s="16"/>
      <c r="GUV72" s="16"/>
      <c r="GUW72" s="16"/>
      <c r="GUX72" s="16"/>
      <c r="GUY72" s="16"/>
      <c r="GUZ72" s="16"/>
      <c r="GVA72" s="16"/>
      <c r="GVB72" s="16"/>
      <c r="GVC72" s="16"/>
      <c r="GVD72" s="16"/>
      <c r="GVE72" s="16"/>
      <c r="GVF72" s="16"/>
      <c r="GVG72" s="16"/>
      <c r="GVH72" s="16"/>
      <c r="GVI72" s="16"/>
      <c r="GVJ72" s="16"/>
      <c r="GVK72" s="16"/>
      <c r="GVL72" s="16"/>
      <c r="GVM72" s="16"/>
      <c r="GVN72" s="16"/>
      <c r="GVO72" s="16"/>
      <c r="GVP72" s="16"/>
      <c r="GVQ72" s="16"/>
      <c r="GVR72" s="16"/>
      <c r="GVS72" s="16"/>
      <c r="GVT72" s="16"/>
      <c r="GVU72" s="16"/>
      <c r="GVV72" s="16"/>
      <c r="GVW72" s="16"/>
      <c r="GVX72" s="16"/>
      <c r="GVY72" s="16"/>
      <c r="GVZ72" s="16"/>
      <c r="GWA72" s="16"/>
      <c r="GWB72" s="16"/>
      <c r="GWC72" s="16"/>
      <c r="GWD72" s="16"/>
      <c r="GWE72" s="16"/>
      <c r="GWF72" s="16"/>
      <c r="GWG72" s="16"/>
      <c r="GWH72" s="16"/>
      <c r="GWI72" s="16"/>
      <c r="GWJ72" s="16"/>
      <c r="GWK72" s="16"/>
      <c r="GWL72" s="16"/>
      <c r="GWM72" s="16"/>
      <c r="GWN72" s="16"/>
      <c r="GWO72" s="16"/>
      <c r="GWP72" s="16"/>
      <c r="GWQ72" s="16"/>
      <c r="GWR72" s="16"/>
      <c r="GWS72" s="16"/>
      <c r="GWT72" s="16"/>
      <c r="GWU72" s="16"/>
      <c r="GWV72" s="16"/>
      <c r="GWW72" s="16"/>
      <c r="GWX72" s="16"/>
      <c r="GWY72" s="16"/>
      <c r="GWZ72" s="16"/>
      <c r="GXA72" s="16"/>
      <c r="GXB72" s="16"/>
      <c r="GXC72" s="16"/>
      <c r="GXD72" s="16"/>
      <c r="GXE72" s="16"/>
      <c r="GXF72" s="16"/>
      <c r="GXG72" s="16"/>
      <c r="GXH72" s="16"/>
      <c r="GXI72" s="16"/>
      <c r="GXJ72" s="16"/>
      <c r="GXK72" s="16"/>
      <c r="GXL72" s="16"/>
      <c r="GXM72" s="16"/>
      <c r="GXN72" s="16"/>
      <c r="GXO72" s="16"/>
      <c r="GXP72" s="16"/>
      <c r="GXQ72" s="16"/>
      <c r="GXR72" s="16"/>
      <c r="GXS72" s="16"/>
      <c r="GXT72" s="16"/>
      <c r="GXU72" s="16"/>
      <c r="GXV72" s="16"/>
      <c r="GXW72" s="16"/>
      <c r="GXX72" s="16"/>
      <c r="GXY72" s="16"/>
      <c r="GXZ72" s="16"/>
      <c r="GYA72" s="16"/>
      <c r="GYB72" s="16"/>
      <c r="GYC72" s="16"/>
      <c r="GYD72" s="16"/>
      <c r="GYE72" s="16"/>
      <c r="GYF72" s="16"/>
      <c r="GYG72" s="16"/>
      <c r="GYH72" s="16"/>
      <c r="GYI72" s="16"/>
      <c r="GYJ72" s="16"/>
      <c r="GYK72" s="16"/>
      <c r="GYL72" s="16"/>
      <c r="GYM72" s="16"/>
      <c r="GYN72" s="16"/>
      <c r="GYO72" s="16"/>
      <c r="GYP72" s="16"/>
      <c r="GYQ72" s="16"/>
      <c r="GYR72" s="16"/>
      <c r="GYS72" s="16"/>
      <c r="GYT72" s="16"/>
      <c r="GYU72" s="16"/>
      <c r="GYV72" s="16"/>
      <c r="GYW72" s="16"/>
      <c r="GYX72" s="16"/>
      <c r="GYY72" s="16"/>
      <c r="GYZ72" s="16"/>
      <c r="GZA72" s="16"/>
      <c r="GZB72" s="16"/>
      <c r="GZC72" s="16"/>
      <c r="GZD72" s="16"/>
      <c r="GZE72" s="16"/>
      <c r="GZF72" s="16"/>
      <c r="GZG72" s="16"/>
      <c r="GZH72" s="16"/>
      <c r="GZI72" s="16"/>
      <c r="GZJ72" s="16"/>
      <c r="GZK72" s="16"/>
      <c r="GZL72" s="16"/>
      <c r="GZM72" s="16"/>
      <c r="GZN72" s="16"/>
      <c r="GZO72" s="16"/>
      <c r="GZP72" s="16"/>
      <c r="GZQ72" s="16"/>
      <c r="GZR72" s="16"/>
      <c r="GZS72" s="16"/>
      <c r="GZT72" s="16"/>
      <c r="GZU72" s="16"/>
      <c r="GZV72" s="16"/>
      <c r="GZW72" s="16"/>
      <c r="GZX72" s="16"/>
      <c r="GZY72" s="16"/>
      <c r="GZZ72" s="16"/>
      <c r="HAA72" s="16"/>
      <c r="HAB72" s="16"/>
      <c r="HAC72" s="16"/>
      <c r="HAD72" s="16"/>
      <c r="HAE72" s="16"/>
      <c r="HAF72" s="16"/>
      <c r="HAG72" s="16"/>
      <c r="HAH72" s="16"/>
      <c r="HAI72" s="16"/>
      <c r="HAJ72" s="16"/>
      <c r="HAK72" s="16"/>
      <c r="HAL72" s="16"/>
      <c r="HAM72" s="16"/>
      <c r="HAN72" s="16"/>
      <c r="HAO72" s="16"/>
      <c r="HAP72" s="16"/>
      <c r="HAQ72" s="16"/>
      <c r="HAR72" s="16"/>
      <c r="HAS72" s="16"/>
      <c r="HAT72" s="16"/>
      <c r="HAU72" s="16"/>
      <c r="HAV72" s="16"/>
      <c r="HAW72" s="16"/>
      <c r="HAX72" s="16"/>
      <c r="HAY72" s="16"/>
      <c r="HAZ72" s="16"/>
      <c r="HBA72" s="16"/>
      <c r="HBB72" s="16"/>
      <c r="HBC72" s="16"/>
      <c r="HBD72" s="16"/>
      <c r="HBE72" s="16"/>
      <c r="HBF72" s="16"/>
      <c r="HBG72" s="16"/>
      <c r="HBH72" s="16"/>
      <c r="HBI72" s="16"/>
      <c r="HBJ72" s="16"/>
      <c r="HBK72" s="16"/>
      <c r="HBL72" s="16"/>
      <c r="HBM72" s="16"/>
      <c r="HBN72" s="16"/>
      <c r="HBO72" s="16"/>
      <c r="HBP72" s="16"/>
      <c r="HBQ72" s="16"/>
      <c r="HBR72" s="16"/>
      <c r="HBS72" s="16"/>
      <c r="HBT72" s="16"/>
      <c r="HBU72" s="16"/>
      <c r="HBV72" s="16"/>
      <c r="HBW72" s="16"/>
      <c r="HBX72" s="16"/>
      <c r="HBY72" s="16"/>
      <c r="HBZ72" s="16"/>
      <c r="HCA72" s="16"/>
      <c r="HCB72" s="16"/>
      <c r="HCC72" s="16"/>
      <c r="HCD72" s="16"/>
      <c r="HCE72" s="16"/>
      <c r="HCF72" s="16"/>
      <c r="HCG72" s="16"/>
      <c r="HCH72" s="16"/>
      <c r="HCI72" s="16"/>
      <c r="HCJ72" s="16"/>
      <c r="HCK72" s="16"/>
      <c r="HCL72" s="16"/>
      <c r="HCM72" s="16"/>
      <c r="HCN72" s="16"/>
      <c r="HCO72" s="16"/>
      <c r="HCP72" s="16"/>
      <c r="HCQ72" s="16"/>
      <c r="HCR72" s="16"/>
      <c r="HCS72" s="16"/>
      <c r="HCT72" s="16"/>
      <c r="HCU72" s="16"/>
      <c r="HCV72" s="16"/>
      <c r="HCW72" s="16"/>
      <c r="HCX72" s="16"/>
      <c r="HCY72" s="16"/>
      <c r="HCZ72" s="16"/>
      <c r="HDA72" s="16"/>
      <c r="HDB72" s="16"/>
      <c r="HDC72" s="16"/>
      <c r="HDD72" s="16"/>
      <c r="HDE72" s="16"/>
      <c r="HDF72" s="16"/>
      <c r="HDG72" s="16"/>
      <c r="HDH72" s="16"/>
      <c r="HDI72" s="16"/>
      <c r="HDJ72" s="16"/>
      <c r="HDK72" s="16"/>
      <c r="HDL72" s="16"/>
      <c r="HDM72" s="16"/>
      <c r="HDN72" s="16"/>
      <c r="HDO72" s="16"/>
      <c r="HDP72" s="16"/>
      <c r="HDQ72" s="16"/>
      <c r="HDR72" s="16"/>
      <c r="HDS72" s="16"/>
      <c r="HDT72" s="16"/>
      <c r="HDU72" s="16"/>
      <c r="HDV72" s="16"/>
      <c r="HDW72" s="16"/>
      <c r="HDX72" s="16"/>
      <c r="HDY72" s="16"/>
      <c r="HDZ72" s="16"/>
      <c r="HEA72" s="16"/>
      <c r="HEB72" s="16"/>
      <c r="HEC72" s="16"/>
      <c r="HED72" s="16"/>
      <c r="HEE72" s="16"/>
      <c r="HEF72" s="16"/>
      <c r="HEG72" s="16"/>
      <c r="HEH72" s="16"/>
      <c r="HEI72" s="16"/>
      <c r="HEJ72" s="16"/>
      <c r="HEK72" s="16"/>
      <c r="HEL72" s="16"/>
      <c r="HEM72" s="16"/>
      <c r="HEN72" s="16"/>
      <c r="HEO72" s="16"/>
      <c r="HEP72" s="16"/>
      <c r="HEQ72" s="16"/>
      <c r="HER72" s="16"/>
      <c r="HES72" s="16"/>
      <c r="HET72" s="16"/>
      <c r="HEU72" s="16"/>
      <c r="HEV72" s="16"/>
      <c r="HEW72" s="16"/>
      <c r="HEX72" s="16"/>
      <c r="HEY72" s="16"/>
      <c r="HEZ72" s="16"/>
      <c r="HFA72" s="16"/>
      <c r="HFB72" s="16"/>
      <c r="HFC72" s="16"/>
      <c r="HFD72" s="16"/>
      <c r="HFE72" s="16"/>
      <c r="HFF72" s="16"/>
      <c r="HFG72" s="16"/>
      <c r="HFH72" s="16"/>
      <c r="HFI72" s="16"/>
      <c r="HFJ72" s="16"/>
      <c r="HFK72" s="16"/>
      <c r="HFL72" s="16"/>
      <c r="HFM72" s="16"/>
      <c r="HFN72" s="16"/>
      <c r="HFO72" s="16"/>
      <c r="HFP72" s="16"/>
      <c r="HFQ72" s="16"/>
      <c r="HFR72" s="16"/>
      <c r="HFS72" s="16"/>
      <c r="HFT72" s="16"/>
      <c r="HFU72" s="16"/>
      <c r="HFV72" s="16"/>
      <c r="HFW72" s="16"/>
      <c r="HFX72" s="16"/>
      <c r="HFY72" s="16"/>
      <c r="HFZ72" s="16"/>
      <c r="HGA72" s="16"/>
      <c r="HGB72" s="16"/>
      <c r="HGC72" s="16"/>
      <c r="HGD72" s="16"/>
      <c r="HGE72" s="16"/>
      <c r="HGF72" s="16"/>
      <c r="HGG72" s="16"/>
      <c r="HGH72" s="16"/>
      <c r="HGI72" s="16"/>
      <c r="HGJ72" s="16"/>
      <c r="HGK72" s="16"/>
      <c r="HGL72" s="16"/>
      <c r="HGM72" s="16"/>
      <c r="HGN72" s="16"/>
      <c r="HGO72" s="16"/>
      <c r="HGP72" s="16"/>
      <c r="HGQ72" s="16"/>
      <c r="HGR72" s="16"/>
      <c r="HGS72" s="16"/>
      <c r="HGT72" s="16"/>
      <c r="HGU72" s="16"/>
      <c r="HGV72" s="16"/>
      <c r="HGW72" s="16"/>
      <c r="HGX72" s="16"/>
      <c r="HGY72" s="16"/>
      <c r="HGZ72" s="16"/>
      <c r="HHA72" s="16"/>
      <c r="HHB72" s="16"/>
      <c r="HHC72" s="16"/>
      <c r="HHD72" s="16"/>
      <c r="HHE72" s="16"/>
      <c r="HHF72" s="16"/>
      <c r="HHG72" s="16"/>
      <c r="HHH72" s="16"/>
      <c r="HHI72" s="16"/>
      <c r="HHJ72" s="16"/>
      <c r="HHK72" s="16"/>
      <c r="HHL72" s="16"/>
      <c r="HHM72" s="16"/>
      <c r="HHN72" s="16"/>
      <c r="HHO72" s="16"/>
      <c r="HHP72" s="16"/>
      <c r="HHQ72" s="16"/>
      <c r="HHR72" s="16"/>
      <c r="HHS72" s="16"/>
      <c r="HHT72" s="16"/>
      <c r="HHU72" s="16"/>
      <c r="HHV72" s="16"/>
      <c r="HHW72" s="16"/>
      <c r="HHX72" s="16"/>
      <c r="HHY72" s="16"/>
      <c r="HHZ72" s="16"/>
      <c r="HIA72" s="16"/>
      <c r="HIB72" s="16"/>
      <c r="HIC72" s="16"/>
      <c r="HID72" s="16"/>
      <c r="HIE72" s="16"/>
      <c r="HIF72" s="16"/>
      <c r="HIG72" s="16"/>
      <c r="HIH72" s="16"/>
      <c r="HII72" s="16"/>
      <c r="HIJ72" s="16"/>
      <c r="HIK72" s="16"/>
      <c r="HIL72" s="16"/>
      <c r="HIM72" s="16"/>
      <c r="HIN72" s="16"/>
      <c r="HIO72" s="16"/>
      <c r="HIP72" s="16"/>
      <c r="HIQ72" s="16"/>
      <c r="HIR72" s="16"/>
      <c r="HIS72" s="16"/>
      <c r="HIT72" s="16"/>
      <c r="HIU72" s="16"/>
      <c r="HIV72" s="16"/>
      <c r="HIW72" s="16"/>
      <c r="HIX72" s="16"/>
      <c r="HIY72" s="16"/>
      <c r="HIZ72" s="16"/>
      <c r="HJA72" s="16"/>
      <c r="HJB72" s="16"/>
      <c r="HJC72" s="16"/>
      <c r="HJD72" s="16"/>
      <c r="HJE72" s="16"/>
      <c r="HJF72" s="16"/>
      <c r="HJG72" s="16"/>
      <c r="HJH72" s="16"/>
      <c r="HJI72" s="16"/>
      <c r="HJJ72" s="16"/>
      <c r="HJK72" s="16"/>
      <c r="HJL72" s="16"/>
      <c r="HJM72" s="16"/>
      <c r="HJN72" s="16"/>
      <c r="HJO72" s="16"/>
      <c r="HJP72" s="16"/>
      <c r="HJQ72" s="16"/>
      <c r="HJR72" s="16"/>
      <c r="HJS72" s="16"/>
      <c r="HJT72" s="16"/>
      <c r="HJU72" s="16"/>
      <c r="HJV72" s="16"/>
      <c r="HJW72" s="16"/>
      <c r="HJX72" s="16"/>
      <c r="HJY72" s="16"/>
      <c r="HJZ72" s="16"/>
      <c r="HKA72" s="16"/>
      <c r="HKB72" s="16"/>
      <c r="HKC72" s="16"/>
      <c r="HKD72" s="16"/>
      <c r="HKE72" s="16"/>
      <c r="HKF72" s="16"/>
      <c r="HKG72" s="16"/>
      <c r="HKH72" s="16"/>
      <c r="HKI72" s="16"/>
      <c r="HKJ72" s="16"/>
      <c r="HKK72" s="16"/>
      <c r="HKL72" s="16"/>
      <c r="HKM72" s="16"/>
      <c r="HKN72" s="16"/>
      <c r="HKO72" s="16"/>
      <c r="HKP72" s="16"/>
      <c r="HKQ72" s="16"/>
      <c r="HKR72" s="16"/>
      <c r="HKS72" s="16"/>
      <c r="HKT72" s="16"/>
      <c r="HKU72" s="16"/>
      <c r="HKV72" s="16"/>
      <c r="HKW72" s="16"/>
      <c r="HKX72" s="16"/>
      <c r="HKY72" s="16"/>
      <c r="HKZ72" s="16"/>
      <c r="HLA72" s="16"/>
      <c r="HLB72" s="16"/>
      <c r="HLC72" s="16"/>
      <c r="HLD72" s="16"/>
      <c r="HLE72" s="16"/>
      <c r="HLF72" s="16"/>
      <c r="HLG72" s="16"/>
      <c r="HLH72" s="16"/>
      <c r="HLI72" s="16"/>
      <c r="HLJ72" s="16"/>
      <c r="HLK72" s="16"/>
      <c r="HLL72" s="16"/>
      <c r="HLM72" s="16"/>
      <c r="HLN72" s="16"/>
      <c r="HLO72" s="16"/>
      <c r="HLP72" s="16"/>
      <c r="HLQ72" s="16"/>
      <c r="HLR72" s="16"/>
      <c r="HLS72" s="16"/>
      <c r="HLT72" s="16"/>
      <c r="HLU72" s="16"/>
      <c r="HLV72" s="16"/>
      <c r="HLW72" s="16"/>
      <c r="HLX72" s="16"/>
      <c r="HLY72" s="16"/>
      <c r="HLZ72" s="16"/>
      <c r="HMA72" s="16"/>
      <c r="HMB72" s="16"/>
      <c r="HMC72" s="16"/>
      <c r="HMD72" s="16"/>
      <c r="HME72" s="16"/>
      <c r="HMF72" s="16"/>
      <c r="HMG72" s="16"/>
      <c r="HMH72" s="16"/>
      <c r="HMI72" s="16"/>
      <c r="HMJ72" s="16"/>
      <c r="HMK72" s="16"/>
      <c r="HML72" s="16"/>
      <c r="HMM72" s="16"/>
      <c r="HMN72" s="16"/>
      <c r="HMO72" s="16"/>
      <c r="HMP72" s="16"/>
      <c r="HMQ72" s="16"/>
      <c r="HMR72" s="16"/>
      <c r="HMS72" s="16"/>
      <c r="HMT72" s="16"/>
      <c r="HMU72" s="16"/>
      <c r="HMV72" s="16"/>
      <c r="HMW72" s="16"/>
      <c r="HMX72" s="16"/>
      <c r="HMY72" s="16"/>
      <c r="HMZ72" s="16"/>
      <c r="HNA72" s="16"/>
      <c r="HNB72" s="16"/>
      <c r="HNC72" s="16"/>
      <c r="HND72" s="16"/>
      <c r="HNE72" s="16"/>
      <c r="HNF72" s="16"/>
      <c r="HNG72" s="16"/>
      <c r="HNH72" s="16"/>
      <c r="HNI72" s="16"/>
      <c r="HNJ72" s="16"/>
      <c r="HNK72" s="16"/>
      <c r="HNL72" s="16"/>
      <c r="HNM72" s="16"/>
      <c r="HNN72" s="16"/>
      <c r="HNO72" s="16"/>
      <c r="HNP72" s="16"/>
      <c r="HNQ72" s="16"/>
      <c r="HNR72" s="16"/>
      <c r="HNS72" s="16"/>
      <c r="HNT72" s="16"/>
      <c r="HNU72" s="16"/>
      <c r="HNV72" s="16"/>
      <c r="HNW72" s="16"/>
      <c r="HNX72" s="16"/>
      <c r="HNY72" s="16"/>
      <c r="HNZ72" s="16"/>
      <c r="HOA72" s="16"/>
      <c r="HOB72" s="16"/>
      <c r="HOC72" s="16"/>
      <c r="HOD72" s="16"/>
      <c r="HOE72" s="16"/>
      <c r="HOF72" s="16"/>
      <c r="HOG72" s="16"/>
      <c r="HOH72" s="16"/>
      <c r="HOI72" s="16"/>
      <c r="HOJ72" s="16"/>
      <c r="HOK72" s="16"/>
      <c r="HOL72" s="16"/>
      <c r="HOM72" s="16"/>
      <c r="HON72" s="16"/>
      <c r="HOO72" s="16"/>
      <c r="HOP72" s="16"/>
      <c r="HOQ72" s="16"/>
      <c r="HOR72" s="16"/>
      <c r="HOS72" s="16"/>
      <c r="HOT72" s="16"/>
      <c r="HOU72" s="16"/>
      <c r="HOV72" s="16"/>
      <c r="HOW72" s="16"/>
      <c r="HOX72" s="16"/>
      <c r="HOY72" s="16"/>
      <c r="HOZ72" s="16"/>
      <c r="HPA72" s="16"/>
      <c r="HPB72" s="16"/>
      <c r="HPC72" s="16"/>
      <c r="HPD72" s="16"/>
      <c r="HPE72" s="16"/>
      <c r="HPF72" s="16"/>
      <c r="HPG72" s="16"/>
      <c r="HPH72" s="16"/>
      <c r="HPI72" s="16"/>
      <c r="HPJ72" s="16"/>
      <c r="HPK72" s="16"/>
      <c r="HPL72" s="16"/>
      <c r="HPM72" s="16"/>
      <c r="HPN72" s="16"/>
      <c r="HPO72" s="16"/>
      <c r="HPP72" s="16"/>
      <c r="HPQ72" s="16"/>
      <c r="HPR72" s="16"/>
      <c r="HPS72" s="16"/>
      <c r="HPT72" s="16"/>
      <c r="HPU72" s="16"/>
      <c r="HPV72" s="16"/>
      <c r="HPW72" s="16"/>
      <c r="HPX72" s="16"/>
      <c r="HPY72" s="16"/>
      <c r="HPZ72" s="16"/>
      <c r="HQA72" s="16"/>
      <c r="HQB72" s="16"/>
      <c r="HQC72" s="16"/>
      <c r="HQD72" s="16"/>
      <c r="HQE72" s="16"/>
      <c r="HQF72" s="16"/>
      <c r="HQG72" s="16"/>
      <c r="HQH72" s="16"/>
      <c r="HQI72" s="16"/>
      <c r="HQJ72" s="16"/>
      <c r="HQK72" s="16"/>
      <c r="HQL72" s="16"/>
      <c r="HQM72" s="16"/>
      <c r="HQN72" s="16"/>
      <c r="HQO72" s="16"/>
      <c r="HQP72" s="16"/>
      <c r="HQQ72" s="16"/>
      <c r="HQR72" s="16"/>
      <c r="HQS72" s="16"/>
      <c r="HQT72" s="16"/>
      <c r="HQU72" s="16"/>
      <c r="HQV72" s="16"/>
      <c r="HQW72" s="16"/>
      <c r="HQX72" s="16"/>
      <c r="HQY72" s="16"/>
      <c r="HQZ72" s="16"/>
      <c r="HRA72" s="16"/>
      <c r="HRB72" s="16"/>
      <c r="HRC72" s="16"/>
      <c r="HRD72" s="16"/>
      <c r="HRE72" s="16"/>
      <c r="HRF72" s="16"/>
      <c r="HRG72" s="16"/>
      <c r="HRH72" s="16"/>
      <c r="HRI72" s="16"/>
      <c r="HRJ72" s="16"/>
      <c r="HRK72" s="16"/>
      <c r="HRL72" s="16"/>
      <c r="HRM72" s="16"/>
      <c r="HRN72" s="16"/>
      <c r="HRO72" s="16"/>
      <c r="HRP72" s="16"/>
      <c r="HRQ72" s="16"/>
      <c r="HRR72" s="16"/>
      <c r="HRS72" s="16"/>
      <c r="HRT72" s="16"/>
      <c r="HRU72" s="16"/>
      <c r="HRV72" s="16"/>
      <c r="HRW72" s="16"/>
      <c r="HRX72" s="16"/>
      <c r="HRY72" s="16"/>
      <c r="HRZ72" s="16"/>
      <c r="HSA72" s="16"/>
      <c r="HSB72" s="16"/>
      <c r="HSC72" s="16"/>
      <c r="HSD72" s="16"/>
      <c r="HSE72" s="16"/>
      <c r="HSF72" s="16"/>
      <c r="HSG72" s="16"/>
      <c r="HSH72" s="16"/>
      <c r="HSI72" s="16"/>
      <c r="HSJ72" s="16"/>
      <c r="HSK72" s="16"/>
      <c r="HSL72" s="16"/>
      <c r="HSM72" s="16"/>
      <c r="HSN72" s="16"/>
      <c r="HSO72" s="16"/>
      <c r="HSP72" s="16"/>
      <c r="HSQ72" s="16"/>
      <c r="HSR72" s="16"/>
      <c r="HSS72" s="16"/>
      <c r="HST72" s="16"/>
      <c r="HSU72" s="16"/>
      <c r="HSV72" s="16"/>
      <c r="HSW72" s="16"/>
      <c r="HSX72" s="16"/>
      <c r="HSY72" s="16"/>
      <c r="HSZ72" s="16"/>
      <c r="HTA72" s="16"/>
      <c r="HTB72" s="16"/>
      <c r="HTC72" s="16"/>
      <c r="HTD72" s="16"/>
      <c r="HTE72" s="16"/>
      <c r="HTF72" s="16"/>
      <c r="HTG72" s="16"/>
      <c r="HTH72" s="16"/>
      <c r="HTI72" s="16"/>
      <c r="HTJ72" s="16"/>
      <c r="HTK72" s="16"/>
      <c r="HTL72" s="16"/>
      <c r="HTM72" s="16"/>
      <c r="HTN72" s="16"/>
      <c r="HTO72" s="16"/>
      <c r="HTP72" s="16"/>
      <c r="HTQ72" s="16"/>
      <c r="HTR72" s="16"/>
      <c r="HTS72" s="16"/>
      <c r="HTT72" s="16"/>
      <c r="HTU72" s="16"/>
      <c r="HTV72" s="16"/>
      <c r="HTW72" s="16"/>
      <c r="HTX72" s="16"/>
      <c r="HTY72" s="16"/>
      <c r="HTZ72" s="16"/>
      <c r="HUA72" s="16"/>
      <c r="HUB72" s="16"/>
      <c r="HUC72" s="16"/>
      <c r="HUD72" s="16"/>
      <c r="HUE72" s="16"/>
      <c r="HUF72" s="16"/>
      <c r="HUG72" s="16"/>
      <c r="HUH72" s="16"/>
      <c r="HUI72" s="16"/>
      <c r="HUJ72" s="16"/>
      <c r="HUK72" s="16"/>
      <c r="HUL72" s="16"/>
      <c r="HUM72" s="16"/>
      <c r="HUN72" s="16"/>
      <c r="HUO72" s="16"/>
      <c r="HUP72" s="16"/>
      <c r="HUQ72" s="16"/>
      <c r="HUR72" s="16"/>
      <c r="HUS72" s="16"/>
      <c r="HUT72" s="16"/>
      <c r="HUU72" s="16"/>
      <c r="HUV72" s="16"/>
      <c r="HUW72" s="16"/>
      <c r="HUX72" s="16"/>
      <c r="HUY72" s="16"/>
      <c r="HUZ72" s="16"/>
      <c r="HVA72" s="16"/>
      <c r="HVB72" s="16"/>
      <c r="HVC72" s="16"/>
      <c r="HVD72" s="16"/>
      <c r="HVE72" s="16"/>
      <c r="HVF72" s="16"/>
      <c r="HVG72" s="16"/>
      <c r="HVH72" s="16"/>
      <c r="HVI72" s="16"/>
      <c r="HVJ72" s="16"/>
      <c r="HVK72" s="16"/>
      <c r="HVL72" s="16"/>
      <c r="HVM72" s="16"/>
      <c r="HVN72" s="16"/>
      <c r="HVO72" s="16"/>
      <c r="HVP72" s="16"/>
      <c r="HVQ72" s="16"/>
      <c r="HVR72" s="16"/>
      <c r="HVS72" s="16"/>
      <c r="HVT72" s="16"/>
      <c r="HVU72" s="16"/>
      <c r="HVV72" s="16"/>
      <c r="HVW72" s="16"/>
      <c r="HVX72" s="16"/>
      <c r="HVY72" s="16"/>
      <c r="HVZ72" s="16"/>
      <c r="HWA72" s="16"/>
      <c r="HWB72" s="16"/>
      <c r="HWC72" s="16"/>
      <c r="HWD72" s="16"/>
      <c r="HWE72" s="16"/>
      <c r="HWF72" s="16"/>
      <c r="HWG72" s="16"/>
      <c r="HWH72" s="16"/>
      <c r="HWI72" s="16"/>
      <c r="HWJ72" s="16"/>
      <c r="HWK72" s="16"/>
      <c r="HWL72" s="16"/>
      <c r="HWM72" s="16"/>
      <c r="HWN72" s="16"/>
      <c r="HWO72" s="16"/>
      <c r="HWP72" s="16"/>
      <c r="HWQ72" s="16"/>
      <c r="HWR72" s="16"/>
      <c r="HWS72" s="16"/>
      <c r="HWT72" s="16"/>
      <c r="HWU72" s="16"/>
      <c r="HWV72" s="16"/>
      <c r="HWW72" s="16"/>
      <c r="HWX72" s="16"/>
      <c r="HWY72" s="16"/>
      <c r="HWZ72" s="16"/>
      <c r="HXA72" s="16"/>
      <c r="HXB72" s="16"/>
      <c r="HXC72" s="16"/>
      <c r="HXD72" s="16"/>
      <c r="HXE72" s="16"/>
      <c r="HXF72" s="16"/>
      <c r="HXG72" s="16"/>
      <c r="HXH72" s="16"/>
      <c r="HXI72" s="16"/>
      <c r="HXJ72" s="16"/>
      <c r="HXK72" s="16"/>
      <c r="HXL72" s="16"/>
      <c r="HXM72" s="16"/>
      <c r="HXN72" s="16"/>
      <c r="HXO72" s="16"/>
      <c r="HXP72" s="16"/>
      <c r="HXQ72" s="16"/>
      <c r="HXR72" s="16"/>
      <c r="HXS72" s="16"/>
      <c r="HXT72" s="16"/>
      <c r="HXU72" s="16"/>
      <c r="HXV72" s="16"/>
      <c r="HXW72" s="16"/>
      <c r="HXX72" s="16"/>
      <c r="HXY72" s="16"/>
      <c r="HXZ72" s="16"/>
      <c r="HYA72" s="16"/>
      <c r="HYB72" s="16"/>
      <c r="HYC72" s="16"/>
      <c r="HYD72" s="16"/>
      <c r="HYE72" s="16"/>
      <c r="HYF72" s="16"/>
      <c r="HYG72" s="16"/>
      <c r="HYH72" s="16"/>
      <c r="HYI72" s="16"/>
      <c r="HYJ72" s="16"/>
      <c r="HYK72" s="16"/>
      <c r="HYL72" s="16"/>
      <c r="HYM72" s="16"/>
      <c r="HYN72" s="16"/>
      <c r="HYO72" s="16"/>
      <c r="HYP72" s="16"/>
      <c r="HYQ72" s="16"/>
      <c r="HYR72" s="16"/>
      <c r="HYS72" s="16"/>
      <c r="HYT72" s="16"/>
      <c r="HYU72" s="16"/>
      <c r="HYV72" s="16"/>
      <c r="HYW72" s="16"/>
      <c r="HYX72" s="16"/>
      <c r="HYY72" s="16"/>
      <c r="HYZ72" s="16"/>
      <c r="HZA72" s="16"/>
      <c r="HZB72" s="16"/>
      <c r="HZC72" s="16"/>
      <c r="HZD72" s="16"/>
      <c r="HZE72" s="16"/>
      <c r="HZF72" s="16"/>
      <c r="HZG72" s="16"/>
      <c r="HZH72" s="16"/>
      <c r="HZI72" s="16"/>
      <c r="HZJ72" s="16"/>
      <c r="HZK72" s="16"/>
      <c r="HZL72" s="16"/>
      <c r="HZM72" s="16"/>
      <c r="HZN72" s="16"/>
      <c r="HZO72" s="16"/>
      <c r="HZP72" s="16"/>
      <c r="HZQ72" s="16"/>
      <c r="HZR72" s="16"/>
      <c r="HZS72" s="16"/>
      <c r="HZT72" s="16"/>
      <c r="HZU72" s="16"/>
      <c r="HZV72" s="16"/>
      <c r="HZW72" s="16"/>
      <c r="HZX72" s="16"/>
      <c r="HZY72" s="16"/>
      <c r="HZZ72" s="16"/>
      <c r="IAA72" s="16"/>
      <c r="IAB72" s="16"/>
      <c r="IAC72" s="16"/>
      <c r="IAD72" s="16"/>
      <c r="IAE72" s="16"/>
      <c r="IAF72" s="16"/>
      <c r="IAG72" s="16"/>
      <c r="IAH72" s="16"/>
      <c r="IAI72" s="16"/>
      <c r="IAJ72" s="16"/>
      <c r="IAK72" s="16"/>
      <c r="IAL72" s="16"/>
      <c r="IAM72" s="16"/>
      <c r="IAN72" s="16"/>
      <c r="IAO72" s="16"/>
      <c r="IAP72" s="16"/>
      <c r="IAQ72" s="16"/>
      <c r="IAR72" s="16"/>
      <c r="IAS72" s="16"/>
      <c r="IAT72" s="16"/>
      <c r="IAU72" s="16"/>
      <c r="IAV72" s="16"/>
      <c r="IAW72" s="16"/>
      <c r="IAX72" s="16"/>
      <c r="IAY72" s="16"/>
      <c r="IAZ72" s="16"/>
      <c r="IBA72" s="16"/>
      <c r="IBB72" s="16"/>
      <c r="IBC72" s="16"/>
      <c r="IBD72" s="16"/>
      <c r="IBE72" s="16"/>
      <c r="IBF72" s="16"/>
      <c r="IBG72" s="16"/>
      <c r="IBH72" s="16"/>
      <c r="IBI72" s="16"/>
      <c r="IBJ72" s="16"/>
      <c r="IBK72" s="16"/>
      <c r="IBL72" s="16"/>
      <c r="IBM72" s="16"/>
      <c r="IBN72" s="16"/>
      <c r="IBO72" s="16"/>
      <c r="IBP72" s="16"/>
      <c r="IBQ72" s="16"/>
      <c r="IBR72" s="16"/>
      <c r="IBS72" s="16"/>
      <c r="IBT72" s="16"/>
      <c r="IBU72" s="16"/>
      <c r="IBV72" s="16"/>
      <c r="IBW72" s="16"/>
      <c r="IBX72" s="16"/>
      <c r="IBY72" s="16"/>
      <c r="IBZ72" s="16"/>
      <c r="ICA72" s="16"/>
      <c r="ICB72" s="16"/>
      <c r="ICC72" s="16"/>
      <c r="ICD72" s="16"/>
      <c r="ICE72" s="16"/>
      <c r="ICF72" s="16"/>
      <c r="ICG72" s="16"/>
      <c r="ICH72" s="16"/>
      <c r="ICI72" s="16"/>
      <c r="ICJ72" s="16"/>
      <c r="ICK72" s="16"/>
      <c r="ICL72" s="16"/>
      <c r="ICM72" s="16"/>
      <c r="ICN72" s="16"/>
      <c r="ICO72" s="16"/>
      <c r="ICP72" s="16"/>
      <c r="ICQ72" s="16"/>
      <c r="ICR72" s="16"/>
      <c r="ICS72" s="16"/>
      <c r="ICT72" s="16"/>
      <c r="ICU72" s="16"/>
      <c r="ICV72" s="16"/>
      <c r="ICW72" s="16"/>
      <c r="ICX72" s="16"/>
      <c r="ICY72" s="16"/>
      <c r="ICZ72" s="16"/>
      <c r="IDA72" s="16"/>
      <c r="IDB72" s="16"/>
      <c r="IDC72" s="16"/>
      <c r="IDD72" s="16"/>
      <c r="IDE72" s="16"/>
      <c r="IDF72" s="16"/>
      <c r="IDG72" s="16"/>
      <c r="IDH72" s="16"/>
      <c r="IDI72" s="16"/>
      <c r="IDJ72" s="16"/>
      <c r="IDK72" s="16"/>
      <c r="IDL72" s="16"/>
      <c r="IDM72" s="16"/>
      <c r="IDN72" s="16"/>
      <c r="IDO72" s="16"/>
      <c r="IDP72" s="16"/>
      <c r="IDQ72" s="16"/>
      <c r="IDR72" s="16"/>
      <c r="IDS72" s="16"/>
      <c r="IDT72" s="16"/>
      <c r="IDU72" s="16"/>
      <c r="IDV72" s="16"/>
      <c r="IDW72" s="16"/>
      <c r="IDX72" s="16"/>
      <c r="IDY72" s="16"/>
      <c r="IDZ72" s="16"/>
      <c r="IEA72" s="16"/>
      <c r="IEB72" s="16"/>
      <c r="IEC72" s="16"/>
      <c r="IED72" s="16"/>
      <c r="IEE72" s="16"/>
      <c r="IEF72" s="16"/>
      <c r="IEG72" s="16"/>
      <c r="IEH72" s="16"/>
      <c r="IEI72" s="16"/>
      <c r="IEJ72" s="16"/>
      <c r="IEK72" s="16"/>
      <c r="IEL72" s="16"/>
      <c r="IEM72" s="16"/>
      <c r="IEN72" s="16"/>
      <c r="IEO72" s="16"/>
      <c r="IEP72" s="16"/>
      <c r="IEQ72" s="16"/>
      <c r="IER72" s="16"/>
      <c r="IES72" s="16"/>
      <c r="IET72" s="16"/>
      <c r="IEU72" s="16"/>
      <c r="IEV72" s="16"/>
      <c r="IEW72" s="16"/>
      <c r="IEX72" s="16"/>
      <c r="IEY72" s="16"/>
      <c r="IEZ72" s="16"/>
      <c r="IFA72" s="16"/>
      <c r="IFB72" s="16"/>
      <c r="IFC72" s="16"/>
      <c r="IFD72" s="16"/>
      <c r="IFE72" s="16"/>
      <c r="IFF72" s="16"/>
      <c r="IFG72" s="16"/>
      <c r="IFH72" s="16"/>
      <c r="IFI72" s="16"/>
      <c r="IFJ72" s="16"/>
      <c r="IFK72" s="16"/>
      <c r="IFL72" s="16"/>
      <c r="IFM72" s="16"/>
      <c r="IFN72" s="16"/>
      <c r="IFO72" s="16"/>
      <c r="IFP72" s="16"/>
      <c r="IFQ72" s="16"/>
      <c r="IFR72" s="16"/>
      <c r="IFS72" s="16"/>
      <c r="IFT72" s="16"/>
      <c r="IFU72" s="16"/>
      <c r="IFV72" s="16"/>
      <c r="IFW72" s="16"/>
      <c r="IFX72" s="16"/>
      <c r="IFY72" s="16"/>
      <c r="IFZ72" s="16"/>
      <c r="IGA72" s="16"/>
      <c r="IGB72" s="16"/>
      <c r="IGC72" s="16"/>
      <c r="IGD72" s="16"/>
      <c r="IGE72" s="16"/>
      <c r="IGF72" s="16"/>
      <c r="IGG72" s="16"/>
      <c r="IGH72" s="16"/>
      <c r="IGI72" s="16"/>
      <c r="IGJ72" s="16"/>
      <c r="IGK72" s="16"/>
      <c r="IGL72" s="16"/>
      <c r="IGM72" s="16"/>
      <c r="IGN72" s="16"/>
      <c r="IGO72" s="16"/>
      <c r="IGP72" s="16"/>
      <c r="IGQ72" s="16"/>
      <c r="IGR72" s="16"/>
      <c r="IGS72" s="16"/>
      <c r="IGT72" s="16"/>
      <c r="IGU72" s="16"/>
      <c r="IGV72" s="16"/>
      <c r="IGW72" s="16"/>
      <c r="IGX72" s="16"/>
      <c r="IGY72" s="16"/>
      <c r="IGZ72" s="16"/>
      <c r="IHA72" s="16"/>
      <c r="IHB72" s="16"/>
      <c r="IHC72" s="16"/>
      <c r="IHD72" s="16"/>
      <c r="IHE72" s="16"/>
      <c r="IHF72" s="16"/>
      <c r="IHG72" s="16"/>
      <c r="IHH72" s="16"/>
      <c r="IHI72" s="16"/>
      <c r="IHJ72" s="16"/>
      <c r="IHK72" s="16"/>
      <c r="IHL72" s="16"/>
      <c r="IHM72" s="16"/>
      <c r="IHN72" s="16"/>
      <c r="IHO72" s="16"/>
      <c r="IHP72" s="16"/>
      <c r="IHQ72" s="16"/>
      <c r="IHR72" s="16"/>
      <c r="IHS72" s="16"/>
      <c r="IHT72" s="16"/>
      <c r="IHU72" s="16"/>
      <c r="IHV72" s="16"/>
      <c r="IHW72" s="16"/>
      <c r="IHX72" s="16"/>
      <c r="IHY72" s="16"/>
      <c r="IHZ72" s="16"/>
      <c r="IIA72" s="16"/>
      <c r="IIB72" s="16"/>
      <c r="IIC72" s="16"/>
      <c r="IID72" s="16"/>
      <c r="IIE72" s="16"/>
      <c r="IIF72" s="16"/>
      <c r="IIG72" s="16"/>
      <c r="IIH72" s="16"/>
      <c r="III72" s="16"/>
      <c r="IIJ72" s="16"/>
      <c r="IIK72" s="16"/>
      <c r="IIL72" s="16"/>
      <c r="IIM72" s="16"/>
      <c r="IIN72" s="16"/>
      <c r="IIO72" s="16"/>
      <c r="IIP72" s="16"/>
      <c r="IIQ72" s="16"/>
      <c r="IIR72" s="16"/>
      <c r="IIS72" s="16"/>
      <c r="IIT72" s="16"/>
      <c r="IIU72" s="16"/>
      <c r="IIV72" s="16"/>
      <c r="IIW72" s="16"/>
      <c r="IIX72" s="16"/>
      <c r="IIY72" s="16"/>
      <c r="IIZ72" s="16"/>
      <c r="IJA72" s="16"/>
      <c r="IJB72" s="16"/>
      <c r="IJC72" s="16"/>
      <c r="IJD72" s="16"/>
      <c r="IJE72" s="16"/>
      <c r="IJF72" s="16"/>
      <c r="IJG72" s="16"/>
      <c r="IJH72" s="16"/>
      <c r="IJI72" s="16"/>
      <c r="IJJ72" s="16"/>
      <c r="IJK72" s="16"/>
      <c r="IJL72" s="16"/>
      <c r="IJM72" s="16"/>
      <c r="IJN72" s="16"/>
      <c r="IJO72" s="16"/>
      <c r="IJP72" s="16"/>
      <c r="IJQ72" s="16"/>
      <c r="IJR72" s="16"/>
      <c r="IJS72" s="16"/>
      <c r="IJT72" s="16"/>
      <c r="IJU72" s="16"/>
      <c r="IJV72" s="16"/>
      <c r="IJW72" s="16"/>
      <c r="IJX72" s="16"/>
      <c r="IJY72" s="16"/>
      <c r="IJZ72" s="16"/>
      <c r="IKA72" s="16"/>
      <c r="IKB72" s="16"/>
      <c r="IKC72" s="16"/>
      <c r="IKD72" s="16"/>
      <c r="IKE72" s="16"/>
      <c r="IKF72" s="16"/>
      <c r="IKG72" s="16"/>
      <c r="IKH72" s="16"/>
      <c r="IKI72" s="16"/>
      <c r="IKJ72" s="16"/>
      <c r="IKK72" s="16"/>
      <c r="IKL72" s="16"/>
      <c r="IKM72" s="16"/>
      <c r="IKN72" s="16"/>
      <c r="IKO72" s="16"/>
      <c r="IKP72" s="16"/>
      <c r="IKQ72" s="16"/>
      <c r="IKR72" s="16"/>
      <c r="IKS72" s="16"/>
      <c r="IKT72" s="16"/>
      <c r="IKU72" s="16"/>
      <c r="IKV72" s="16"/>
      <c r="IKW72" s="16"/>
      <c r="IKX72" s="16"/>
      <c r="IKY72" s="16"/>
      <c r="IKZ72" s="16"/>
      <c r="ILA72" s="16"/>
      <c r="ILB72" s="16"/>
      <c r="ILC72" s="16"/>
      <c r="ILD72" s="16"/>
      <c r="ILE72" s="16"/>
      <c r="ILF72" s="16"/>
      <c r="ILG72" s="16"/>
      <c r="ILH72" s="16"/>
      <c r="ILI72" s="16"/>
      <c r="ILJ72" s="16"/>
      <c r="ILK72" s="16"/>
      <c r="ILL72" s="16"/>
      <c r="ILM72" s="16"/>
      <c r="ILN72" s="16"/>
      <c r="ILO72" s="16"/>
      <c r="ILP72" s="16"/>
      <c r="ILQ72" s="16"/>
      <c r="ILR72" s="16"/>
      <c r="ILS72" s="16"/>
      <c r="ILT72" s="16"/>
      <c r="ILU72" s="16"/>
      <c r="ILV72" s="16"/>
      <c r="ILW72" s="16"/>
      <c r="ILX72" s="16"/>
      <c r="ILY72" s="16"/>
      <c r="ILZ72" s="16"/>
      <c r="IMA72" s="16"/>
      <c r="IMB72" s="16"/>
      <c r="IMC72" s="16"/>
      <c r="IMD72" s="16"/>
      <c r="IME72" s="16"/>
      <c r="IMF72" s="16"/>
      <c r="IMG72" s="16"/>
      <c r="IMH72" s="16"/>
      <c r="IMI72" s="16"/>
      <c r="IMJ72" s="16"/>
      <c r="IMK72" s="16"/>
      <c r="IML72" s="16"/>
      <c r="IMM72" s="16"/>
      <c r="IMN72" s="16"/>
      <c r="IMO72" s="16"/>
      <c r="IMP72" s="16"/>
      <c r="IMQ72" s="16"/>
      <c r="IMR72" s="16"/>
      <c r="IMS72" s="16"/>
      <c r="IMT72" s="16"/>
      <c r="IMU72" s="16"/>
      <c r="IMV72" s="16"/>
      <c r="IMW72" s="16"/>
      <c r="IMX72" s="16"/>
      <c r="IMY72" s="16"/>
      <c r="IMZ72" s="16"/>
      <c r="INA72" s="16"/>
      <c r="INB72" s="16"/>
      <c r="INC72" s="16"/>
      <c r="IND72" s="16"/>
      <c r="INE72" s="16"/>
      <c r="INF72" s="16"/>
      <c r="ING72" s="16"/>
      <c r="INH72" s="16"/>
      <c r="INI72" s="16"/>
      <c r="INJ72" s="16"/>
      <c r="INK72" s="16"/>
      <c r="INL72" s="16"/>
      <c r="INM72" s="16"/>
      <c r="INN72" s="16"/>
      <c r="INO72" s="16"/>
      <c r="INP72" s="16"/>
      <c r="INQ72" s="16"/>
      <c r="INR72" s="16"/>
      <c r="INS72" s="16"/>
      <c r="INT72" s="16"/>
      <c r="INU72" s="16"/>
      <c r="INV72" s="16"/>
      <c r="INW72" s="16"/>
      <c r="INX72" s="16"/>
      <c r="INY72" s="16"/>
      <c r="INZ72" s="16"/>
      <c r="IOA72" s="16"/>
      <c r="IOB72" s="16"/>
      <c r="IOC72" s="16"/>
      <c r="IOD72" s="16"/>
      <c r="IOE72" s="16"/>
      <c r="IOF72" s="16"/>
      <c r="IOG72" s="16"/>
      <c r="IOH72" s="16"/>
      <c r="IOI72" s="16"/>
      <c r="IOJ72" s="16"/>
      <c r="IOK72" s="16"/>
      <c r="IOL72" s="16"/>
      <c r="IOM72" s="16"/>
      <c r="ION72" s="16"/>
      <c r="IOO72" s="16"/>
      <c r="IOP72" s="16"/>
      <c r="IOQ72" s="16"/>
      <c r="IOR72" s="16"/>
      <c r="IOS72" s="16"/>
      <c r="IOT72" s="16"/>
      <c r="IOU72" s="16"/>
      <c r="IOV72" s="16"/>
      <c r="IOW72" s="16"/>
      <c r="IOX72" s="16"/>
      <c r="IOY72" s="16"/>
      <c r="IOZ72" s="16"/>
      <c r="IPA72" s="16"/>
      <c r="IPB72" s="16"/>
      <c r="IPC72" s="16"/>
      <c r="IPD72" s="16"/>
      <c r="IPE72" s="16"/>
      <c r="IPF72" s="16"/>
      <c r="IPG72" s="16"/>
      <c r="IPH72" s="16"/>
      <c r="IPI72" s="16"/>
      <c r="IPJ72" s="16"/>
      <c r="IPK72" s="16"/>
      <c r="IPL72" s="16"/>
      <c r="IPM72" s="16"/>
      <c r="IPN72" s="16"/>
      <c r="IPO72" s="16"/>
      <c r="IPP72" s="16"/>
      <c r="IPQ72" s="16"/>
      <c r="IPR72" s="16"/>
      <c r="IPS72" s="16"/>
      <c r="IPT72" s="16"/>
      <c r="IPU72" s="16"/>
      <c r="IPV72" s="16"/>
      <c r="IPW72" s="16"/>
      <c r="IPX72" s="16"/>
      <c r="IPY72" s="16"/>
      <c r="IPZ72" s="16"/>
      <c r="IQA72" s="16"/>
      <c r="IQB72" s="16"/>
      <c r="IQC72" s="16"/>
      <c r="IQD72" s="16"/>
      <c r="IQE72" s="16"/>
      <c r="IQF72" s="16"/>
      <c r="IQG72" s="16"/>
      <c r="IQH72" s="16"/>
      <c r="IQI72" s="16"/>
      <c r="IQJ72" s="16"/>
      <c r="IQK72" s="16"/>
      <c r="IQL72" s="16"/>
      <c r="IQM72" s="16"/>
      <c r="IQN72" s="16"/>
      <c r="IQO72" s="16"/>
      <c r="IQP72" s="16"/>
      <c r="IQQ72" s="16"/>
      <c r="IQR72" s="16"/>
      <c r="IQS72" s="16"/>
      <c r="IQT72" s="16"/>
      <c r="IQU72" s="16"/>
      <c r="IQV72" s="16"/>
      <c r="IQW72" s="16"/>
      <c r="IQX72" s="16"/>
      <c r="IQY72" s="16"/>
      <c r="IQZ72" s="16"/>
      <c r="IRA72" s="16"/>
      <c r="IRB72" s="16"/>
      <c r="IRC72" s="16"/>
      <c r="IRD72" s="16"/>
      <c r="IRE72" s="16"/>
      <c r="IRF72" s="16"/>
      <c r="IRG72" s="16"/>
      <c r="IRH72" s="16"/>
      <c r="IRI72" s="16"/>
      <c r="IRJ72" s="16"/>
      <c r="IRK72" s="16"/>
      <c r="IRL72" s="16"/>
      <c r="IRM72" s="16"/>
      <c r="IRN72" s="16"/>
      <c r="IRO72" s="16"/>
      <c r="IRP72" s="16"/>
      <c r="IRQ72" s="16"/>
      <c r="IRR72" s="16"/>
      <c r="IRS72" s="16"/>
      <c r="IRT72" s="16"/>
      <c r="IRU72" s="16"/>
      <c r="IRV72" s="16"/>
      <c r="IRW72" s="16"/>
      <c r="IRX72" s="16"/>
      <c r="IRY72" s="16"/>
      <c r="IRZ72" s="16"/>
      <c r="ISA72" s="16"/>
      <c r="ISB72" s="16"/>
      <c r="ISC72" s="16"/>
      <c r="ISD72" s="16"/>
      <c r="ISE72" s="16"/>
      <c r="ISF72" s="16"/>
      <c r="ISG72" s="16"/>
      <c r="ISH72" s="16"/>
      <c r="ISI72" s="16"/>
      <c r="ISJ72" s="16"/>
      <c r="ISK72" s="16"/>
      <c r="ISL72" s="16"/>
      <c r="ISM72" s="16"/>
      <c r="ISN72" s="16"/>
      <c r="ISO72" s="16"/>
      <c r="ISP72" s="16"/>
      <c r="ISQ72" s="16"/>
      <c r="ISR72" s="16"/>
      <c r="ISS72" s="16"/>
      <c r="IST72" s="16"/>
      <c r="ISU72" s="16"/>
      <c r="ISV72" s="16"/>
      <c r="ISW72" s="16"/>
      <c r="ISX72" s="16"/>
      <c r="ISY72" s="16"/>
      <c r="ISZ72" s="16"/>
      <c r="ITA72" s="16"/>
      <c r="ITB72" s="16"/>
      <c r="ITC72" s="16"/>
      <c r="ITD72" s="16"/>
      <c r="ITE72" s="16"/>
      <c r="ITF72" s="16"/>
      <c r="ITG72" s="16"/>
      <c r="ITH72" s="16"/>
      <c r="ITI72" s="16"/>
      <c r="ITJ72" s="16"/>
      <c r="ITK72" s="16"/>
      <c r="ITL72" s="16"/>
      <c r="ITM72" s="16"/>
      <c r="ITN72" s="16"/>
      <c r="ITO72" s="16"/>
      <c r="ITP72" s="16"/>
      <c r="ITQ72" s="16"/>
      <c r="ITR72" s="16"/>
      <c r="ITS72" s="16"/>
      <c r="ITT72" s="16"/>
      <c r="ITU72" s="16"/>
      <c r="ITV72" s="16"/>
      <c r="ITW72" s="16"/>
      <c r="ITX72" s="16"/>
      <c r="ITY72" s="16"/>
      <c r="ITZ72" s="16"/>
      <c r="IUA72" s="16"/>
      <c r="IUB72" s="16"/>
      <c r="IUC72" s="16"/>
      <c r="IUD72" s="16"/>
      <c r="IUE72" s="16"/>
      <c r="IUF72" s="16"/>
      <c r="IUG72" s="16"/>
      <c r="IUH72" s="16"/>
      <c r="IUI72" s="16"/>
      <c r="IUJ72" s="16"/>
      <c r="IUK72" s="16"/>
      <c r="IUL72" s="16"/>
      <c r="IUM72" s="16"/>
      <c r="IUN72" s="16"/>
      <c r="IUO72" s="16"/>
      <c r="IUP72" s="16"/>
      <c r="IUQ72" s="16"/>
      <c r="IUR72" s="16"/>
      <c r="IUS72" s="16"/>
      <c r="IUT72" s="16"/>
      <c r="IUU72" s="16"/>
      <c r="IUV72" s="16"/>
      <c r="IUW72" s="16"/>
      <c r="IUX72" s="16"/>
      <c r="IUY72" s="16"/>
      <c r="IUZ72" s="16"/>
      <c r="IVA72" s="16"/>
      <c r="IVB72" s="16"/>
      <c r="IVC72" s="16"/>
      <c r="IVD72" s="16"/>
      <c r="IVE72" s="16"/>
      <c r="IVF72" s="16"/>
      <c r="IVG72" s="16"/>
      <c r="IVH72" s="16"/>
      <c r="IVI72" s="16"/>
      <c r="IVJ72" s="16"/>
      <c r="IVK72" s="16"/>
      <c r="IVL72" s="16"/>
      <c r="IVM72" s="16"/>
      <c r="IVN72" s="16"/>
      <c r="IVO72" s="16"/>
      <c r="IVP72" s="16"/>
      <c r="IVQ72" s="16"/>
      <c r="IVR72" s="16"/>
      <c r="IVS72" s="16"/>
      <c r="IVT72" s="16"/>
      <c r="IVU72" s="16"/>
      <c r="IVV72" s="16"/>
      <c r="IVW72" s="16"/>
      <c r="IVX72" s="16"/>
      <c r="IVY72" s="16"/>
      <c r="IVZ72" s="16"/>
      <c r="IWA72" s="16"/>
      <c r="IWB72" s="16"/>
      <c r="IWC72" s="16"/>
      <c r="IWD72" s="16"/>
      <c r="IWE72" s="16"/>
      <c r="IWF72" s="16"/>
      <c r="IWG72" s="16"/>
      <c r="IWH72" s="16"/>
      <c r="IWI72" s="16"/>
      <c r="IWJ72" s="16"/>
      <c r="IWK72" s="16"/>
      <c r="IWL72" s="16"/>
      <c r="IWM72" s="16"/>
      <c r="IWN72" s="16"/>
      <c r="IWO72" s="16"/>
      <c r="IWP72" s="16"/>
      <c r="IWQ72" s="16"/>
      <c r="IWR72" s="16"/>
      <c r="IWS72" s="16"/>
      <c r="IWT72" s="16"/>
      <c r="IWU72" s="16"/>
      <c r="IWV72" s="16"/>
      <c r="IWW72" s="16"/>
      <c r="IWX72" s="16"/>
      <c r="IWY72" s="16"/>
      <c r="IWZ72" s="16"/>
      <c r="IXA72" s="16"/>
      <c r="IXB72" s="16"/>
      <c r="IXC72" s="16"/>
      <c r="IXD72" s="16"/>
      <c r="IXE72" s="16"/>
      <c r="IXF72" s="16"/>
      <c r="IXG72" s="16"/>
      <c r="IXH72" s="16"/>
      <c r="IXI72" s="16"/>
      <c r="IXJ72" s="16"/>
      <c r="IXK72" s="16"/>
      <c r="IXL72" s="16"/>
      <c r="IXM72" s="16"/>
      <c r="IXN72" s="16"/>
      <c r="IXO72" s="16"/>
      <c r="IXP72" s="16"/>
      <c r="IXQ72" s="16"/>
      <c r="IXR72" s="16"/>
      <c r="IXS72" s="16"/>
      <c r="IXT72" s="16"/>
      <c r="IXU72" s="16"/>
      <c r="IXV72" s="16"/>
      <c r="IXW72" s="16"/>
      <c r="IXX72" s="16"/>
      <c r="IXY72" s="16"/>
      <c r="IXZ72" s="16"/>
      <c r="IYA72" s="16"/>
      <c r="IYB72" s="16"/>
      <c r="IYC72" s="16"/>
      <c r="IYD72" s="16"/>
      <c r="IYE72" s="16"/>
      <c r="IYF72" s="16"/>
      <c r="IYG72" s="16"/>
      <c r="IYH72" s="16"/>
      <c r="IYI72" s="16"/>
      <c r="IYJ72" s="16"/>
      <c r="IYK72" s="16"/>
      <c r="IYL72" s="16"/>
      <c r="IYM72" s="16"/>
      <c r="IYN72" s="16"/>
      <c r="IYO72" s="16"/>
      <c r="IYP72" s="16"/>
      <c r="IYQ72" s="16"/>
      <c r="IYR72" s="16"/>
      <c r="IYS72" s="16"/>
      <c r="IYT72" s="16"/>
      <c r="IYU72" s="16"/>
      <c r="IYV72" s="16"/>
      <c r="IYW72" s="16"/>
      <c r="IYX72" s="16"/>
      <c r="IYY72" s="16"/>
      <c r="IYZ72" s="16"/>
      <c r="IZA72" s="16"/>
      <c r="IZB72" s="16"/>
      <c r="IZC72" s="16"/>
      <c r="IZD72" s="16"/>
      <c r="IZE72" s="16"/>
      <c r="IZF72" s="16"/>
      <c r="IZG72" s="16"/>
      <c r="IZH72" s="16"/>
      <c r="IZI72" s="16"/>
      <c r="IZJ72" s="16"/>
      <c r="IZK72" s="16"/>
      <c r="IZL72" s="16"/>
      <c r="IZM72" s="16"/>
      <c r="IZN72" s="16"/>
      <c r="IZO72" s="16"/>
      <c r="IZP72" s="16"/>
      <c r="IZQ72" s="16"/>
      <c r="IZR72" s="16"/>
      <c r="IZS72" s="16"/>
      <c r="IZT72" s="16"/>
      <c r="IZU72" s="16"/>
      <c r="IZV72" s="16"/>
      <c r="IZW72" s="16"/>
      <c r="IZX72" s="16"/>
      <c r="IZY72" s="16"/>
      <c r="IZZ72" s="16"/>
      <c r="JAA72" s="16"/>
      <c r="JAB72" s="16"/>
      <c r="JAC72" s="16"/>
      <c r="JAD72" s="16"/>
      <c r="JAE72" s="16"/>
      <c r="JAF72" s="16"/>
      <c r="JAG72" s="16"/>
      <c r="JAH72" s="16"/>
      <c r="JAI72" s="16"/>
      <c r="JAJ72" s="16"/>
      <c r="JAK72" s="16"/>
      <c r="JAL72" s="16"/>
      <c r="JAM72" s="16"/>
      <c r="JAN72" s="16"/>
      <c r="JAO72" s="16"/>
      <c r="JAP72" s="16"/>
      <c r="JAQ72" s="16"/>
      <c r="JAR72" s="16"/>
      <c r="JAS72" s="16"/>
      <c r="JAT72" s="16"/>
      <c r="JAU72" s="16"/>
      <c r="JAV72" s="16"/>
      <c r="JAW72" s="16"/>
      <c r="JAX72" s="16"/>
      <c r="JAY72" s="16"/>
      <c r="JAZ72" s="16"/>
      <c r="JBA72" s="16"/>
      <c r="JBB72" s="16"/>
      <c r="JBC72" s="16"/>
      <c r="JBD72" s="16"/>
      <c r="JBE72" s="16"/>
      <c r="JBF72" s="16"/>
      <c r="JBG72" s="16"/>
      <c r="JBH72" s="16"/>
      <c r="JBI72" s="16"/>
      <c r="JBJ72" s="16"/>
      <c r="JBK72" s="16"/>
      <c r="JBL72" s="16"/>
      <c r="JBM72" s="16"/>
      <c r="JBN72" s="16"/>
      <c r="JBO72" s="16"/>
      <c r="JBP72" s="16"/>
      <c r="JBQ72" s="16"/>
      <c r="JBR72" s="16"/>
      <c r="JBS72" s="16"/>
      <c r="JBT72" s="16"/>
      <c r="JBU72" s="16"/>
      <c r="JBV72" s="16"/>
      <c r="JBW72" s="16"/>
      <c r="JBX72" s="16"/>
      <c r="JBY72" s="16"/>
      <c r="JBZ72" s="16"/>
      <c r="JCA72" s="16"/>
      <c r="JCB72" s="16"/>
      <c r="JCC72" s="16"/>
      <c r="JCD72" s="16"/>
      <c r="JCE72" s="16"/>
      <c r="JCF72" s="16"/>
      <c r="JCG72" s="16"/>
      <c r="JCH72" s="16"/>
      <c r="JCI72" s="16"/>
      <c r="JCJ72" s="16"/>
      <c r="JCK72" s="16"/>
      <c r="JCL72" s="16"/>
      <c r="JCM72" s="16"/>
      <c r="JCN72" s="16"/>
      <c r="JCO72" s="16"/>
      <c r="JCP72" s="16"/>
      <c r="JCQ72" s="16"/>
      <c r="JCR72" s="16"/>
      <c r="JCS72" s="16"/>
      <c r="JCT72" s="16"/>
      <c r="JCU72" s="16"/>
      <c r="JCV72" s="16"/>
      <c r="JCW72" s="16"/>
      <c r="JCX72" s="16"/>
      <c r="JCY72" s="16"/>
      <c r="JCZ72" s="16"/>
      <c r="JDA72" s="16"/>
      <c r="JDB72" s="16"/>
      <c r="JDC72" s="16"/>
      <c r="JDD72" s="16"/>
      <c r="JDE72" s="16"/>
      <c r="JDF72" s="16"/>
      <c r="JDG72" s="16"/>
      <c r="JDH72" s="16"/>
      <c r="JDI72" s="16"/>
      <c r="JDJ72" s="16"/>
      <c r="JDK72" s="16"/>
      <c r="JDL72" s="16"/>
      <c r="JDM72" s="16"/>
      <c r="JDN72" s="16"/>
      <c r="JDO72" s="16"/>
      <c r="JDP72" s="16"/>
      <c r="JDQ72" s="16"/>
      <c r="JDR72" s="16"/>
      <c r="JDS72" s="16"/>
      <c r="JDT72" s="16"/>
      <c r="JDU72" s="16"/>
      <c r="JDV72" s="16"/>
      <c r="JDW72" s="16"/>
      <c r="JDX72" s="16"/>
      <c r="JDY72" s="16"/>
      <c r="JDZ72" s="16"/>
      <c r="JEA72" s="16"/>
      <c r="JEB72" s="16"/>
      <c r="JEC72" s="16"/>
      <c r="JED72" s="16"/>
      <c r="JEE72" s="16"/>
      <c r="JEF72" s="16"/>
      <c r="JEG72" s="16"/>
      <c r="JEH72" s="16"/>
      <c r="JEI72" s="16"/>
      <c r="JEJ72" s="16"/>
      <c r="JEK72" s="16"/>
      <c r="JEL72" s="16"/>
      <c r="JEM72" s="16"/>
      <c r="JEN72" s="16"/>
      <c r="JEO72" s="16"/>
      <c r="JEP72" s="16"/>
      <c r="JEQ72" s="16"/>
      <c r="JER72" s="16"/>
      <c r="JES72" s="16"/>
      <c r="JET72" s="16"/>
      <c r="JEU72" s="16"/>
      <c r="JEV72" s="16"/>
      <c r="JEW72" s="16"/>
      <c r="JEX72" s="16"/>
      <c r="JEY72" s="16"/>
      <c r="JEZ72" s="16"/>
      <c r="JFA72" s="16"/>
      <c r="JFB72" s="16"/>
      <c r="JFC72" s="16"/>
      <c r="JFD72" s="16"/>
      <c r="JFE72" s="16"/>
      <c r="JFF72" s="16"/>
      <c r="JFG72" s="16"/>
      <c r="JFH72" s="16"/>
      <c r="JFI72" s="16"/>
      <c r="JFJ72" s="16"/>
      <c r="JFK72" s="16"/>
      <c r="JFL72" s="16"/>
      <c r="JFM72" s="16"/>
      <c r="JFN72" s="16"/>
      <c r="JFO72" s="16"/>
      <c r="JFP72" s="16"/>
      <c r="JFQ72" s="16"/>
      <c r="JFR72" s="16"/>
      <c r="JFS72" s="16"/>
      <c r="JFT72" s="16"/>
      <c r="JFU72" s="16"/>
      <c r="JFV72" s="16"/>
      <c r="JFW72" s="16"/>
      <c r="JFX72" s="16"/>
      <c r="JFY72" s="16"/>
      <c r="JFZ72" s="16"/>
      <c r="JGA72" s="16"/>
      <c r="JGB72" s="16"/>
      <c r="JGC72" s="16"/>
      <c r="JGD72" s="16"/>
      <c r="JGE72" s="16"/>
      <c r="JGF72" s="16"/>
      <c r="JGG72" s="16"/>
      <c r="JGH72" s="16"/>
      <c r="JGI72" s="16"/>
      <c r="JGJ72" s="16"/>
      <c r="JGK72" s="16"/>
      <c r="JGL72" s="16"/>
      <c r="JGM72" s="16"/>
      <c r="JGN72" s="16"/>
      <c r="JGO72" s="16"/>
      <c r="JGP72" s="16"/>
      <c r="JGQ72" s="16"/>
      <c r="JGR72" s="16"/>
      <c r="JGS72" s="16"/>
      <c r="JGT72" s="16"/>
      <c r="JGU72" s="16"/>
      <c r="JGV72" s="16"/>
      <c r="JGW72" s="16"/>
      <c r="JGX72" s="16"/>
      <c r="JGY72" s="16"/>
      <c r="JGZ72" s="16"/>
      <c r="JHA72" s="16"/>
      <c r="JHB72" s="16"/>
      <c r="JHC72" s="16"/>
      <c r="JHD72" s="16"/>
      <c r="JHE72" s="16"/>
      <c r="JHF72" s="16"/>
      <c r="JHG72" s="16"/>
      <c r="JHH72" s="16"/>
      <c r="JHI72" s="16"/>
      <c r="JHJ72" s="16"/>
      <c r="JHK72" s="16"/>
      <c r="JHL72" s="16"/>
      <c r="JHM72" s="16"/>
      <c r="JHN72" s="16"/>
      <c r="JHO72" s="16"/>
      <c r="JHP72" s="16"/>
      <c r="JHQ72" s="16"/>
      <c r="JHR72" s="16"/>
      <c r="JHS72" s="16"/>
      <c r="JHT72" s="16"/>
      <c r="JHU72" s="16"/>
      <c r="JHV72" s="16"/>
      <c r="JHW72" s="16"/>
      <c r="JHX72" s="16"/>
      <c r="JHY72" s="16"/>
      <c r="JHZ72" s="16"/>
      <c r="JIA72" s="16"/>
      <c r="JIB72" s="16"/>
      <c r="JIC72" s="16"/>
      <c r="JID72" s="16"/>
      <c r="JIE72" s="16"/>
      <c r="JIF72" s="16"/>
      <c r="JIG72" s="16"/>
      <c r="JIH72" s="16"/>
      <c r="JII72" s="16"/>
      <c r="JIJ72" s="16"/>
      <c r="JIK72" s="16"/>
      <c r="JIL72" s="16"/>
      <c r="JIM72" s="16"/>
      <c r="JIN72" s="16"/>
      <c r="JIO72" s="16"/>
      <c r="JIP72" s="16"/>
      <c r="JIQ72" s="16"/>
      <c r="JIR72" s="16"/>
      <c r="JIS72" s="16"/>
      <c r="JIT72" s="16"/>
      <c r="JIU72" s="16"/>
      <c r="JIV72" s="16"/>
      <c r="JIW72" s="16"/>
      <c r="JIX72" s="16"/>
      <c r="JIY72" s="16"/>
      <c r="JIZ72" s="16"/>
      <c r="JJA72" s="16"/>
      <c r="JJB72" s="16"/>
      <c r="JJC72" s="16"/>
      <c r="JJD72" s="16"/>
      <c r="JJE72" s="16"/>
      <c r="JJF72" s="16"/>
      <c r="JJG72" s="16"/>
      <c r="JJH72" s="16"/>
      <c r="JJI72" s="16"/>
      <c r="JJJ72" s="16"/>
      <c r="JJK72" s="16"/>
      <c r="JJL72" s="16"/>
      <c r="JJM72" s="16"/>
      <c r="JJN72" s="16"/>
      <c r="JJO72" s="16"/>
      <c r="JJP72" s="16"/>
      <c r="JJQ72" s="16"/>
      <c r="JJR72" s="16"/>
      <c r="JJS72" s="16"/>
      <c r="JJT72" s="16"/>
      <c r="JJU72" s="16"/>
      <c r="JJV72" s="16"/>
      <c r="JJW72" s="16"/>
      <c r="JJX72" s="16"/>
      <c r="JJY72" s="16"/>
      <c r="JJZ72" s="16"/>
      <c r="JKA72" s="16"/>
      <c r="JKB72" s="16"/>
      <c r="JKC72" s="16"/>
      <c r="JKD72" s="16"/>
      <c r="JKE72" s="16"/>
      <c r="JKF72" s="16"/>
      <c r="JKG72" s="16"/>
      <c r="JKH72" s="16"/>
      <c r="JKI72" s="16"/>
      <c r="JKJ72" s="16"/>
      <c r="JKK72" s="16"/>
      <c r="JKL72" s="16"/>
      <c r="JKM72" s="16"/>
      <c r="JKN72" s="16"/>
      <c r="JKO72" s="16"/>
      <c r="JKP72" s="16"/>
      <c r="JKQ72" s="16"/>
      <c r="JKR72" s="16"/>
      <c r="JKS72" s="16"/>
      <c r="JKT72" s="16"/>
      <c r="JKU72" s="16"/>
      <c r="JKV72" s="16"/>
      <c r="JKW72" s="16"/>
      <c r="JKX72" s="16"/>
      <c r="JKY72" s="16"/>
      <c r="JKZ72" s="16"/>
      <c r="JLA72" s="16"/>
      <c r="JLB72" s="16"/>
      <c r="JLC72" s="16"/>
      <c r="JLD72" s="16"/>
      <c r="JLE72" s="16"/>
      <c r="JLF72" s="16"/>
      <c r="JLG72" s="16"/>
      <c r="JLH72" s="16"/>
      <c r="JLI72" s="16"/>
      <c r="JLJ72" s="16"/>
      <c r="JLK72" s="16"/>
      <c r="JLL72" s="16"/>
      <c r="JLM72" s="16"/>
      <c r="JLN72" s="16"/>
      <c r="JLO72" s="16"/>
      <c r="JLP72" s="16"/>
      <c r="JLQ72" s="16"/>
      <c r="JLR72" s="16"/>
      <c r="JLS72" s="16"/>
      <c r="JLT72" s="16"/>
      <c r="JLU72" s="16"/>
      <c r="JLV72" s="16"/>
      <c r="JLW72" s="16"/>
      <c r="JLX72" s="16"/>
      <c r="JLY72" s="16"/>
      <c r="JLZ72" s="16"/>
      <c r="JMA72" s="16"/>
      <c r="JMB72" s="16"/>
      <c r="JMC72" s="16"/>
      <c r="JMD72" s="16"/>
      <c r="JME72" s="16"/>
      <c r="JMF72" s="16"/>
      <c r="JMG72" s="16"/>
      <c r="JMH72" s="16"/>
      <c r="JMI72" s="16"/>
      <c r="JMJ72" s="16"/>
      <c r="JMK72" s="16"/>
      <c r="JML72" s="16"/>
      <c r="JMM72" s="16"/>
      <c r="JMN72" s="16"/>
      <c r="JMO72" s="16"/>
      <c r="JMP72" s="16"/>
      <c r="JMQ72" s="16"/>
      <c r="JMR72" s="16"/>
      <c r="JMS72" s="16"/>
      <c r="JMT72" s="16"/>
      <c r="JMU72" s="16"/>
      <c r="JMV72" s="16"/>
      <c r="JMW72" s="16"/>
      <c r="JMX72" s="16"/>
      <c r="JMY72" s="16"/>
      <c r="JMZ72" s="16"/>
      <c r="JNA72" s="16"/>
      <c r="JNB72" s="16"/>
      <c r="JNC72" s="16"/>
      <c r="JND72" s="16"/>
      <c r="JNE72" s="16"/>
      <c r="JNF72" s="16"/>
      <c r="JNG72" s="16"/>
      <c r="JNH72" s="16"/>
      <c r="JNI72" s="16"/>
      <c r="JNJ72" s="16"/>
      <c r="JNK72" s="16"/>
      <c r="JNL72" s="16"/>
      <c r="JNM72" s="16"/>
      <c r="JNN72" s="16"/>
      <c r="JNO72" s="16"/>
      <c r="JNP72" s="16"/>
      <c r="JNQ72" s="16"/>
      <c r="JNR72" s="16"/>
      <c r="JNS72" s="16"/>
      <c r="JNT72" s="16"/>
      <c r="JNU72" s="16"/>
      <c r="JNV72" s="16"/>
      <c r="JNW72" s="16"/>
      <c r="JNX72" s="16"/>
      <c r="JNY72" s="16"/>
      <c r="JNZ72" s="16"/>
      <c r="JOA72" s="16"/>
      <c r="JOB72" s="16"/>
      <c r="JOC72" s="16"/>
      <c r="JOD72" s="16"/>
      <c r="JOE72" s="16"/>
      <c r="JOF72" s="16"/>
      <c r="JOG72" s="16"/>
      <c r="JOH72" s="16"/>
      <c r="JOI72" s="16"/>
      <c r="JOJ72" s="16"/>
      <c r="JOK72" s="16"/>
      <c r="JOL72" s="16"/>
      <c r="JOM72" s="16"/>
      <c r="JON72" s="16"/>
      <c r="JOO72" s="16"/>
      <c r="JOP72" s="16"/>
      <c r="JOQ72" s="16"/>
      <c r="JOR72" s="16"/>
      <c r="JOS72" s="16"/>
      <c r="JOT72" s="16"/>
      <c r="JOU72" s="16"/>
      <c r="JOV72" s="16"/>
      <c r="JOW72" s="16"/>
      <c r="JOX72" s="16"/>
      <c r="JOY72" s="16"/>
      <c r="JOZ72" s="16"/>
      <c r="JPA72" s="16"/>
      <c r="JPB72" s="16"/>
      <c r="JPC72" s="16"/>
      <c r="JPD72" s="16"/>
      <c r="JPE72" s="16"/>
      <c r="JPF72" s="16"/>
      <c r="JPG72" s="16"/>
      <c r="JPH72" s="16"/>
      <c r="JPI72" s="16"/>
      <c r="JPJ72" s="16"/>
      <c r="JPK72" s="16"/>
      <c r="JPL72" s="16"/>
      <c r="JPM72" s="16"/>
      <c r="JPN72" s="16"/>
      <c r="JPO72" s="16"/>
      <c r="JPP72" s="16"/>
      <c r="JPQ72" s="16"/>
      <c r="JPR72" s="16"/>
      <c r="JPS72" s="16"/>
      <c r="JPT72" s="16"/>
      <c r="JPU72" s="16"/>
      <c r="JPV72" s="16"/>
      <c r="JPW72" s="16"/>
      <c r="JPX72" s="16"/>
      <c r="JPY72" s="16"/>
      <c r="JPZ72" s="16"/>
      <c r="JQA72" s="16"/>
      <c r="JQB72" s="16"/>
      <c r="JQC72" s="16"/>
      <c r="JQD72" s="16"/>
      <c r="JQE72" s="16"/>
      <c r="JQF72" s="16"/>
      <c r="JQG72" s="16"/>
      <c r="JQH72" s="16"/>
      <c r="JQI72" s="16"/>
      <c r="JQJ72" s="16"/>
      <c r="JQK72" s="16"/>
      <c r="JQL72" s="16"/>
      <c r="JQM72" s="16"/>
      <c r="JQN72" s="16"/>
      <c r="JQO72" s="16"/>
      <c r="JQP72" s="16"/>
      <c r="JQQ72" s="16"/>
      <c r="JQR72" s="16"/>
      <c r="JQS72" s="16"/>
      <c r="JQT72" s="16"/>
      <c r="JQU72" s="16"/>
      <c r="JQV72" s="16"/>
      <c r="JQW72" s="16"/>
      <c r="JQX72" s="16"/>
      <c r="JQY72" s="16"/>
      <c r="JQZ72" s="16"/>
      <c r="JRA72" s="16"/>
      <c r="JRB72" s="16"/>
      <c r="JRC72" s="16"/>
      <c r="JRD72" s="16"/>
      <c r="JRE72" s="16"/>
      <c r="JRF72" s="16"/>
      <c r="JRG72" s="16"/>
      <c r="JRH72" s="16"/>
      <c r="JRI72" s="16"/>
      <c r="JRJ72" s="16"/>
      <c r="JRK72" s="16"/>
      <c r="JRL72" s="16"/>
      <c r="JRM72" s="16"/>
      <c r="JRN72" s="16"/>
      <c r="JRO72" s="16"/>
      <c r="JRP72" s="16"/>
      <c r="JRQ72" s="16"/>
      <c r="JRR72" s="16"/>
      <c r="JRS72" s="16"/>
      <c r="JRT72" s="16"/>
      <c r="JRU72" s="16"/>
      <c r="JRV72" s="16"/>
      <c r="JRW72" s="16"/>
      <c r="JRX72" s="16"/>
      <c r="JRY72" s="16"/>
      <c r="JRZ72" s="16"/>
      <c r="JSA72" s="16"/>
      <c r="JSB72" s="16"/>
      <c r="JSC72" s="16"/>
      <c r="JSD72" s="16"/>
      <c r="JSE72" s="16"/>
      <c r="JSF72" s="16"/>
      <c r="JSG72" s="16"/>
      <c r="JSH72" s="16"/>
      <c r="JSI72" s="16"/>
      <c r="JSJ72" s="16"/>
      <c r="JSK72" s="16"/>
      <c r="JSL72" s="16"/>
      <c r="JSM72" s="16"/>
      <c r="JSN72" s="16"/>
      <c r="JSO72" s="16"/>
      <c r="JSP72" s="16"/>
      <c r="JSQ72" s="16"/>
      <c r="JSR72" s="16"/>
      <c r="JSS72" s="16"/>
      <c r="JST72" s="16"/>
      <c r="JSU72" s="16"/>
      <c r="JSV72" s="16"/>
      <c r="JSW72" s="16"/>
      <c r="JSX72" s="16"/>
      <c r="JSY72" s="16"/>
      <c r="JSZ72" s="16"/>
      <c r="JTA72" s="16"/>
      <c r="JTB72" s="16"/>
      <c r="JTC72" s="16"/>
      <c r="JTD72" s="16"/>
      <c r="JTE72" s="16"/>
      <c r="JTF72" s="16"/>
      <c r="JTG72" s="16"/>
      <c r="JTH72" s="16"/>
      <c r="JTI72" s="16"/>
      <c r="JTJ72" s="16"/>
      <c r="JTK72" s="16"/>
      <c r="JTL72" s="16"/>
      <c r="JTM72" s="16"/>
      <c r="JTN72" s="16"/>
      <c r="JTO72" s="16"/>
      <c r="JTP72" s="16"/>
      <c r="JTQ72" s="16"/>
      <c r="JTR72" s="16"/>
      <c r="JTS72" s="16"/>
      <c r="JTT72" s="16"/>
      <c r="JTU72" s="16"/>
      <c r="JTV72" s="16"/>
      <c r="JTW72" s="16"/>
      <c r="JTX72" s="16"/>
      <c r="JTY72" s="16"/>
      <c r="JTZ72" s="16"/>
      <c r="JUA72" s="16"/>
      <c r="JUB72" s="16"/>
      <c r="JUC72" s="16"/>
      <c r="JUD72" s="16"/>
      <c r="JUE72" s="16"/>
      <c r="JUF72" s="16"/>
      <c r="JUG72" s="16"/>
      <c r="JUH72" s="16"/>
      <c r="JUI72" s="16"/>
      <c r="JUJ72" s="16"/>
      <c r="JUK72" s="16"/>
      <c r="JUL72" s="16"/>
      <c r="JUM72" s="16"/>
      <c r="JUN72" s="16"/>
      <c r="JUO72" s="16"/>
      <c r="JUP72" s="16"/>
      <c r="JUQ72" s="16"/>
      <c r="JUR72" s="16"/>
      <c r="JUS72" s="16"/>
      <c r="JUT72" s="16"/>
      <c r="JUU72" s="16"/>
      <c r="JUV72" s="16"/>
      <c r="JUW72" s="16"/>
      <c r="JUX72" s="16"/>
      <c r="JUY72" s="16"/>
      <c r="JUZ72" s="16"/>
      <c r="JVA72" s="16"/>
      <c r="JVB72" s="16"/>
      <c r="JVC72" s="16"/>
      <c r="JVD72" s="16"/>
      <c r="JVE72" s="16"/>
      <c r="JVF72" s="16"/>
      <c r="JVG72" s="16"/>
      <c r="JVH72" s="16"/>
      <c r="JVI72" s="16"/>
      <c r="JVJ72" s="16"/>
      <c r="JVK72" s="16"/>
      <c r="JVL72" s="16"/>
      <c r="JVM72" s="16"/>
      <c r="JVN72" s="16"/>
      <c r="JVO72" s="16"/>
      <c r="JVP72" s="16"/>
      <c r="JVQ72" s="16"/>
      <c r="JVR72" s="16"/>
      <c r="JVS72" s="16"/>
      <c r="JVT72" s="16"/>
      <c r="JVU72" s="16"/>
      <c r="JVV72" s="16"/>
      <c r="JVW72" s="16"/>
      <c r="JVX72" s="16"/>
      <c r="JVY72" s="16"/>
      <c r="JVZ72" s="16"/>
      <c r="JWA72" s="16"/>
      <c r="JWB72" s="16"/>
      <c r="JWC72" s="16"/>
      <c r="JWD72" s="16"/>
      <c r="JWE72" s="16"/>
      <c r="JWF72" s="16"/>
      <c r="JWG72" s="16"/>
      <c r="JWH72" s="16"/>
      <c r="JWI72" s="16"/>
      <c r="JWJ72" s="16"/>
      <c r="JWK72" s="16"/>
      <c r="JWL72" s="16"/>
      <c r="JWM72" s="16"/>
      <c r="JWN72" s="16"/>
      <c r="JWO72" s="16"/>
      <c r="JWP72" s="16"/>
      <c r="JWQ72" s="16"/>
      <c r="JWR72" s="16"/>
      <c r="JWS72" s="16"/>
      <c r="JWT72" s="16"/>
      <c r="JWU72" s="16"/>
      <c r="JWV72" s="16"/>
      <c r="JWW72" s="16"/>
      <c r="JWX72" s="16"/>
      <c r="JWY72" s="16"/>
      <c r="JWZ72" s="16"/>
      <c r="JXA72" s="16"/>
      <c r="JXB72" s="16"/>
      <c r="JXC72" s="16"/>
      <c r="JXD72" s="16"/>
      <c r="JXE72" s="16"/>
      <c r="JXF72" s="16"/>
      <c r="JXG72" s="16"/>
      <c r="JXH72" s="16"/>
      <c r="JXI72" s="16"/>
      <c r="JXJ72" s="16"/>
      <c r="JXK72" s="16"/>
      <c r="JXL72" s="16"/>
      <c r="JXM72" s="16"/>
      <c r="JXN72" s="16"/>
      <c r="JXO72" s="16"/>
      <c r="JXP72" s="16"/>
      <c r="JXQ72" s="16"/>
      <c r="JXR72" s="16"/>
      <c r="JXS72" s="16"/>
      <c r="JXT72" s="16"/>
      <c r="JXU72" s="16"/>
      <c r="JXV72" s="16"/>
      <c r="JXW72" s="16"/>
      <c r="JXX72" s="16"/>
      <c r="JXY72" s="16"/>
      <c r="JXZ72" s="16"/>
      <c r="JYA72" s="16"/>
      <c r="JYB72" s="16"/>
      <c r="JYC72" s="16"/>
      <c r="JYD72" s="16"/>
      <c r="JYE72" s="16"/>
      <c r="JYF72" s="16"/>
      <c r="JYG72" s="16"/>
      <c r="JYH72" s="16"/>
      <c r="JYI72" s="16"/>
      <c r="JYJ72" s="16"/>
      <c r="JYK72" s="16"/>
      <c r="JYL72" s="16"/>
      <c r="JYM72" s="16"/>
      <c r="JYN72" s="16"/>
      <c r="JYO72" s="16"/>
      <c r="JYP72" s="16"/>
      <c r="JYQ72" s="16"/>
      <c r="JYR72" s="16"/>
      <c r="JYS72" s="16"/>
      <c r="JYT72" s="16"/>
      <c r="JYU72" s="16"/>
      <c r="JYV72" s="16"/>
      <c r="JYW72" s="16"/>
      <c r="JYX72" s="16"/>
      <c r="JYY72" s="16"/>
      <c r="JYZ72" s="16"/>
      <c r="JZA72" s="16"/>
      <c r="JZB72" s="16"/>
      <c r="JZC72" s="16"/>
      <c r="JZD72" s="16"/>
      <c r="JZE72" s="16"/>
      <c r="JZF72" s="16"/>
      <c r="JZG72" s="16"/>
      <c r="JZH72" s="16"/>
      <c r="JZI72" s="16"/>
      <c r="JZJ72" s="16"/>
      <c r="JZK72" s="16"/>
      <c r="JZL72" s="16"/>
      <c r="JZM72" s="16"/>
      <c r="JZN72" s="16"/>
      <c r="JZO72" s="16"/>
      <c r="JZP72" s="16"/>
      <c r="JZQ72" s="16"/>
      <c r="JZR72" s="16"/>
      <c r="JZS72" s="16"/>
      <c r="JZT72" s="16"/>
      <c r="JZU72" s="16"/>
      <c r="JZV72" s="16"/>
      <c r="JZW72" s="16"/>
      <c r="JZX72" s="16"/>
      <c r="JZY72" s="16"/>
      <c r="JZZ72" s="16"/>
      <c r="KAA72" s="16"/>
      <c r="KAB72" s="16"/>
      <c r="KAC72" s="16"/>
      <c r="KAD72" s="16"/>
      <c r="KAE72" s="16"/>
      <c r="KAF72" s="16"/>
      <c r="KAG72" s="16"/>
      <c r="KAH72" s="16"/>
      <c r="KAI72" s="16"/>
      <c r="KAJ72" s="16"/>
      <c r="KAK72" s="16"/>
      <c r="KAL72" s="16"/>
      <c r="KAM72" s="16"/>
      <c r="KAN72" s="16"/>
      <c r="KAO72" s="16"/>
      <c r="KAP72" s="16"/>
      <c r="KAQ72" s="16"/>
      <c r="KAR72" s="16"/>
      <c r="KAS72" s="16"/>
      <c r="KAT72" s="16"/>
      <c r="KAU72" s="16"/>
      <c r="KAV72" s="16"/>
      <c r="KAW72" s="16"/>
      <c r="KAX72" s="16"/>
      <c r="KAY72" s="16"/>
      <c r="KAZ72" s="16"/>
      <c r="KBA72" s="16"/>
      <c r="KBB72" s="16"/>
      <c r="KBC72" s="16"/>
      <c r="KBD72" s="16"/>
      <c r="KBE72" s="16"/>
      <c r="KBF72" s="16"/>
      <c r="KBG72" s="16"/>
      <c r="KBH72" s="16"/>
      <c r="KBI72" s="16"/>
      <c r="KBJ72" s="16"/>
      <c r="KBK72" s="16"/>
      <c r="KBL72" s="16"/>
      <c r="KBM72" s="16"/>
      <c r="KBN72" s="16"/>
      <c r="KBO72" s="16"/>
      <c r="KBP72" s="16"/>
      <c r="KBQ72" s="16"/>
      <c r="KBR72" s="16"/>
      <c r="KBS72" s="16"/>
      <c r="KBT72" s="16"/>
      <c r="KBU72" s="16"/>
      <c r="KBV72" s="16"/>
      <c r="KBW72" s="16"/>
      <c r="KBX72" s="16"/>
      <c r="KBY72" s="16"/>
      <c r="KBZ72" s="16"/>
      <c r="KCA72" s="16"/>
      <c r="KCB72" s="16"/>
      <c r="KCC72" s="16"/>
      <c r="KCD72" s="16"/>
      <c r="KCE72" s="16"/>
      <c r="KCF72" s="16"/>
      <c r="KCG72" s="16"/>
      <c r="KCH72" s="16"/>
      <c r="KCI72" s="16"/>
      <c r="KCJ72" s="16"/>
      <c r="KCK72" s="16"/>
      <c r="KCL72" s="16"/>
      <c r="KCM72" s="16"/>
      <c r="KCN72" s="16"/>
      <c r="KCO72" s="16"/>
      <c r="KCP72" s="16"/>
      <c r="KCQ72" s="16"/>
      <c r="KCR72" s="16"/>
      <c r="KCS72" s="16"/>
      <c r="KCT72" s="16"/>
      <c r="KCU72" s="16"/>
      <c r="KCV72" s="16"/>
      <c r="KCW72" s="16"/>
      <c r="KCX72" s="16"/>
      <c r="KCY72" s="16"/>
      <c r="KCZ72" s="16"/>
      <c r="KDA72" s="16"/>
      <c r="KDB72" s="16"/>
      <c r="KDC72" s="16"/>
      <c r="KDD72" s="16"/>
      <c r="KDE72" s="16"/>
      <c r="KDF72" s="16"/>
      <c r="KDG72" s="16"/>
      <c r="KDH72" s="16"/>
      <c r="KDI72" s="16"/>
      <c r="KDJ72" s="16"/>
      <c r="KDK72" s="16"/>
      <c r="KDL72" s="16"/>
      <c r="KDM72" s="16"/>
      <c r="KDN72" s="16"/>
      <c r="KDO72" s="16"/>
      <c r="KDP72" s="16"/>
      <c r="KDQ72" s="16"/>
      <c r="KDR72" s="16"/>
      <c r="KDS72" s="16"/>
      <c r="KDT72" s="16"/>
      <c r="KDU72" s="16"/>
      <c r="KDV72" s="16"/>
      <c r="KDW72" s="16"/>
      <c r="KDX72" s="16"/>
      <c r="KDY72" s="16"/>
      <c r="KDZ72" s="16"/>
      <c r="KEA72" s="16"/>
      <c r="KEB72" s="16"/>
      <c r="KEC72" s="16"/>
      <c r="KED72" s="16"/>
      <c r="KEE72" s="16"/>
      <c r="KEF72" s="16"/>
      <c r="KEG72" s="16"/>
      <c r="KEH72" s="16"/>
      <c r="KEI72" s="16"/>
      <c r="KEJ72" s="16"/>
      <c r="KEK72" s="16"/>
      <c r="KEL72" s="16"/>
      <c r="KEM72" s="16"/>
      <c r="KEN72" s="16"/>
      <c r="KEO72" s="16"/>
      <c r="KEP72" s="16"/>
      <c r="KEQ72" s="16"/>
      <c r="KER72" s="16"/>
      <c r="KES72" s="16"/>
      <c r="KET72" s="16"/>
      <c r="KEU72" s="16"/>
      <c r="KEV72" s="16"/>
      <c r="KEW72" s="16"/>
      <c r="KEX72" s="16"/>
      <c r="KEY72" s="16"/>
      <c r="KEZ72" s="16"/>
      <c r="KFA72" s="16"/>
      <c r="KFB72" s="16"/>
      <c r="KFC72" s="16"/>
      <c r="KFD72" s="16"/>
      <c r="KFE72" s="16"/>
      <c r="KFF72" s="16"/>
      <c r="KFG72" s="16"/>
      <c r="KFH72" s="16"/>
      <c r="KFI72" s="16"/>
      <c r="KFJ72" s="16"/>
      <c r="KFK72" s="16"/>
      <c r="KFL72" s="16"/>
      <c r="KFM72" s="16"/>
      <c r="KFN72" s="16"/>
      <c r="KFO72" s="16"/>
      <c r="KFP72" s="16"/>
      <c r="KFQ72" s="16"/>
      <c r="KFR72" s="16"/>
      <c r="KFS72" s="16"/>
      <c r="KFT72" s="16"/>
      <c r="KFU72" s="16"/>
      <c r="KFV72" s="16"/>
      <c r="KFW72" s="16"/>
      <c r="KFX72" s="16"/>
      <c r="KFY72" s="16"/>
      <c r="KFZ72" s="16"/>
      <c r="KGA72" s="16"/>
      <c r="KGB72" s="16"/>
      <c r="KGC72" s="16"/>
      <c r="KGD72" s="16"/>
      <c r="KGE72" s="16"/>
      <c r="KGF72" s="16"/>
      <c r="KGG72" s="16"/>
      <c r="KGH72" s="16"/>
      <c r="KGI72" s="16"/>
      <c r="KGJ72" s="16"/>
      <c r="KGK72" s="16"/>
      <c r="KGL72" s="16"/>
      <c r="KGM72" s="16"/>
      <c r="KGN72" s="16"/>
      <c r="KGO72" s="16"/>
      <c r="KGP72" s="16"/>
      <c r="KGQ72" s="16"/>
      <c r="KGR72" s="16"/>
      <c r="KGS72" s="16"/>
      <c r="KGT72" s="16"/>
      <c r="KGU72" s="16"/>
      <c r="KGV72" s="16"/>
      <c r="KGW72" s="16"/>
      <c r="KGX72" s="16"/>
      <c r="KGY72" s="16"/>
      <c r="KGZ72" s="16"/>
      <c r="KHA72" s="16"/>
      <c r="KHB72" s="16"/>
      <c r="KHC72" s="16"/>
      <c r="KHD72" s="16"/>
      <c r="KHE72" s="16"/>
      <c r="KHF72" s="16"/>
      <c r="KHG72" s="16"/>
      <c r="KHH72" s="16"/>
      <c r="KHI72" s="16"/>
      <c r="KHJ72" s="16"/>
      <c r="KHK72" s="16"/>
      <c r="KHL72" s="16"/>
      <c r="KHM72" s="16"/>
      <c r="KHN72" s="16"/>
      <c r="KHO72" s="16"/>
      <c r="KHP72" s="16"/>
      <c r="KHQ72" s="16"/>
      <c r="KHR72" s="16"/>
      <c r="KHS72" s="16"/>
      <c r="KHT72" s="16"/>
      <c r="KHU72" s="16"/>
      <c r="KHV72" s="16"/>
      <c r="KHW72" s="16"/>
      <c r="KHX72" s="16"/>
      <c r="KHY72" s="16"/>
      <c r="KHZ72" s="16"/>
      <c r="KIA72" s="16"/>
      <c r="KIB72" s="16"/>
      <c r="KIC72" s="16"/>
      <c r="KID72" s="16"/>
      <c r="KIE72" s="16"/>
      <c r="KIF72" s="16"/>
      <c r="KIG72" s="16"/>
      <c r="KIH72" s="16"/>
      <c r="KII72" s="16"/>
      <c r="KIJ72" s="16"/>
      <c r="KIK72" s="16"/>
      <c r="KIL72" s="16"/>
      <c r="KIM72" s="16"/>
      <c r="KIN72" s="16"/>
      <c r="KIO72" s="16"/>
      <c r="KIP72" s="16"/>
      <c r="KIQ72" s="16"/>
      <c r="KIR72" s="16"/>
      <c r="KIS72" s="16"/>
      <c r="KIT72" s="16"/>
      <c r="KIU72" s="16"/>
      <c r="KIV72" s="16"/>
      <c r="KIW72" s="16"/>
      <c r="KIX72" s="16"/>
      <c r="KIY72" s="16"/>
      <c r="KIZ72" s="16"/>
      <c r="KJA72" s="16"/>
      <c r="KJB72" s="16"/>
      <c r="KJC72" s="16"/>
      <c r="KJD72" s="16"/>
      <c r="KJE72" s="16"/>
      <c r="KJF72" s="16"/>
      <c r="KJG72" s="16"/>
      <c r="KJH72" s="16"/>
      <c r="KJI72" s="16"/>
      <c r="KJJ72" s="16"/>
      <c r="KJK72" s="16"/>
      <c r="KJL72" s="16"/>
      <c r="KJM72" s="16"/>
      <c r="KJN72" s="16"/>
      <c r="KJO72" s="16"/>
      <c r="KJP72" s="16"/>
      <c r="KJQ72" s="16"/>
      <c r="KJR72" s="16"/>
      <c r="KJS72" s="16"/>
      <c r="KJT72" s="16"/>
      <c r="KJU72" s="16"/>
      <c r="KJV72" s="16"/>
      <c r="KJW72" s="16"/>
      <c r="KJX72" s="16"/>
      <c r="KJY72" s="16"/>
      <c r="KJZ72" s="16"/>
      <c r="KKA72" s="16"/>
      <c r="KKB72" s="16"/>
      <c r="KKC72" s="16"/>
      <c r="KKD72" s="16"/>
      <c r="KKE72" s="16"/>
      <c r="KKF72" s="16"/>
      <c r="KKG72" s="16"/>
      <c r="KKH72" s="16"/>
      <c r="KKI72" s="16"/>
      <c r="KKJ72" s="16"/>
      <c r="KKK72" s="16"/>
      <c r="KKL72" s="16"/>
      <c r="KKM72" s="16"/>
      <c r="KKN72" s="16"/>
      <c r="KKO72" s="16"/>
      <c r="KKP72" s="16"/>
      <c r="KKQ72" s="16"/>
      <c r="KKR72" s="16"/>
      <c r="KKS72" s="16"/>
      <c r="KKT72" s="16"/>
      <c r="KKU72" s="16"/>
      <c r="KKV72" s="16"/>
      <c r="KKW72" s="16"/>
      <c r="KKX72" s="16"/>
      <c r="KKY72" s="16"/>
      <c r="KKZ72" s="16"/>
      <c r="KLA72" s="16"/>
      <c r="KLB72" s="16"/>
      <c r="KLC72" s="16"/>
      <c r="KLD72" s="16"/>
      <c r="KLE72" s="16"/>
      <c r="KLF72" s="16"/>
      <c r="KLG72" s="16"/>
      <c r="KLH72" s="16"/>
      <c r="KLI72" s="16"/>
      <c r="KLJ72" s="16"/>
      <c r="KLK72" s="16"/>
      <c r="KLL72" s="16"/>
      <c r="KLM72" s="16"/>
      <c r="KLN72" s="16"/>
      <c r="KLO72" s="16"/>
      <c r="KLP72" s="16"/>
      <c r="KLQ72" s="16"/>
      <c r="KLR72" s="16"/>
      <c r="KLS72" s="16"/>
      <c r="KLT72" s="16"/>
      <c r="KLU72" s="16"/>
      <c r="KLV72" s="16"/>
      <c r="KLW72" s="16"/>
      <c r="KLX72" s="16"/>
      <c r="KLY72" s="16"/>
      <c r="KLZ72" s="16"/>
      <c r="KMA72" s="16"/>
      <c r="KMB72" s="16"/>
      <c r="KMC72" s="16"/>
      <c r="KMD72" s="16"/>
      <c r="KME72" s="16"/>
      <c r="KMF72" s="16"/>
      <c r="KMG72" s="16"/>
      <c r="KMH72" s="16"/>
      <c r="KMI72" s="16"/>
      <c r="KMJ72" s="16"/>
      <c r="KMK72" s="16"/>
      <c r="KML72" s="16"/>
      <c r="KMM72" s="16"/>
      <c r="KMN72" s="16"/>
      <c r="KMO72" s="16"/>
      <c r="KMP72" s="16"/>
      <c r="KMQ72" s="16"/>
      <c r="KMR72" s="16"/>
      <c r="KMS72" s="16"/>
      <c r="KMT72" s="16"/>
      <c r="KMU72" s="16"/>
      <c r="KMV72" s="16"/>
      <c r="KMW72" s="16"/>
      <c r="KMX72" s="16"/>
      <c r="KMY72" s="16"/>
      <c r="KMZ72" s="16"/>
      <c r="KNA72" s="16"/>
      <c r="KNB72" s="16"/>
      <c r="KNC72" s="16"/>
      <c r="KND72" s="16"/>
      <c r="KNE72" s="16"/>
      <c r="KNF72" s="16"/>
      <c r="KNG72" s="16"/>
      <c r="KNH72" s="16"/>
      <c r="KNI72" s="16"/>
      <c r="KNJ72" s="16"/>
      <c r="KNK72" s="16"/>
      <c r="KNL72" s="16"/>
      <c r="KNM72" s="16"/>
      <c r="KNN72" s="16"/>
      <c r="KNO72" s="16"/>
      <c r="KNP72" s="16"/>
      <c r="KNQ72" s="16"/>
      <c r="KNR72" s="16"/>
      <c r="KNS72" s="16"/>
      <c r="KNT72" s="16"/>
      <c r="KNU72" s="16"/>
      <c r="KNV72" s="16"/>
      <c r="KNW72" s="16"/>
      <c r="KNX72" s="16"/>
      <c r="KNY72" s="16"/>
      <c r="KNZ72" s="16"/>
      <c r="KOA72" s="16"/>
      <c r="KOB72" s="16"/>
      <c r="KOC72" s="16"/>
      <c r="KOD72" s="16"/>
      <c r="KOE72" s="16"/>
      <c r="KOF72" s="16"/>
      <c r="KOG72" s="16"/>
      <c r="KOH72" s="16"/>
      <c r="KOI72" s="16"/>
      <c r="KOJ72" s="16"/>
      <c r="KOK72" s="16"/>
      <c r="KOL72" s="16"/>
      <c r="KOM72" s="16"/>
      <c r="KON72" s="16"/>
      <c r="KOO72" s="16"/>
      <c r="KOP72" s="16"/>
      <c r="KOQ72" s="16"/>
      <c r="KOR72" s="16"/>
      <c r="KOS72" s="16"/>
      <c r="KOT72" s="16"/>
      <c r="KOU72" s="16"/>
      <c r="KOV72" s="16"/>
      <c r="KOW72" s="16"/>
      <c r="KOX72" s="16"/>
      <c r="KOY72" s="16"/>
      <c r="KOZ72" s="16"/>
      <c r="KPA72" s="16"/>
      <c r="KPB72" s="16"/>
      <c r="KPC72" s="16"/>
      <c r="KPD72" s="16"/>
      <c r="KPE72" s="16"/>
      <c r="KPF72" s="16"/>
      <c r="KPG72" s="16"/>
      <c r="KPH72" s="16"/>
      <c r="KPI72" s="16"/>
      <c r="KPJ72" s="16"/>
      <c r="KPK72" s="16"/>
      <c r="KPL72" s="16"/>
      <c r="KPM72" s="16"/>
      <c r="KPN72" s="16"/>
      <c r="KPO72" s="16"/>
      <c r="KPP72" s="16"/>
      <c r="KPQ72" s="16"/>
      <c r="KPR72" s="16"/>
      <c r="KPS72" s="16"/>
      <c r="KPT72" s="16"/>
      <c r="KPU72" s="16"/>
      <c r="KPV72" s="16"/>
      <c r="KPW72" s="16"/>
      <c r="KPX72" s="16"/>
      <c r="KPY72" s="16"/>
      <c r="KPZ72" s="16"/>
      <c r="KQA72" s="16"/>
      <c r="KQB72" s="16"/>
      <c r="KQC72" s="16"/>
      <c r="KQD72" s="16"/>
      <c r="KQE72" s="16"/>
      <c r="KQF72" s="16"/>
      <c r="KQG72" s="16"/>
      <c r="KQH72" s="16"/>
      <c r="KQI72" s="16"/>
      <c r="KQJ72" s="16"/>
      <c r="KQK72" s="16"/>
      <c r="KQL72" s="16"/>
      <c r="KQM72" s="16"/>
      <c r="KQN72" s="16"/>
      <c r="KQO72" s="16"/>
      <c r="KQP72" s="16"/>
      <c r="KQQ72" s="16"/>
      <c r="KQR72" s="16"/>
      <c r="KQS72" s="16"/>
      <c r="KQT72" s="16"/>
      <c r="KQU72" s="16"/>
      <c r="KQV72" s="16"/>
      <c r="KQW72" s="16"/>
      <c r="KQX72" s="16"/>
      <c r="KQY72" s="16"/>
      <c r="KQZ72" s="16"/>
      <c r="KRA72" s="16"/>
      <c r="KRB72" s="16"/>
      <c r="KRC72" s="16"/>
      <c r="KRD72" s="16"/>
      <c r="KRE72" s="16"/>
      <c r="KRF72" s="16"/>
      <c r="KRG72" s="16"/>
      <c r="KRH72" s="16"/>
      <c r="KRI72" s="16"/>
      <c r="KRJ72" s="16"/>
      <c r="KRK72" s="16"/>
      <c r="KRL72" s="16"/>
      <c r="KRM72" s="16"/>
      <c r="KRN72" s="16"/>
      <c r="KRO72" s="16"/>
      <c r="KRP72" s="16"/>
      <c r="KRQ72" s="16"/>
      <c r="KRR72" s="16"/>
      <c r="KRS72" s="16"/>
      <c r="KRT72" s="16"/>
      <c r="KRU72" s="16"/>
      <c r="KRV72" s="16"/>
      <c r="KRW72" s="16"/>
      <c r="KRX72" s="16"/>
      <c r="KRY72" s="16"/>
      <c r="KRZ72" s="16"/>
      <c r="KSA72" s="16"/>
      <c r="KSB72" s="16"/>
      <c r="KSC72" s="16"/>
      <c r="KSD72" s="16"/>
      <c r="KSE72" s="16"/>
      <c r="KSF72" s="16"/>
      <c r="KSG72" s="16"/>
      <c r="KSH72" s="16"/>
      <c r="KSI72" s="16"/>
      <c r="KSJ72" s="16"/>
      <c r="KSK72" s="16"/>
      <c r="KSL72" s="16"/>
      <c r="KSM72" s="16"/>
      <c r="KSN72" s="16"/>
      <c r="KSO72" s="16"/>
      <c r="KSP72" s="16"/>
      <c r="KSQ72" s="16"/>
      <c r="KSR72" s="16"/>
      <c r="KSS72" s="16"/>
      <c r="KST72" s="16"/>
      <c r="KSU72" s="16"/>
      <c r="KSV72" s="16"/>
      <c r="KSW72" s="16"/>
      <c r="KSX72" s="16"/>
      <c r="KSY72" s="16"/>
      <c r="KSZ72" s="16"/>
      <c r="KTA72" s="16"/>
      <c r="KTB72" s="16"/>
      <c r="KTC72" s="16"/>
      <c r="KTD72" s="16"/>
      <c r="KTE72" s="16"/>
      <c r="KTF72" s="16"/>
      <c r="KTG72" s="16"/>
      <c r="KTH72" s="16"/>
      <c r="KTI72" s="16"/>
      <c r="KTJ72" s="16"/>
      <c r="KTK72" s="16"/>
      <c r="KTL72" s="16"/>
      <c r="KTM72" s="16"/>
      <c r="KTN72" s="16"/>
      <c r="KTO72" s="16"/>
      <c r="KTP72" s="16"/>
      <c r="KTQ72" s="16"/>
      <c r="KTR72" s="16"/>
      <c r="KTS72" s="16"/>
      <c r="KTT72" s="16"/>
      <c r="KTU72" s="16"/>
      <c r="KTV72" s="16"/>
      <c r="KTW72" s="16"/>
      <c r="KTX72" s="16"/>
      <c r="KTY72" s="16"/>
      <c r="KTZ72" s="16"/>
      <c r="KUA72" s="16"/>
      <c r="KUB72" s="16"/>
      <c r="KUC72" s="16"/>
      <c r="KUD72" s="16"/>
      <c r="KUE72" s="16"/>
      <c r="KUF72" s="16"/>
      <c r="KUG72" s="16"/>
      <c r="KUH72" s="16"/>
      <c r="KUI72" s="16"/>
      <c r="KUJ72" s="16"/>
      <c r="KUK72" s="16"/>
      <c r="KUL72" s="16"/>
      <c r="KUM72" s="16"/>
      <c r="KUN72" s="16"/>
      <c r="KUO72" s="16"/>
      <c r="KUP72" s="16"/>
      <c r="KUQ72" s="16"/>
      <c r="KUR72" s="16"/>
      <c r="KUS72" s="16"/>
      <c r="KUT72" s="16"/>
      <c r="KUU72" s="16"/>
      <c r="KUV72" s="16"/>
      <c r="KUW72" s="16"/>
      <c r="KUX72" s="16"/>
      <c r="KUY72" s="16"/>
      <c r="KUZ72" s="16"/>
      <c r="KVA72" s="16"/>
      <c r="KVB72" s="16"/>
      <c r="KVC72" s="16"/>
      <c r="KVD72" s="16"/>
      <c r="KVE72" s="16"/>
      <c r="KVF72" s="16"/>
      <c r="KVG72" s="16"/>
      <c r="KVH72" s="16"/>
      <c r="KVI72" s="16"/>
      <c r="KVJ72" s="16"/>
      <c r="KVK72" s="16"/>
      <c r="KVL72" s="16"/>
      <c r="KVM72" s="16"/>
      <c r="KVN72" s="16"/>
      <c r="KVO72" s="16"/>
      <c r="KVP72" s="16"/>
      <c r="KVQ72" s="16"/>
      <c r="KVR72" s="16"/>
      <c r="KVS72" s="16"/>
      <c r="KVT72" s="16"/>
      <c r="KVU72" s="16"/>
      <c r="KVV72" s="16"/>
      <c r="KVW72" s="16"/>
      <c r="KVX72" s="16"/>
      <c r="KVY72" s="16"/>
      <c r="KVZ72" s="16"/>
      <c r="KWA72" s="16"/>
      <c r="KWB72" s="16"/>
      <c r="KWC72" s="16"/>
      <c r="KWD72" s="16"/>
      <c r="KWE72" s="16"/>
      <c r="KWF72" s="16"/>
      <c r="KWG72" s="16"/>
      <c r="KWH72" s="16"/>
      <c r="KWI72" s="16"/>
      <c r="KWJ72" s="16"/>
      <c r="KWK72" s="16"/>
      <c r="KWL72" s="16"/>
      <c r="KWM72" s="16"/>
      <c r="KWN72" s="16"/>
      <c r="KWO72" s="16"/>
      <c r="KWP72" s="16"/>
      <c r="KWQ72" s="16"/>
      <c r="KWR72" s="16"/>
      <c r="KWS72" s="16"/>
      <c r="KWT72" s="16"/>
      <c r="KWU72" s="16"/>
      <c r="KWV72" s="16"/>
      <c r="KWW72" s="16"/>
      <c r="KWX72" s="16"/>
      <c r="KWY72" s="16"/>
      <c r="KWZ72" s="16"/>
      <c r="KXA72" s="16"/>
      <c r="KXB72" s="16"/>
      <c r="KXC72" s="16"/>
      <c r="KXD72" s="16"/>
      <c r="KXE72" s="16"/>
      <c r="KXF72" s="16"/>
      <c r="KXG72" s="16"/>
      <c r="KXH72" s="16"/>
      <c r="KXI72" s="16"/>
      <c r="KXJ72" s="16"/>
      <c r="KXK72" s="16"/>
      <c r="KXL72" s="16"/>
      <c r="KXM72" s="16"/>
      <c r="KXN72" s="16"/>
      <c r="KXO72" s="16"/>
      <c r="KXP72" s="16"/>
      <c r="KXQ72" s="16"/>
      <c r="KXR72" s="16"/>
      <c r="KXS72" s="16"/>
      <c r="KXT72" s="16"/>
      <c r="KXU72" s="16"/>
      <c r="KXV72" s="16"/>
      <c r="KXW72" s="16"/>
      <c r="KXX72" s="16"/>
      <c r="KXY72" s="16"/>
      <c r="KXZ72" s="16"/>
      <c r="KYA72" s="16"/>
      <c r="KYB72" s="16"/>
      <c r="KYC72" s="16"/>
      <c r="KYD72" s="16"/>
      <c r="KYE72" s="16"/>
      <c r="KYF72" s="16"/>
      <c r="KYG72" s="16"/>
      <c r="KYH72" s="16"/>
      <c r="KYI72" s="16"/>
      <c r="KYJ72" s="16"/>
      <c r="KYK72" s="16"/>
      <c r="KYL72" s="16"/>
      <c r="KYM72" s="16"/>
      <c r="KYN72" s="16"/>
      <c r="KYO72" s="16"/>
      <c r="KYP72" s="16"/>
      <c r="KYQ72" s="16"/>
      <c r="KYR72" s="16"/>
      <c r="KYS72" s="16"/>
      <c r="KYT72" s="16"/>
      <c r="KYU72" s="16"/>
      <c r="KYV72" s="16"/>
      <c r="KYW72" s="16"/>
      <c r="KYX72" s="16"/>
      <c r="KYY72" s="16"/>
      <c r="KYZ72" s="16"/>
      <c r="KZA72" s="16"/>
      <c r="KZB72" s="16"/>
      <c r="KZC72" s="16"/>
      <c r="KZD72" s="16"/>
      <c r="KZE72" s="16"/>
      <c r="KZF72" s="16"/>
      <c r="KZG72" s="16"/>
      <c r="KZH72" s="16"/>
      <c r="KZI72" s="16"/>
      <c r="KZJ72" s="16"/>
      <c r="KZK72" s="16"/>
      <c r="KZL72" s="16"/>
      <c r="KZM72" s="16"/>
      <c r="KZN72" s="16"/>
      <c r="KZO72" s="16"/>
      <c r="KZP72" s="16"/>
      <c r="KZQ72" s="16"/>
      <c r="KZR72" s="16"/>
      <c r="KZS72" s="16"/>
      <c r="KZT72" s="16"/>
      <c r="KZU72" s="16"/>
      <c r="KZV72" s="16"/>
      <c r="KZW72" s="16"/>
      <c r="KZX72" s="16"/>
      <c r="KZY72" s="16"/>
      <c r="KZZ72" s="16"/>
      <c r="LAA72" s="16"/>
      <c r="LAB72" s="16"/>
      <c r="LAC72" s="16"/>
      <c r="LAD72" s="16"/>
      <c r="LAE72" s="16"/>
      <c r="LAF72" s="16"/>
      <c r="LAG72" s="16"/>
      <c r="LAH72" s="16"/>
      <c r="LAI72" s="16"/>
      <c r="LAJ72" s="16"/>
      <c r="LAK72" s="16"/>
      <c r="LAL72" s="16"/>
      <c r="LAM72" s="16"/>
      <c r="LAN72" s="16"/>
      <c r="LAO72" s="16"/>
      <c r="LAP72" s="16"/>
      <c r="LAQ72" s="16"/>
      <c r="LAR72" s="16"/>
      <c r="LAS72" s="16"/>
      <c r="LAT72" s="16"/>
      <c r="LAU72" s="16"/>
      <c r="LAV72" s="16"/>
      <c r="LAW72" s="16"/>
      <c r="LAX72" s="16"/>
      <c r="LAY72" s="16"/>
      <c r="LAZ72" s="16"/>
      <c r="LBA72" s="16"/>
      <c r="LBB72" s="16"/>
      <c r="LBC72" s="16"/>
      <c r="LBD72" s="16"/>
      <c r="LBE72" s="16"/>
      <c r="LBF72" s="16"/>
      <c r="LBG72" s="16"/>
      <c r="LBH72" s="16"/>
      <c r="LBI72" s="16"/>
      <c r="LBJ72" s="16"/>
      <c r="LBK72" s="16"/>
      <c r="LBL72" s="16"/>
      <c r="LBM72" s="16"/>
      <c r="LBN72" s="16"/>
      <c r="LBO72" s="16"/>
      <c r="LBP72" s="16"/>
      <c r="LBQ72" s="16"/>
      <c r="LBR72" s="16"/>
      <c r="LBS72" s="16"/>
      <c r="LBT72" s="16"/>
      <c r="LBU72" s="16"/>
      <c r="LBV72" s="16"/>
      <c r="LBW72" s="16"/>
      <c r="LBX72" s="16"/>
      <c r="LBY72" s="16"/>
      <c r="LBZ72" s="16"/>
      <c r="LCA72" s="16"/>
      <c r="LCB72" s="16"/>
      <c r="LCC72" s="16"/>
      <c r="LCD72" s="16"/>
      <c r="LCE72" s="16"/>
      <c r="LCF72" s="16"/>
      <c r="LCG72" s="16"/>
      <c r="LCH72" s="16"/>
      <c r="LCI72" s="16"/>
      <c r="LCJ72" s="16"/>
      <c r="LCK72" s="16"/>
      <c r="LCL72" s="16"/>
      <c r="LCM72" s="16"/>
      <c r="LCN72" s="16"/>
      <c r="LCO72" s="16"/>
      <c r="LCP72" s="16"/>
      <c r="LCQ72" s="16"/>
      <c r="LCR72" s="16"/>
      <c r="LCS72" s="16"/>
      <c r="LCT72" s="16"/>
      <c r="LCU72" s="16"/>
      <c r="LCV72" s="16"/>
      <c r="LCW72" s="16"/>
      <c r="LCX72" s="16"/>
      <c r="LCY72" s="16"/>
      <c r="LCZ72" s="16"/>
      <c r="LDA72" s="16"/>
      <c r="LDB72" s="16"/>
      <c r="LDC72" s="16"/>
      <c r="LDD72" s="16"/>
      <c r="LDE72" s="16"/>
      <c r="LDF72" s="16"/>
      <c r="LDG72" s="16"/>
      <c r="LDH72" s="16"/>
      <c r="LDI72" s="16"/>
      <c r="LDJ72" s="16"/>
      <c r="LDK72" s="16"/>
      <c r="LDL72" s="16"/>
      <c r="LDM72" s="16"/>
      <c r="LDN72" s="16"/>
      <c r="LDO72" s="16"/>
      <c r="LDP72" s="16"/>
      <c r="LDQ72" s="16"/>
      <c r="LDR72" s="16"/>
      <c r="LDS72" s="16"/>
      <c r="LDT72" s="16"/>
      <c r="LDU72" s="16"/>
      <c r="LDV72" s="16"/>
      <c r="LDW72" s="16"/>
      <c r="LDX72" s="16"/>
      <c r="LDY72" s="16"/>
      <c r="LDZ72" s="16"/>
      <c r="LEA72" s="16"/>
      <c r="LEB72" s="16"/>
      <c r="LEC72" s="16"/>
      <c r="LED72" s="16"/>
      <c r="LEE72" s="16"/>
      <c r="LEF72" s="16"/>
      <c r="LEG72" s="16"/>
      <c r="LEH72" s="16"/>
      <c r="LEI72" s="16"/>
      <c r="LEJ72" s="16"/>
      <c r="LEK72" s="16"/>
      <c r="LEL72" s="16"/>
      <c r="LEM72" s="16"/>
      <c r="LEN72" s="16"/>
      <c r="LEO72" s="16"/>
      <c r="LEP72" s="16"/>
      <c r="LEQ72" s="16"/>
      <c r="LER72" s="16"/>
      <c r="LES72" s="16"/>
      <c r="LET72" s="16"/>
      <c r="LEU72" s="16"/>
      <c r="LEV72" s="16"/>
      <c r="LEW72" s="16"/>
      <c r="LEX72" s="16"/>
      <c r="LEY72" s="16"/>
      <c r="LEZ72" s="16"/>
      <c r="LFA72" s="16"/>
      <c r="LFB72" s="16"/>
      <c r="LFC72" s="16"/>
      <c r="LFD72" s="16"/>
      <c r="LFE72" s="16"/>
      <c r="LFF72" s="16"/>
      <c r="LFG72" s="16"/>
      <c r="LFH72" s="16"/>
      <c r="LFI72" s="16"/>
      <c r="LFJ72" s="16"/>
      <c r="LFK72" s="16"/>
      <c r="LFL72" s="16"/>
      <c r="LFM72" s="16"/>
      <c r="LFN72" s="16"/>
      <c r="LFO72" s="16"/>
      <c r="LFP72" s="16"/>
      <c r="LFQ72" s="16"/>
      <c r="LFR72" s="16"/>
      <c r="LFS72" s="16"/>
      <c r="LFT72" s="16"/>
      <c r="LFU72" s="16"/>
      <c r="LFV72" s="16"/>
      <c r="LFW72" s="16"/>
      <c r="LFX72" s="16"/>
      <c r="LFY72" s="16"/>
      <c r="LFZ72" s="16"/>
      <c r="LGA72" s="16"/>
      <c r="LGB72" s="16"/>
      <c r="LGC72" s="16"/>
      <c r="LGD72" s="16"/>
      <c r="LGE72" s="16"/>
      <c r="LGF72" s="16"/>
      <c r="LGG72" s="16"/>
      <c r="LGH72" s="16"/>
      <c r="LGI72" s="16"/>
      <c r="LGJ72" s="16"/>
      <c r="LGK72" s="16"/>
      <c r="LGL72" s="16"/>
      <c r="LGM72" s="16"/>
      <c r="LGN72" s="16"/>
      <c r="LGO72" s="16"/>
      <c r="LGP72" s="16"/>
      <c r="LGQ72" s="16"/>
      <c r="LGR72" s="16"/>
      <c r="LGS72" s="16"/>
      <c r="LGT72" s="16"/>
      <c r="LGU72" s="16"/>
      <c r="LGV72" s="16"/>
      <c r="LGW72" s="16"/>
      <c r="LGX72" s="16"/>
      <c r="LGY72" s="16"/>
      <c r="LGZ72" s="16"/>
      <c r="LHA72" s="16"/>
      <c r="LHB72" s="16"/>
      <c r="LHC72" s="16"/>
      <c r="LHD72" s="16"/>
      <c r="LHE72" s="16"/>
      <c r="LHF72" s="16"/>
      <c r="LHG72" s="16"/>
      <c r="LHH72" s="16"/>
      <c r="LHI72" s="16"/>
      <c r="LHJ72" s="16"/>
      <c r="LHK72" s="16"/>
      <c r="LHL72" s="16"/>
      <c r="LHM72" s="16"/>
      <c r="LHN72" s="16"/>
      <c r="LHO72" s="16"/>
      <c r="LHP72" s="16"/>
      <c r="LHQ72" s="16"/>
      <c r="LHR72" s="16"/>
      <c r="LHS72" s="16"/>
      <c r="LHT72" s="16"/>
      <c r="LHU72" s="16"/>
      <c r="LHV72" s="16"/>
      <c r="LHW72" s="16"/>
      <c r="LHX72" s="16"/>
      <c r="LHY72" s="16"/>
      <c r="LHZ72" s="16"/>
      <c r="LIA72" s="16"/>
      <c r="LIB72" s="16"/>
      <c r="LIC72" s="16"/>
      <c r="LID72" s="16"/>
      <c r="LIE72" s="16"/>
      <c r="LIF72" s="16"/>
      <c r="LIG72" s="16"/>
      <c r="LIH72" s="16"/>
      <c r="LII72" s="16"/>
      <c r="LIJ72" s="16"/>
      <c r="LIK72" s="16"/>
      <c r="LIL72" s="16"/>
      <c r="LIM72" s="16"/>
      <c r="LIN72" s="16"/>
      <c r="LIO72" s="16"/>
      <c r="LIP72" s="16"/>
      <c r="LIQ72" s="16"/>
      <c r="LIR72" s="16"/>
      <c r="LIS72" s="16"/>
      <c r="LIT72" s="16"/>
      <c r="LIU72" s="16"/>
      <c r="LIV72" s="16"/>
      <c r="LIW72" s="16"/>
      <c r="LIX72" s="16"/>
      <c r="LIY72" s="16"/>
      <c r="LIZ72" s="16"/>
      <c r="LJA72" s="16"/>
      <c r="LJB72" s="16"/>
      <c r="LJC72" s="16"/>
      <c r="LJD72" s="16"/>
      <c r="LJE72" s="16"/>
      <c r="LJF72" s="16"/>
      <c r="LJG72" s="16"/>
      <c r="LJH72" s="16"/>
      <c r="LJI72" s="16"/>
      <c r="LJJ72" s="16"/>
      <c r="LJK72" s="16"/>
      <c r="LJL72" s="16"/>
      <c r="LJM72" s="16"/>
      <c r="LJN72" s="16"/>
      <c r="LJO72" s="16"/>
      <c r="LJP72" s="16"/>
      <c r="LJQ72" s="16"/>
      <c r="LJR72" s="16"/>
      <c r="LJS72" s="16"/>
      <c r="LJT72" s="16"/>
      <c r="LJU72" s="16"/>
      <c r="LJV72" s="16"/>
      <c r="LJW72" s="16"/>
      <c r="LJX72" s="16"/>
      <c r="LJY72" s="16"/>
      <c r="LJZ72" s="16"/>
      <c r="LKA72" s="16"/>
      <c r="LKB72" s="16"/>
      <c r="LKC72" s="16"/>
      <c r="LKD72" s="16"/>
      <c r="LKE72" s="16"/>
      <c r="LKF72" s="16"/>
      <c r="LKG72" s="16"/>
      <c r="LKH72" s="16"/>
      <c r="LKI72" s="16"/>
      <c r="LKJ72" s="16"/>
      <c r="LKK72" s="16"/>
      <c r="LKL72" s="16"/>
      <c r="LKM72" s="16"/>
      <c r="LKN72" s="16"/>
      <c r="LKO72" s="16"/>
      <c r="LKP72" s="16"/>
      <c r="LKQ72" s="16"/>
      <c r="LKR72" s="16"/>
      <c r="LKS72" s="16"/>
      <c r="LKT72" s="16"/>
      <c r="LKU72" s="16"/>
      <c r="LKV72" s="16"/>
      <c r="LKW72" s="16"/>
      <c r="LKX72" s="16"/>
      <c r="LKY72" s="16"/>
      <c r="LKZ72" s="16"/>
      <c r="LLA72" s="16"/>
      <c r="LLB72" s="16"/>
      <c r="LLC72" s="16"/>
      <c r="LLD72" s="16"/>
      <c r="LLE72" s="16"/>
      <c r="LLF72" s="16"/>
      <c r="LLG72" s="16"/>
      <c r="LLH72" s="16"/>
      <c r="LLI72" s="16"/>
      <c r="LLJ72" s="16"/>
      <c r="LLK72" s="16"/>
      <c r="LLL72" s="16"/>
      <c r="LLM72" s="16"/>
      <c r="LLN72" s="16"/>
      <c r="LLO72" s="16"/>
      <c r="LLP72" s="16"/>
      <c r="LLQ72" s="16"/>
      <c r="LLR72" s="16"/>
      <c r="LLS72" s="16"/>
      <c r="LLT72" s="16"/>
      <c r="LLU72" s="16"/>
      <c r="LLV72" s="16"/>
      <c r="LLW72" s="16"/>
      <c r="LLX72" s="16"/>
      <c r="LLY72" s="16"/>
      <c r="LLZ72" s="16"/>
      <c r="LMA72" s="16"/>
      <c r="LMB72" s="16"/>
      <c r="LMC72" s="16"/>
      <c r="LMD72" s="16"/>
      <c r="LME72" s="16"/>
      <c r="LMF72" s="16"/>
      <c r="LMG72" s="16"/>
      <c r="LMH72" s="16"/>
      <c r="LMI72" s="16"/>
      <c r="LMJ72" s="16"/>
      <c r="LMK72" s="16"/>
      <c r="LML72" s="16"/>
      <c r="LMM72" s="16"/>
      <c r="LMN72" s="16"/>
      <c r="LMO72" s="16"/>
      <c r="LMP72" s="16"/>
      <c r="LMQ72" s="16"/>
      <c r="LMR72" s="16"/>
      <c r="LMS72" s="16"/>
      <c r="LMT72" s="16"/>
      <c r="LMU72" s="16"/>
      <c r="LMV72" s="16"/>
      <c r="LMW72" s="16"/>
      <c r="LMX72" s="16"/>
      <c r="LMY72" s="16"/>
      <c r="LMZ72" s="16"/>
      <c r="LNA72" s="16"/>
      <c r="LNB72" s="16"/>
      <c r="LNC72" s="16"/>
      <c r="LND72" s="16"/>
      <c r="LNE72" s="16"/>
      <c r="LNF72" s="16"/>
      <c r="LNG72" s="16"/>
      <c r="LNH72" s="16"/>
      <c r="LNI72" s="16"/>
      <c r="LNJ72" s="16"/>
      <c r="LNK72" s="16"/>
      <c r="LNL72" s="16"/>
      <c r="LNM72" s="16"/>
      <c r="LNN72" s="16"/>
      <c r="LNO72" s="16"/>
      <c r="LNP72" s="16"/>
      <c r="LNQ72" s="16"/>
      <c r="LNR72" s="16"/>
      <c r="LNS72" s="16"/>
      <c r="LNT72" s="16"/>
      <c r="LNU72" s="16"/>
      <c r="LNV72" s="16"/>
      <c r="LNW72" s="16"/>
      <c r="LNX72" s="16"/>
      <c r="LNY72" s="16"/>
      <c r="LNZ72" s="16"/>
      <c r="LOA72" s="16"/>
      <c r="LOB72" s="16"/>
      <c r="LOC72" s="16"/>
      <c r="LOD72" s="16"/>
      <c r="LOE72" s="16"/>
      <c r="LOF72" s="16"/>
      <c r="LOG72" s="16"/>
      <c r="LOH72" s="16"/>
      <c r="LOI72" s="16"/>
      <c r="LOJ72" s="16"/>
      <c r="LOK72" s="16"/>
      <c r="LOL72" s="16"/>
      <c r="LOM72" s="16"/>
      <c r="LON72" s="16"/>
      <c r="LOO72" s="16"/>
      <c r="LOP72" s="16"/>
      <c r="LOQ72" s="16"/>
      <c r="LOR72" s="16"/>
      <c r="LOS72" s="16"/>
      <c r="LOT72" s="16"/>
      <c r="LOU72" s="16"/>
      <c r="LOV72" s="16"/>
      <c r="LOW72" s="16"/>
      <c r="LOX72" s="16"/>
      <c r="LOY72" s="16"/>
      <c r="LOZ72" s="16"/>
      <c r="LPA72" s="16"/>
      <c r="LPB72" s="16"/>
      <c r="LPC72" s="16"/>
      <c r="LPD72" s="16"/>
      <c r="LPE72" s="16"/>
      <c r="LPF72" s="16"/>
      <c r="LPG72" s="16"/>
      <c r="LPH72" s="16"/>
      <c r="LPI72" s="16"/>
      <c r="LPJ72" s="16"/>
      <c r="LPK72" s="16"/>
      <c r="LPL72" s="16"/>
      <c r="LPM72" s="16"/>
      <c r="LPN72" s="16"/>
      <c r="LPO72" s="16"/>
      <c r="LPP72" s="16"/>
      <c r="LPQ72" s="16"/>
      <c r="LPR72" s="16"/>
      <c r="LPS72" s="16"/>
      <c r="LPT72" s="16"/>
      <c r="LPU72" s="16"/>
      <c r="LPV72" s="16"/>
      <c r="LPW72" s="16"/>
      <c r="LPX72" s="16"/>
      <c r="LPY72" s="16"/>
      <c r="LPZ72" s="16"/>
      <c r="LQA72" s="16"/>
      <c r="LQB72" s="16"/>
      <c r="LQC72" s="16"/>
      <c r="LQD72" s="16"/>
      <c r="LQE72" s="16"/>
      <c r="LQF72" s="16"/>
      <c r="LQG72" s="16"/>
      <c r="LQH72" s="16"/>
      <c r="LQI72" s="16"/>
      <c r="LQJ72" s="16"/>
      <c r="LQK72" s="16"/>
      <c r="LQL72" s="16"/>
      <c r="LQM72" s="16"/>
      <c r="LQN72" s="16"/>
      <c r="LQO72" s="16"/>
      <c r="LQP72" s="16"/>
      <c r="LQQ72" s="16"/>
      <c r="LQR72" s="16"/>
      <c r="LQS72" s="16"/>
      <c r="LQT72" s="16"/>
      <c r="LQU72" s="16"/>
      <c r="LQV72" s="16"/>
      <c r="LQW72" s="16"/>
      <c r="LQX72" s="16"/>
      <c r="LQY72" s="16"/>
      <c r="LQZ72" s="16"/>
      <c r="LRA72" s="16"/>
      <c r="LRB72" s="16"/>
      <c r="LRC72" s="16"/>
      <c r="LRD72" s="16"/>
      <c r="LRE72" s="16"/>
      <c r="LRF72" s="16"/>
      <c r="LRG72" s="16"/>
      <c r="LRH72" s="16"/>
      <c r="LRI72" s="16"/>
      <c r="LRJ72" s="16"/>
      <c r="LRK72" s="16"/>
      <c r="LRL72" s="16"/>
      <c r="LRM72" s="16"/>
      <c r="LRN72" s="16"/>
      <c r="LRO72" s="16"/>
      <c r="LRP72" s="16"/>
      <c r="LRQ72" s="16"/>
      <c r="LRR72" s="16"/>
      <c r="LRS72" s="16"/>
      <c r="LRT72" s="16"/>
      <c r="LRU72" s="16"/>
      <c r="LRV72" s="16"/>
      <c r="LRW72" s="16"/>
      <c r="LRX72" s="16"/>
      <c r="LRY72" s="16"/>
      <c r="LRZ72" s="16"/>
      <c r="LSA72" s="16"/>
      <c r="LSB72" s="16"/>
      <c r="LSC72" s="16"/>
      <c r="LSD72" s="16"/>
      <c r="LSE72" s="16"/>
      <c r="LSF72" s="16"/>
      <c r="LSG72" s="16"/>
      <c r="LSH72" s="16"/>
      <c r="LSI72" s="16"/>
      <c r="LSJ72" s="16"/>
      <c r="LSK72" s="16"/>
      <c r="LSL72" s="16"/>
      <c r="LSM72" s="16"/>
      <c r="LSN72" s="16"/>
      <c r="LSO72" s="16"/>
      <c r="LSP72" s="16"/>
      <c r="LSQ72" s="16"/>
      <c r="LSR72" s="16"/>
      <c r="LSS72" s="16"/>
      <c r="LST72" s="16"/>
      <c r="LSU72" s="16"/>
      <c r="LSV72" s="16"/>
      <c r="LSW72" s="16"/>
      <c r="LSX72" s="16"/>
      <c r="LSY72" s="16"/>
      <c r="LSZ72" s="16"/>
      <c r="LTA72" s="16"/>
      <c r="LTB72" s="16"/>
      <c r="LTC72" s="16"/>
      <c r="LTD72" s="16"/>
      <c r="LTE72" s="16"/>
      <c r="LTF72" s="16"/>
      <c r="LTG72" s="16"/>
      <c r="LTH72" s="16"/>
      <c r="LTI72" s="16"/>
      <c r="LTJ72" s="16"/>
      <c r="LTK72" s="16"/>
      <c r="LTL72" s="16"/>
      <c r="LTM72" s="16"/>
      <c r="LTN72" s="16"/>
      <c r="LTO72" s="16"/>
      <c r="LTP72" s="16"/>
      <c r="LTQ72" s="16"/>
      <c r="LTR72" s="16"/>
      <c r="LTS72" s="16"/>
      <c r="LTT72" s="16"/>
      <c r="LTU72" s="16"/>
      <c r="LTV72" s="16"/>
      <c r="LTW72" s="16"/>
      <c r="LTX72" s="16"/>
      <c r="LTY72" s="16"/>
      <c r="LTZ72" s="16"/>
      <c r="LUA72" s="16"/>
      <c r="LUB72" s="16"/>
      <c r="LUC72" s="16"/>
      <c r="LUD72" s="16"/>
      <c r="LUE72" s="16"/>
      <c r="LUF72" s="16"/>
      <c r="LUG72" s="16"/>
      <c r="LUH72" s="16"/>
      <c r="LUI72" s="16"/>
      <c r="LUJ72" s="16"/>
      <c r="LUK72" s="16"/>
      <c r="LUL72" s="16"/>
      <c r="LUM72" s="16"/>
      <c r="LUN72" s="16"/>
      <c r="LUO72" s="16"/>
      <c r="LUP72" s="16"/>
      <c r="LUQ72" s="16"/>
      <c r="LUR72" s="16"/>
      <c r="LUS72" s="16"/>
      <c r="LUT72" s="16"/>
      <c r="LUU72" s="16"/>
      <c r="LUV72" s="16"/>
      <c r="LUW72" s="16"/>
      <c r="LUX72" s="16"/>
      <c r="LUY72" s="16"/>
      <c r="LUZ72" s="16"/>
      <c r="LVA72" s="16"/>
      <c r="LVB72" s="16"/>
      <c r="LVC72" s="16"/>
      <c r="LVD72" s="16"/>
      <c r="LVE72" s="16"/>
      <c r="LVF72" s="16"/>
      <c r="LVG72" s="16"/>
      <c r="LVH72" s="16"/>
      <c r="LVI72" s="16"/>
      <c r="LVJ72" s="16"/>
      <c r="LVK72" s="16"/>
      <c r="LVL72" s="16"/>
      <c r="LVM72" s="16"/>
      <c r="LVN72" s="16"/>
      <c r="LVO72" s="16"/>
      <c r="LVP72" s="16"/>
      <c r="LVQ72" s="16"/>
      <c r="LVR72" s="16"/>
      <c r="LVS72" s="16"/>
      <c r="LVT72" s="16"/>
      <c r="LVU72" s="16"/>
      <c r="LVV72" s="16"/>
      <c r="LVW72" s="16"/>
      <c r="LVX72" s="16"/>
      <c r="LVY72" s="16"/>
      <c r="LVZ72" s="16"/>
      <c r="LWA72" s="16"/>
      <c r="LWB72" s="16"/>
      <c r="LWC72" s="16"/>
      <c r="LWD72" s="16"/>
      <c r="LWE72" s="16"/>
      <c r="LWF72" s="16"/>
      <c r="LWG72" s="16"/>
      <c r="LWH72" s="16"/>
      <c r="LWI72" s="16"/>
      <c r="LWJ72" s="16"/>
      <c r="LWK72" s="16"/>
      <c r="LWL72" s="16"/>
      <c r="LWM72" s="16"/>
      <c r="LWN72" s="16"/>
      <c r="LWO72" s="16"/>
      <c r="LWP72" s="16"/>
      <c r="LWQ72" s="16"/>
      <c r="LWR72" s="16"/>
      <c r="LWS72" s="16"/>
      <c r="LWT72" s="16"/>
      <c r="LWU72" s="16"/>
      <c r="LWV72" s="16"/>
      <c r="LWW72" s="16"/>
      <c r="LWX72" s="16"/>
      <c r="LWY72" s="16"/>
      <c r="LWZ72" s="16"/>
      <c r="LXA72" s="16"/>
      <c r="LXB72" s="16"/>
      <c r="LXC72" s="16"/>
      <c r="LXD72" s="16"/>
      <c r="LXE72" s="16"/>
      <c r="LXF72" s="16"/>
      <c r="LXG72" s="16"/>
      <c r="LXH72" s="16"/>
      <c r="LXI72" s="16"/>
      <c r="LXJ72" s="16"/>
      <c r="LXK72" s="16"/>
      <c r="LXL72" s="16"/>
      <c r="LXM72" s="16"/>
      <c r="LXN72" s="16"/>
      <c r="LXO72" s="16"/>
      <c r="LXP72" s="16"/>
      <c r="LXQ72" s="16"/>
      <c r="LXR72" s="16"/>
      <c r="LXS72" s="16"/>
      <c r="LXT72" s="16"/>
      <c r="LXU72" s="16"/>
      <c r="LXV72" s="16"/>
      <c r="LXW72" s="16"/>
      <c r="LXX72" s="16"/>
      <c r="LXY72" s="16"/>
      <c r="LXZ72" s="16"/>
      <c r="LYA72" s="16"/>
      <c r="LYB72" s="16"/>
      <c r="LYC72" s="16"/>
      <c r="LYD72" s="16"/>
      <c r="LYE72" s="16"/>
      <c r="LYF72" s="16"/>
      <c r="LYG72" s="16"/>
      <c r="LYH72" s="16"/>
      <c r="LYI72" s="16"/>
      <c r="LYJ72" s="16"/>
      <c r="LYK72" s="16"/>
      <c r="LYL72" s="16"/>
      <c r="LYM72" s="16"/>
      <c r="LYN72" s="16"/>
      <c r="LYO72" s="16"/>
      <c r="LYP72" s="16"/>
      <c r="LYQ72" s="16"/>
      <c r="LYR72" s="16"/>
      <c r="LYS72" s="16"/>
      <c r="LYT72" s="16"/>
      <c r="LYU72" s="16"/>
      <c r="LYV72" s="16"/>
      <c r="LYW72" s="16"/>
      <c r="LYX72" s="16"/>
      <c r="LYY72" s="16"/>
      <c r="LYZ72" s="16"/>
      <c r="LZA72" s="16"/>
      <c r="LZB72" s="16"/>
      <c r="LZC72" s="16"/>
      <c r="LZD72" s="16"/>
      <c r="LZE72" s="16"/>
      <c r="LZF72" s="16"/>
      <c r="LZG72" s="16"/>
      <c r="LZH72" s="16"/>
      <c r="LZI72" s="16"/>
      <c r="LZJ72" s="16"/>
      <c r="LZK72" s="16"/>
      <c r="LZL72" s="16"/>
      <c r="LZM72" s="16"/>
      <c r="LZN72" s="16"/>
      <c r="LZO72" s="16"/>
      <c r="LZP72" s="16"/>
      <c r="LZQ72" s="16"/>
      <c r="LZR72" s="16"/>
      <c r="LZS72" s="16"/>
      <c r="LZT72" s="16"/>
      <c r="LZU72" s="16"/>
      <c r="LZV72" s="16"/>
      <c r="LZW72" s="16"/>
      <c r="LZX72" s="16"/>
      <c r="LZY72" s="16"/>
      <c r="LZZ72" s="16"/>
      <c r="MAA72" s="16"/>
      <c r="MAB72" s="16"/>
      <c r="MAC72" s="16"/>
      <c r="MAD72" s="16"/>
      <c r="MAE72" s="16"/>
      <c r="MAF72" s="16"/>
      <c r="MAG72" s="16"/>
      <c r="MAH72" s="16"/>
      <c r="MAI72" s="16"/>
      <c r="MAJ72" s="16"/>
      <c r="MAK72" s="16"/>
      <c r="MAL72" s="16"/>
      <c r="MAM72" s="16"/>
      <c r="MAN72" s="16"/>
      <c r="MAO72" s="16"/>
      <c r="MAP72" s="16"/>
      <c r="MAQ72" s="16"/>
      <c r="MAR72" s="16"/>
      <c r="MAS72" s="16"/>
      <c r="MAT72" s="16"/>
      <c r="MAU72" s="16"/>
      <c r="MAV72" s="16"/>
      <c r="MAW72" s="16"/>
      <c r="MAX72" s="16"/>
      <c r="MAY72" s="16"/>
      <c r="MAZ72" s="16"/>
      <c r="MBA72" s="16"/>
      <c r="MBB72" s="16"/>
      <c r="MBC72" s="16"/>
      <c r="MBD72" s="16"/>
      <c r="MBE72" s="16"/>
      <c r="MBF72" s="16"/>
      <c r="MBG72" s="16"/>
      <c r="MBH72" s="16"/>
      <c r="MBI72" s="16"/>
      <c r="MBJ72" s="16"/>
      <c r="MBK72" s="16"/>
      <c r="MBL72" s="16"/>
      <c r="MBM72" s="16"/>
      <c r="MBN72" s="16"/>
      <c r="MBO72" s="16"/>
      <c r="MBP72" s="16"/>
      <c r="MBQ72" s="16"/>
      <c r="MBR72" s="16"/>
      <c r="MBS72" s="16"/>
      <c r="MBT72" s="16"/>
      <c r="MBU72" s="16"/>
      <c r="MBV72" s="16"/>
      <c r="MBW72" s="16"/>
      <c r="MBX72" s="16"/>
      <c r="MBY72" s="16"/>
      <c r="MBZ72" s="16"/>
      <c r="MCA72" s="16"/>
      <c r="MCB72" s="16"/>
      <c r="MCC72" s="16"/>
      <c r="MCD72" s="16"/>
      <c r="MCE72" s="16"/>
      <c r="MCF72" s="16"/>
      <c r="MCG72" s="16"/>
      <c r="MCH72" s="16"/>
      <c r="MCI72" s="16"/>
      <c r="MCJ72" s="16"/>
      <c r="MCK72" s="16"/>
      <c r="MCL72" s="16"/>
      <c r="MCM72" s="16"/>
      <c r="MCN72" s="16"/>
      <c r="MCO72" s="16"/>
      <c r="MCP72" s="16"/>
      <c r="MCQ72" s="16"/>
      <c r="MCR72" s="16"/>
      <c r="MCS72" s="16"/>
      <c r="MCT72" s="16"/>
      <c r="MCU72" s="16"/>
      <c r="MCV72" s="16"/>
      <c r="MCW72" s="16"/>
      <c r="MCX72" s="16"/>
      <c r="MCY72" s="16"/>
      <c r="MCZ72" s="16"/>
      <c r="MDA72" s="16"/>
      <c r="MDB72" s="16"/>
      <c r="MDC72" s="16"/>
      <c r="MDD72" s="16"/>
      <c r="MDE72" s="16"/>
      <c r="MDF72" s="16"/>
      <c r="MDG72" s="16"/>
      <c r="MDH72" s="16"/>
      <c r="MDI72" s="16"/>
      <c r="MDJ72" s="16"/>
      <c r="MDK72" s="16"/>
      <c r="MDL72" s="16"/>
      <c r="MDM72" s="16"/>
      <c r="MDN72" s="16"/>
      <c r="MDO72" s="16"/>
      <c r="MDP72" s="16"/>
      <c r="MDQ72" s="16"/>
      <c r="MDR72" s="16"/>
      <c r="MDS72" s="16"/>
      <c r="MDT72" s="16"/>
      <c r="MDU72" s="16"/>
      <c r="MDV72" s="16"/>
      <c r="MDW72" s="16"/>
      <c r="MDX72" s="16"/>
      <c r="MDY72" s="16"/>
      <c r="MDZ72" s="16"/>
      <c r="MEA72" s="16"/>
      <c r="MEB72" s="16"/>
      <c r="MEC72" s="16"/>
      <c r="MED72" s="16"/>
      <c r="MEE72" s="16"/>
      <c r="MEF72" s="16"/>
      <c r="MEG72" s="16"/>
      <c r="MEH72" s="16"/>
      <c r="MEI72" s="16"/>
      <c r="MEJ72" s="16"/>
      <c r="MEK72" s="16"/>
      <c r="MEL72" s="16"/>
      <c r="MEM72" s="16"/>
      <c r="MEN72" s="16"/>
      <c r="MEO72" s="16"/>
      <c r="MEP72" s="16"/>
      <c r="MEQ72" s="16"/>
      <c r="MER72" s="16"/>
      <c r="MES72" s="16"/>
      <c r="MET72" s="16"/>
      <c r="MEU72" s="16"/>
      <c r="MEV72" s="16"/>
      <c r="MEW72" s="16"/>
      <c r="MEX72" s="16"/>
      <c r="MEY72" s="16"/>
      <c r="MEZ72" s="16"/>
      <c r="MFA72" s="16"/>
      <c r="MFB72" s="16"/>
      <c r="MFC72" s="16"/>
      <c r="MFD72" s="16"/>
      <c r="MFE72" s="16"/>
      <c r="MFF72" s="16"/>
      <c r="MFG72" s="16"/>
      <c r="MFH72" s="16"/>
      <c r="MFI72" s="16"/>
      <c r="MFJ72" s="16"/>
      <c r="MFK72" s="16"/>
      <c r="MFL72" s="16"/>
      <c r="MFM72" s="16"/>
      <c r="MFN72" s="16"/>
      <c r="MFO72" s="16"/>
      <c r="MFP72" s="16"/>
      <c r="MFQ72" s="16"/>
      <c r="MFR72" s="16"/>
      <c r="MFS72" s="16"/>
      <c r="MFT72" s="16"/>
      <c r="MFU72" s="16"/>
      <c r="MFV72" s="16"/>
      <c r="MFW72" s="16"/>
      <c r="MFX72" s="16"/>
      <c r="MFY72" s="16"/>
      <c r="MFZ72" s="16"/>
      <c r="MGA72" s="16"/>
      <c r="MGB72" s="16"/>
      <c r="MGC72" s="16"/>
      <c r="MGD72" s="16"/>
      <c r="MGE72" s="16"/>
      <c r="MGF72" s="16"/>
      <c r="MGG72" s="16"/>
      <c r="MGH72" s="16"/>
      <c r="MGI72" s="16"/>
      <c r="MGJ72" s="16"/>
      <c r="MGK72" s="16"/>
      <c r="MGL72" s="16"/>
      <c r="MGM72" s="16"/>
      <c r="MGN72" s="16"/>
      <c r="MGO72" s="16"/>
      <c r="MGP72" s="16"/>
      <c r="MGQ72" s="16"/>
      <c r="MGR72" s="16"/>
      <c r="MGS72" s="16"/>
      <c r="MGT72" s="16"/>
      <c r="MGU72" s="16"/>
      <c r="MGV72" s="16"/>
      <c r="MGW72" s="16"/>
      <c r="MGX72" s="16"/>
      <c r="MGY72" s="16"/>
      <c r="MGZ72" s="16"/>
      <c r="MHA72" s="16"/>
      <c r="MHB72" s="16"/>
      <c r="MHC72" s="16"/>
      <c r="MHD72" s="16"/>
      <c r="MHE72" s="16"/>
      <c r="MHF72" s="16"/>
      <c r="MHG72" s="16"/>
      <c r="MHH72" s="16"/>
      <c r="MHI72" s="16"/>
      <c r="MHJ72" s="16"/>
      <c r="MHK72" s="16"/>
      <c r="MHL72" s="16"/>
      <c r="MHM72" s="16"/>
      <c r="MHN72" s="16"/>
      <c r="MHO72" s="16"/>
      <c r="MHP72" s="16"/>
      <c r="MHQ72" s="16"/>
      <c r="MHR72" s="16"/>
      <c r="MHS72" s="16"/>
      <c r="MHT72" s="16"/>
      <c r="MHU72" s="16"/>
      <c r="MHV72" s="16"/>
      <c r="MHW72" s="16"/>
      <c r="MHX72" s="16"/>
      <c r="MHY72" s="16"/>
      <c r="MHZ72" s="16"/>
      <c r="MIA72" s="16"/>
      <c r="MIB72" s="16"/>
      <c r="MIC72" s="16"/>
      <c r="MID72" s="16"/>
      <c r="MIE72" s="16"/>
      <c r="MIF72" s="16"/>
      <c r="MIG72" s="16"/>
      <c r="MIH72" s="16"/>
      <c r="MII72" s="16"/>
      <c r="MIJ72" s="16"/>
      <c r="MIK72" s="16"/>
      <c r="MIL72" s="16"/>
      <c r="MIM72" s="16"/>
      <c r="MIN72" s="16"/>
      <c r="MIO72" s="16"/>
      <c r="MIP72" s="16"/>
      <c r="MIQ72" s="16"/>
      <c r="MIR72" s="16"/>
      <c r="MIS72" s="16"/>
      <c r="MIT72" s="16"/>
      <c r="MIU72" s="16"/>
      <c r="MIV72" s="16"/>
      <c r="MIW72" s="16"/>
      <c r="MIX72" s="16"/>
      <c r="MIY72" s="16"/>
      <c r="MIZ72" s="16"/>
      <c r="MJA72" s="16"/>
      <c r="MJB72" s="16"/>
      <c r="MJC72" s="16"/>
      <c r="MJD72" s="16"/>
      <c r="MJE72" s="16"/>
      <c r="MJF72" s="16"/>
      <c r="MJG72" s="16"/>
      <c r="MJH72" s="16"/>
      <c r="MJI72" s="16"/>
      <c r="MJJ72" s="16"/>
      <c r="MJK72" s="16"/>
      <c r="MJL72" s="16"/>
      <c r="MJM72" s="16"/>
      <c r="MJN72" s="16"/>
      <c r="MJO72" s="16"/>
      <c r="MJP72" s="16"/>
      <c r="MJQ72" s="16"/>
      <c r="MJR72" s="16"/>
      <c r="MJS72" s="16"/>
      <c r="MJT72" s="16"/>
      <c r="MJU72" s="16"/>
      <c r="MJV72" s="16"/>
      <c r="MJW72" s="16"/>
      <c r="MJX72" s="16"/>
      <c r="MJY72" s="16"/>
      <c r="MJZ72" s="16"/>
      <c r="MKA72" s="16"/>
      <c r="MKB72" s="16"/>
      <c r="MKC72" s="16"/>
      <c r="MKD72" s="16"/>
      <c r="MKE72" s="16"/>
      <c r="MKF72" s="16"/>
      <c r="MKG72" s="16"/>
      <c r="MKH72" s="16"/>
      <c r="MKI72" s="16"/>
      <c r="MKJ72" s="16"/>
      <c r="MKK72" s="16"/>
      <c r="MKL72" s="16"/>
      <c r="MKM72" s="16"/>
      <c r="MKN72" s="16"/>
      <c r="MKO72" s="16"/>
      <c r="MKP72" s="16"/>
      <c r="MKQ72" s="16"/>
      <c r="MKR72" s="16"/>
      <c r="MKS72" s="16"/>
      <c r="MKT72" s="16"/>
      <c r="MKU72" s="16"/>
      <c r="MKV72" s="16"/>
      <c r="MKW72" s="16"/>
      <c r="MKX72" s="16"/>
      <c r="MKY72" s="16"/>
      <c r="MKZ72" s="16"/>
      <c r="MLA72" s="16"/>
      <c r="MLB72" s="16"/>
      <c r="MLC72" s="16"/>
      <c r="MLD72" s="16"/>
      <c r="MLE72" s="16"/>
      <c r="MLF72" s="16"/>
      <c r="MLG72" s="16"/>
      <c r="MLH72" s="16"/>
      <c r="MLI72" s="16"/>
      <c r="MLJ72" s="16"/>
      <c r="MLK72" s="16"/>
      <c r="MLL72" s="16"/>
      <c r="MLM72" s="16"/>
      <c r="MLN72" s="16"/>
      <c r="MLO72" s="16"/>
      <c r="MLP72" s="16"/>
      <c r="MLQ72" s="16"/>
      <c r="MLR72" s="16"/>
      <c r="MLS72" s="16"/>
      <c r="MLT72" s="16"/>
      <c r="MLU72" s="16"/>
      <c r="MLV72" s="16"/>
      <c r="MLW72" s="16"/>
      <c r="MLX72" s="16"/>
      <c r="MLY72" s="16"/>
      <c r="MLZ72" s="16"/>
      <c r="MMA72" s="16"/>
      <c r="MMB72" s="16"/>
      <c r="MMC72" s="16"/>
      <c r="MMD72" s="16"/>
      <c r="MME72" s="16"/>
      <c r="MMF72" s="16"/>
      <c r="MMG72" s="16"/>
      <c r="MMH72" s="16"/>
      <c r="MMI72" s="16"/>
      <c r="MMJ72" s="16"/>
      <c r="MMK72" s="16"/>
      <c r="MML72" s="16"/>
      <c r="MMM72" s="16"/>
      <c r="MMN72" s="16"/>
      <c r="MMO72" s="16"/>
      <c r="MMP72" s="16"/>
      <c r="MMQ72" s="16"/>
      <c r="MMR72" s="16"/>
      <c r="MMS72" s="16"/>
      <c r="MMT72" s="16"/>
      <c r="MMU72" s="16"/>
      <c r="MMV72" s="16"/>
      <c r="MMW72" s="16"/>
      <c r="MMX72" s="16"/>
      <c r="MMY72" s="16"/>
      <c r="MMZ72" s="16"/>
      <c r="MNA72" s="16"/>
      <c r="MNB72" s="16"/>
      <c r="MNC72" s="16"/>
      <c r="MND72" s="16"/>
      <c r="MNE72" s="16"/>
      <c r="MNF72" s="16"/>
      <c r="MNG72" s="16"/>
      <c r="MNH72" s="16"/>
      <c r="MNI72" s="16"/>
      <c r="MNJ72" s="16"/>
      <c r="MNK72" s="16"/>
      <c r="MNL72" s="16"/>
      <c r="MNM72" s="16"/>
      <c r="MNN72" s="16"/>
      <c r="MNO72" s="16"/>
      <c r="MNP72" s="16"/>
      <c r="MNQ72" s="16"/>
      <c r="MNR72" s="16"/>
      <c r="MNS72" s="16"/>
      <c r="MNT72" s="16"/>
      <c r="MNU72" s="16"/>
      <c r="MNV72" s="16"/>
      <c r="MNW72" s="16"/>
      <c r="MNX72" s="16"/>
      <c r="MNY72" s="16"/>
      <c r="MNZ72" s="16"/>
      <c r="MOA72" s="16"/>
      <c r="MOB72" s="16"/>
      <c r="MOC72" s="16"/>
      <c r="MOD72" s="16"/>
      <c r="MOE72" s="16"/>
      <c r="MOF72" s="16"/>
      <c r="MOG72" s="16"/>
      <c r="MOH72" s="16"/>
      <c r="MOI72" s="16"/>
      <c r="MOJ72" s="16"/>
      <c r="MOK72" s="16"/>
      <c r="MOL72" s="16"/>
      <c r="MOM72" s="16"/>
      <c r="MON72" s="16"/>
      <c r="MOO72" s="16"/>
      <c r="MOP72" s="16"/>
      <c r="MOQ72" s="16"/>
      <c r="MOR72" s="16"/>
      <c r="MOS72" s="16"/>
      <c r="MOT72" s="16"/>
      <c r="MOU72" s="16"/>
      <c r="MOV72" s="16"/>
      <c r="MOW72" s="16"/>
      <c r="MOX72" s="16"/>
      <c r="MOY72" s="16"/>
      <c r="MOZ72" s="16"/>
      <c r="MPA72" s="16"/>
      <c r="MPB72" s="16"/>
      <c r="MPC72" s="16"/>
      <c r="MPD72" s="16"/>
      <c r="MPE72" s="16"/>
      <c r="MPF72" s="16"/>
      <c r="MPG72" s="16"/>
      <c r="MPH72" s="16"/>
      <c r="MPI72" s="16"/>
      <c r="MPJ72" s="16"/>
      <c r="MPK72" s="16"/>
      <c r="MPL72" s="16"/>
      <c r="MPM72" s="16"/>
      <c r="MPN72" s="16"/>
      <c r="MPO72" s="16"/>
      <c r="MPP72" s="16"/>
      <c r="MPQ72" s="16"/>
      <c r="MPR72" s="16"/>
      <c r="MPS72" s="16"/>
      <c r="MPT72" s="16"/>
      <c r="MPU72" s="16"/>
      <c r="MPV72" s="16"/>
      <c r="MPW72" s="16"/>
      <c r="MPX72" s="16"/>
      <c r="MPY72" s="16"/>
      <c r="MPZ72" s="16"/>
      <c r="MQA72" s="16"/>
      <c r="MQB72" s="16"/>
      <c r="MQC72" s="16"/>
      <c r="MQD72" s="16"/>
      <c r="MQE72" s="16"/>
      <c r="MQF72" s="16"/>
      <c r="MQG72" s="16"/>
      <c r="MQH72" s="16"/>
      <c r="MQI72" s="16"/>
      <c r="MQJ72" s="16"/>
      <c r="MQK72" s="16"/>
      <c r="MQL72" s="16"/>
      <c r="MQM72" s="16"/>
      <c r="MQN72" s="16"/>
      <c r="MQO72" s="16"/>
      <c r="MQP72" s="16"/>
      <c r="MQQ72" s="16"/>
      <c r="MQR72" s="16"/>
      <c r="MQS72" s="16"/>
      <c r="MQT72" s="16"/>
      <c r="MQU72" s="16"/>
      <c r="MQV72" s="16"/>
      <c r="MQW72" s="16"/>
      <c r="MQX72" s="16"/>
      <c r="MQY72" s="16"/>
      <c r="MQZ72" s="16"/>
      <c r="MRA72" s="16"/>
      <c r="MRB72" s="16"/>
      <c r="MRC72" s="16"/>
      <c r="MRD72" s="16"/>
      <c r="MRE72" s="16"/>
      <c r="MRF72" s="16"/>
      <c r="MRG72" s="16"/>
      <c r="MRH72" s="16"/>
      <c r="MRI72" s="16"/>
      <c r="MRJ72" s="16"/>
      <c r="MRK72" s="16"/>
      <c r="MRL72" s="16"/>
      <c r="MRM72" s="16"/>
      <c r="MRN72" s="16"/>
      <c r="MRO72" s="16"/>
      <c r="MRP72" s="16"/>
      <c r="MRQ72" s="16"/>
      <c r="MRR72" s="16"/>
      <c r="MRS72" s="16"/>
      <c r="MRT72" s="16"/>
      <c r="MRU72" s="16"/>
      <c r="MRV72" s="16"/>
      <c r="MRW72" s="16"/>
      <c r="MRX72" s="16"/>
      <c r="MRY72" s="16"/>
      <c r="MRZ72" s="16"/>
      <c r="MSA72" s="16"/>
      <c r="MSB72" s="16"/>
      <c r="MSC72" s="16"/>
      <c r="MSD72" s="16"/>
      <c r="MSE72" s="16"/>
      <c r="MSF72" s="16"/>
      <c r="MSG72" s="16"/>
      <c r="MSH72" s="16"/>
      <c r="MSI72" s="16"/>
      <c r="MSJ72" s="16"/>
      <c r="MSK72" s="16"/>
      <c r="MSL72" s="16"/>
      <c r="MSM72" s="16"/>
      <c r="MSN72" s="16"/>
      <c r="MSO72" s="16"/>
      <c r="MSP72" s="16"/>
      <c r="MSQ72" s="16"/>
      <c r="MSR72" s="16"/>
      <c r="MSS72" s="16"/>
      <c r="MST72" s="16"/>
      <c r="MSU72" s="16"/>
      <c r="MSV72" s="16"/>
      <c r="MSW72" s="16"/>
      <c r="MSX72" s="16"/>
      <c r="MSY72" s="16"/>
      <c r="MSZ72" s="16"/>
      <c r="MTA72" s="16"/>
      <c r="MTB72" s="16"/>
      <c r="MTC72" s="16"/>
      <c r="MTD72" s="16"/>
      <c r="MTE72" s="16"/>
      <c r="MTF72" s="16"/>
      <c r="MTG72" s="16"/>
      <c r="MTH72" s="16"/>
      <c r="MTI72" s="16"/>
      <c r="MTJ72" s="16"/>
      <c r="MTK72" s="16"/>
      <c r="MTL72" s="16"/>
      <c r="MTM72" s="16"/>
      <c r="MTN72" s="16"/>
      <c r="MTO72" s="16"/>
      <c r="MTP72" s="16"/>
      <c r="MTQ72" s="16"/>
      <c r="MTR72" s="16"/>
      <c r="MTS72" s="16"/>
      <c r="MTT72" s="16"/>
      <c r="MTU72" s="16"/>
      <c r="MTV72" s="16"/>
      <c r="MTW72" s="16"/>
      <c r="MTX72" s="16"/>
      <c r="MTY72" s="16"/>
      <c r="MTZ72" s="16"/>
      <c r="MUA72" s="16"/>
      <c r="MUB72" s="16"/>
      <c r="MUC72" s="16"/>
      <c r="MUD72" s="16"/>
      <c r="MUE72" s="16"/>
      <c r="MUF72" s="16"/>
      <c r="MUG72" s="16"/>
      <c r="MUH72" s="16"/>
      <c r="MUI72" s="16"/>
      <c r="MUJ72" s="16"/>
      <c r="MUK72" s="16"/>
      <c r="MUL72" s="16"/>
      <c r="MUM72" s="16"/>
      <c r="MUN72" s="16"/>
      <c r="MUO72" s="16"/>
      <c r="MUP72" s="16"/>
      <c r="MUQ72" s="16"/>
      <c r="MUR72" s="16"/>
      <c r="MUS72" s="16"/>
      <c r="MUT72" s="16"/>
      <c r="MUU72" s="16"/>
      <c r="MUV72" s="16"/>
      <c r="MUW72" s="16"/>
      <c r="MUX72" s="16"/>
      <c r="MUY72" s="16"/>
      <c r="MUZ72" s="16"/>
      <c r="MVA72" s="16"/>
      <c r="MVB72" s="16"/>
      <c r="MVC72" s="16"/>
      <c r="MVD72" s="16"/>
      <c r="MVE72" s="16"/>
      <c r="MVF72" s="16"/>
      <c r="MVG72" s="16"/>
      <c r="MVH72" s="16"/>
      <c r="MVI72" s="16"/>
      <c r="MVJ72" s="16"/>
      <c r="MVK72" s="16"/>
      <c r="MVL72" s="16"/>
      <c r="MVM72" s="16"/>
      <c r="MVN72" s="16"/>
      <c r="MVO72" s="16"/>
      <c r="MVP72" s="16"/>
      <c r="MVQ72" s="16"/>
      <c r="MVR72" s="16"/>
      <c r="MVS72" s="16"/>
      <c r="MVT72" s="16"/>
      <c r="MVU72" s="16"/>
      <c r="MVV72" s="16"/>
      <c r="MVW72" s="16"/>
      <c r="MVX72" s="16"/>
      <c r="MVY72" s="16"/>
      <c r="MVZ72" s="16"/>
      <c r="MWA72" s="16"/>
      <c r="MWB72" s="16"/>
      <c r="MWC72" s="16"/>
      <c r="MWD72" s="16"/>
      <c r="MWE72" s="16"/>
      <c r="MWF72" s="16"/>
      <c r="MWG72" s="16"/>
      <c r="MWH72" s="16"/>
      <c r="MWI72" s="16"/>
      <c r="MWJ72" s="16"/>
      <c r="MWK72" s="16"/>
      <c r="MWL72" s="16"/>
      <c r="MWM72" s="16"/>
      <c r="MWN72" s="16"/>
      <c r="MWO72" s="16"/>
      <c r="MWP72" s="16"/>
      <c r="MWQ72" s="16"/>
      <c r="MWR72" s="16"/>
      <c r="MWS72" s="16"/>
      <c r="MWT72" s="16"/>
      <c r="MWU72" s="16"/>
      <c r="MWV72" s="16"/>
      <c r="MWW72" s="16"/>
      <c r="MWX72" s="16"/>
      <c r="MWY72" s="16"/>
      <c r="MWZ72" s="16"/>
      <c r="MXA72" s="16"/>
      <c r="MXB72" s="16"/>
      <c r="MXC72" s="16"/>
      <c r="MXD72" s="16"/>
      <c r="MXE72" s="16"/>
      <c r="MXF72" s="16"/>
      <c r="MXG72" s="16"/>
      <c r="MXH72" s="16"/>
      <c r="MXI72" s="16"/>
      <c r="MXJ72" s="16"/>
      <c r="MXK72" s="16"/>
      <c r="MXL72" s="16"/>
      <c r="MXM72" s="16"/>
      <c r="MXN72" s="16"/>
      <c r="MXO72" s="16"/>
      <c r="MXP72" s="16"/>
      <c r="MXQ72" s="16"/>
      <c r="MXR72" s="16"/>
      <c r="MXS72" s="16"/>
      <c r="MXT72" s="16"/>
      <c r="MXU72" s="16"/>
      <c r="MXV72" s="16"/>
      <c r="MXW72" s="16"/>
      <c r="MXX72" s="16"/>
      <c r="MXY72" s="16"/>
      <c r="MXZ72" s="16"/>
      <c r="MYA72" s="16"/>
      <c r="MYB72" s="16"/>
      <c r="MYC72" s="16"/>
      <c r="MYD72" s="16"/>
      <c r="MYE72" s="16"/>
      <c r="MYF72" s="16"/>
      <c r="MYG72" s="16"/>
      <c r="MYH72" s="16"/>
      <c r="MYI72" s="16"/>
      <c r="MYJ72" s="16"/>
      <c r="MYK72" s="16"/>
      <c r="MYL72" s="16"/>
      <c r="MYM72" s="16"/>
      <c r="MYN72" s="16"/>
      <c r="MYO72" s="16"/>
      <c r="MYP72" s="16"/>
      <c r="MYQ72" s="16"/>
      <c r="MYR72" s="16"/>
      <c r="MYS72" s="16"/>
      <c r="MYT72" s="16"/>
      <c r="MYU72" s="16"/>
      <c r="MYV72" s="16"/>
      <c r="MYW72" s="16"/>
      <c r="MYX72" s="16"/>
      <c r="MYY72" s="16"/>
      <c r="MYZ72" s="16"/>
      <c r="MZA72" s="16"/>
      <c r="MZB72" s="16"/>
      <c r="MZC72" s="16"/>
      <c r="MZD72" s="16"/>
      <c r="MZE72" s="16"/>
      <c r="MZF72" s="16"/>
      <c r="MZG72" s="16"/>
      <c r="MZH72" s="16"/>
      <c r="MZI72" s="16"/>
      <c r="MZJ72" s="16"/>
      <c r="MZK72" s="16"/>
      <c r="MZL72" s="16"/>
      <c r="MZM72" s="16"/>
      <c r="MZN72" s="16"/>
      <c r="MZO72" s="16"/>
      <c r="MZP72" s="16"/>
      <c r="MZQ72" s="16"/>
      <c r="MZR72" s="16"/>
      <c r="MZS72" s="16"/>
      <c r="MZT72" s="16"/>
      <c r="MZU72" s="16"/>
      <c r="MZV72" s="16"/>
      <c r="MZW72" s="16"/>
      <c r="MZX72" s="16"/>
      <c r="MZY72" s="16"/>
      <c r="MZZ72" s="16"/>
      <c r="NAA72" s="16"/>
      <c r="NAB72" s="16"/>
      <c r="NAC72" s="16"/>
      <c r="NAD72" s="16"/>
      <c r="NAE72" s="16"/>
      <c r="NAF72" s="16"/>
      <c r="NAG72" s="16"/>
      <c r="NAH72" s="16"/>
      <c r="NAI72" s="16"/>
      <c r="NAJ72" s="16"/>
      <c r="NAK72" s="16"/>
      <c r="NAL72" s="16"/>
      <c r="NAM72" s="16"/>
      <c r="NAN72" s="16"/>
      <c r="NAO72" s="16"/>
      <c r="NAP72" s="16"/>
      <c r="NAQ72" s="16"/>
      <c r="NAR72" s="16"/>
      <c r="NAS72" s="16"/>
      <c r="NAT72" s="16"/>
      <c r="NAU72" s="16"/>
      <c r="NAV72" s="16"/>
      <c r="NAW72" s="16"/>
      <c r="NAX72" s="16"/>
      <c r="NAY72" s="16"/>
      <c r="NAZ72" s="16"/>
      <c r="NBA72" s="16"/>
      <c r="NBB72" s="16"/>
      <c r="NBC72" s="16"/>
      <c r="NBD72" s="16"/>
      <c r="NBE72" s="16"/>
      <c r="NBF72" s="16"/>
      <c r="NBG72" s="16"/>
      <c r="NBH72" s="16"/>
      <c r="NBI72" s="16"/>
      <c r="NBJ72" s="16"/>
      <c r="NBK72" s="16"/>
      <c r="NBL72" s="16"/>
      <c r="NBM72" s="16"/>
      <c r="NBN72" s="16"/>
      <c r="NBO72" s="16"/>
      <c r="NBP72" s="16"/>
      <c r="NBQ72" s="16"/>
      <c r="NBR72" s="16"/>
      <c r="NBS72" s="16"/>
      <c r="NBT72" s="16"/>
      <c r="NBU72" s="16"/>
      <c r="NBV72" s="16"/>
      <c r="NBW72" s="16"/>
      <c r="NBX72" s="16"/>
      <c r="NBY72" s="16"/>
      <c r="NBZ72" s="16"/>
      <c r="NCA72" s="16"/>
      <c r="NCB72" s="16"/>
      <c r="NCC72" s="16"/>
      <c r="NCD72" s="16"/>
      <c r="NCE72" s="16"/>
      <c r="NCF72" s="16"/>
      <c r="NCG72" s="16"/>
      <c r="NCH72" s="16"/>
      <c r="NCI72" s="16"/>
      <c r="NCJ72" s="16"/>
      <c r="NCK72" s="16"/>
      <c r="NCL72" s="16"/>
      <c r="NCM72" s="16"/>
      <c r="NCN72" s="16"/>
      <c r="NCO72" s="16"/>
      <c r="NCP72" s="16"/>
      <c r="NCQ72" s="16"/>
      <c r="NCR72" s="16"/>
      <c r="NCS72" s="16"/>
      <c r="NCT72" s="16"/>
      <c r="NCU72" s="16"/>
      <c r="NCV72" s="16"/>
      <c r="NCW72" s="16"/>
      <c r="NCX72" s="16"/>
      <c r="NCY72" s="16"/>
      <c r="NCZ72" s="16"/>
      <c r="NDA72" s="16"/>
      <c r="NDB72" s="16"/>
      <c r="NDC72" s="16"/>
      <c r="NDD72" s="16"/>
      <c r="NDE72" s="16"/>
      <c r="NDF72" s="16"/>
      <c r="NDG72" s="16"/>
      <c r="NDH72" s="16"/>
      <c r="NDI72" s="16"/>
      <c r="NDJ72" s="16"/>
      <c r="NDK72" s="16"/>
      <c r="NDL72" s="16"/>
      <c r="NDM72" s="16"/>
      <c r="NDN72" s="16"/>
      <c r="NDO72" s="16"/>
      <c r="NDP72" s="16"/>
      <c r="NDQ72" s="16"/>
      <c r="NDR72" s="16"/>
      <c r="NDS72" s="16"/>
      <c r="NDT72" s="16"/>
      <c r="NDU72" s="16"/>
      <c r="NDV72" s="16"/>
      <c r="NDW72" s="16"/>
      <c r="NDX72" s="16"/>
      <c r="NDY72" s="16"/>
      <c r="NDZ72" s="16"/>
      <c r="NEA72" s="16"/>
      <c r="NEB72" s="16"/>
      <c r="NEC72" s="16"/>
      <c r="NED72" s="16"/>
      <c r="NEE72" s="16"/>
      <c r="NEF72" s="16"/>
      <c r="NEG72" s="16"/>
      <c r="NEH72" s="16"/>
      <c r="NEI72" s="16"/>
      <c r="NEJ72" s="16"/>
      <c r="NEK72" s="16"/>
      <c r="NEL72" s="16"/>
      <c r="NEM72" s="16"/>
      <c r="NEN72" s="16"/>
      <c r="NEO72" s="16"/>
      <c r="NEP72" s="16"/>
      <c r="NEQ72" s="16"/>
      <c r="NER72" s="16"/>
      <c r="NES72" s="16"/>
      <c r="NET72" s="16"/>
      <c r="NEU72" s="16"/>
      <c r="NEV72" s="16"/>
      <c r="NEW72" s="16"/>
      <c r="NEX72" s="16"/>
      <c r="NEY72" s="16"/>
      <c r="NEZ72" s="16"/>
      <c r="NFA72" s="16"/>
      <c r="NFB72" s="16"/>
      <c r="NFC72" s="16"/>
      <c r="NFD72" s="16"/>
      <c r="NFE72" s="16"/>
      <c r="NFF72" s="16"/>
      <c r="NFG72" s="16"/>
      <c r="NFH72" s="16"/>
      <c r="NFI72" s="16"/>
      <c r="NFJ72" s="16"/>
      <c r="NFK72" s="16"/>
      <c r="NFL72" s="16"/>
      <c r="NFM72" s="16"/>
      <c r="NFN72" s="16"/>
      <c r="NFO72" s="16"/>
      <c r="NFP72" s="16"/>
      <c r="NFQ72" s="16"/>
      <c r="NFR72" s="16"/>
      <c r="NFS72" s="16"/>
      <c r="NFT72" s="16"/>
      <c r="NFU72" s="16"/>
      <c r="NFV72" s="16"/>
      <c r="NFW72" s="16"/>
      <c r="NFX72" s="16"/>
      <c r="NFY72" s="16"/>
      <c r="NFZ72" s="16"/>
      <c r="NGA72" s="16"/>
      <c r="NGB72" s="16"/>
      <c r="NGC72" s="16"/>
      <c r="NGD72" s="16"/>
      <c r="NGE72" s="16"/>
      <c r="NGF72" s="16"/>
      <c r="NGG72" s="16"/>
      <c r="NGH72" s="16"/>
      <c r="NGI72" s="16"/>
      <c r="NGJ72" s="16"/>
      <c r="NGK72" s="16"/>
      <c r="NGL72" s="16"/>
      <c r="NGM72" s="16"/>
      <c r="NGN72" s="16"/>
      <c r="NGO72" s="16"/>
      <c r="NGP72" s="16"/>
      <c r="NGQ72" s="16"/>
      <c r="NGR72" s="16"/>
      <c r="NGS72" s="16"/>
      <c r="NGT72" s="16"/>
      <c r="NGU72" s="16"/>
      <c r="NGV72" s="16"/>
      <c r="NGW72" s="16"/>
      <c r="NGX72" s="16"/>
      <c r="NGY72" s="16"/>
      <c r="NGZ72" s="16"/>
      <c r="NHA72" s="16"/>
      <c r="NHB72" s="16"/>
      <c r="NHC72" s="16"/>
      <c r="NHD72" s="16"/>
      <c r="NHE72" s="16"/>
      <c r="NHF72" s="16"/>
      <c r="NHG72" s="16"/>
      <c r="NHH72" s="16"/>
      <c r="NHI72" s="16"/>
      <c r="NHJ72" s="16"/>
      <c r="NHK72" s="16"/>
      <c r="NHL72" s="16"/>
      <c r="NHM72" s="16"/>
      <c r="NHN72" s="16"/>
      <c r="NHO72" s="16"/>
      <c r="NHP72" s="16"/>
      <c r="NHQ72" s="16"/>
      <c r="NHR72" s="16"/>
      <c r="NHS72" s="16"/>
      <c r="NHT72" s="16"/>
      <c r="NHU72" s="16"/>
      <c r="NHV72" s="16"/>
      <c r="NHW72" s="16"/>
      <c r="NHX72" s="16"/>
      <c r="NHY72" s="16"/>
      <c r="NHZ72" s="16"/>
      <c r="NIA72" s="16"/>
      <c r="NIB72" s="16"/>
      <c r="NIC72" s="16"/>
      <c r="NID72" s="16"/>
      <c r="NIE72" s="16"/>
      <c r="NIF72" s="16"/>
      <c r="NIG72" s="16"/>
      <c r="NIH72" s="16"/>
      <c r="NII72" s="16"/>
      <c r="NIJ72" s="16"/>
      <c r="NIK72" s="16"/>
      <c r="NIL72" s="16"/>
      <c r="NIM72" s="16"/>
      <c r="NIN72" s="16"/>
      <c r="NIO72" s="16"/>
      <c r="NIP72" s="16"/>
      <c r="NIQ72" s="16"/>
      <c r="NIR72" s="16"/>
      <c r="NIS72" s="16"/>
      <c r="NIT72" s="16"/>
      <c r="NIU72" s="16"/>
      <c r="NIV72" s="16"/>
      <c r="NIW72" s="16"/>
      <c r="NIX72" s="16"/>
      <c r="NIY72" s="16"/>
      <c r="NIZ72" s="16"/>
      <c r="NJA72" s="16"/>
      <c r="NJB72" s="16"/>
      <c r="NJC72" s="16"/>
      <c r="NJD72" s="16"/>
      <c r="NJE72" s="16"/>
      <c r="NJF72" s="16"/>
      <c r="NJG72" s="16"/>
      <c r="NJH72" s="16"/>
      <c r="NJI72" s="16"/>
      <c r="NJJ72" s="16"/>
      <c r="NJK72" s="16"/>
      <c r="NJL72" s="16"/>
      <c r="NJM72" s="16"/>
      <c r="NJN72" s="16"/>
      <c r="NJO72" s="16"/>
      <c r="NJP72" s="16"/>
      <c r="NJQ72" s="16"/>
      <c r="NJR72" s="16"/>
      <c r="NJS72" s="16"/>
      <c r="NJT72" s="16"/>
      <c r="NJU72" s="16"/>
      <c r="NJV72" s="16"/>
      <c r="NJW72" s="16"/>
      <c r="NJX72" s="16"/>
      <c r="NJY72" s="16"/>
      <c r="NJZ72" s="16"/>
      <c r="NKA72" s="16"/>
      <c r="NKB72" s="16"/>
      <c r="NKC72" s="16"/>
      <c r="NKD72" s="16"/>
      <c r="NKE72" s="16"/>
      <c r="NKF72" s="16"/>
      <c r="NKG72" s="16"/>
      <c r="NKH72" s="16"/>
      <c r="NKI72" s="16"/>
      <c r="NKJ72" s="16"/>
      <c r="NKK72" s="16"/>
      <c r="NKL72" s="16"/>
      <c r="NKM72" s="16"/>
      <c r="NKN72" s="16"/>
      <c r="NKO72" s="16"/>
      <c r="NKP72" s="16"/>
      <c r="NKQ72" s="16"/>
      <c r="NKR72" s="16"/>
      <c r="NKS72" s="16"/>
      <c r="NKT72" s="16"/>
      <c r="NKU72" s="16"/>
      <c r="NKV72" s="16"/>
      <c r="NKW72" s="16"/>
      <c r="NKX72" s="16"/>
      <c r="NKY72" s="16"/>
      <c r="NKZ72" s="16"/>
      <c r="NLA72" s="16"/>
      <c r="NLB72" s="16"/>
      <c r="NLC72" s="16"/>
      <c r="NLD72" s="16"/>
      <c r="NLE72" s="16"/>
      <c r="NLF72" s="16"/>
      <c r="NLG72" s="16"/>
      <c r="NLH72" s="16"/>
      <c r="NLI72" s="16"/>
      <c r="NLJ72" s="16"/>
      <c r="NLK72" s="16"/>
      <c r="NLL72" s="16"/>
      <c r="NLM72" s="16"/>
      <c r="NLN72" s="16"/>
      <c r="NLO72" s="16"/>
      <c r="NLP72" s="16"/>
      <c r="NLQ72" s="16"/>
      <c r="NLR72" s="16"/>
      <c r="NLS72" s="16"/>
      <c r="NLT72" s="16"/>
      <c r="NLU72" s="16"/>
      <c r="NLV72" s="16"/>
      <c r="NLW72" s="16"/>
      <c r="NLX72" s="16"/>
      <c r="NLY72" s="16"/>
      <c r="NLZ72" s="16"/>
      <c r="NMA72" s="16"/>
      <c r="NMB72" s="16"/>
      <c r="NMC72" s="16"/>
      <c r="NMD72" s="16"/>
      <c r="NME72" s="16"/>
      <c r="NMF72" s="16"/>
      <c r="NMG72" s="16"/>
      <c r="NMH72" s="16"/>
      <c r="NMI72" s="16"/>
      <c r="NMJ72" s="16"/>
      <c r="NMK72" s="16"/>
      <c r="NML72" s="16"/>
      <c r="NMM72" s="16"/>
      <c r="NMN72" s="16"/>
      <c r="NMO72" s="16"/>
      <c r="NMP72" s="16"/>
      <c r="NMQ72" s="16"/>
      <c r="NMR72" s="16"/>
      <c r="NMS72" s="16"/>
      <c r="NMT72" s="16"/>
      <c r="NMU72" s="16"/>
      <c r="NMV72" s="16"/>
      <c r="NMW72" s="16"/>
      <c r="NMX72" s="16"/>
      <c r="NMY72" s="16"/>
      <c r="NMZ72" s="16"/>
      <c r="NNA72" s="16"/>
      <c r="NNB72" s="16"/>
      <c r="NNC72" s="16"/>
      <c r="NND72" s="16"/>
      <c r="NNE72" s="16"/>
      <c r="NNF72" s="16"/>
      <c r="NNG72" s="16"/>
      <c r="NNH72" s="16"/>
      <c r="NNI72" s="16"/>
      <c r="NNJ72" s="16"/>
      <c r="NNK72" s="16"/>
      <c r="NNL72" s="16"/>
      <c r="NNM72" s="16"/>
      <c r="NNN72" s="16"/>
      <c r="NNO72" s="16"/>
      <c r="NNP72" s="16"/>
      <c r="NNQ72" s="16"/>
      <c r="NNR72" s="16"/>
      <c r="NNS72" s="16"/>
      <c r="NNT72" s="16"/>
      <c r="NNU72" s="16"/>
      <c r="NNV72" s="16"/>
      <c r="NNW72" s="16"/>
      <c r="NNX72" s="16"/>
      <c r="NNY72" s="16"/>
      <c r="NNZ72" s="16"/>
      <c r="NOA72" s="16"/>
      <c r="NOB72" s="16"/>
      <c r="NOC72" s="16"/>
      <c r="NOD72" s="16"/>
      <c r="NOE72" s="16"/>
      <c r="NOF72" s="16"/>
      <c r="NOG72" s="16"/>
      <c r="NOH72" s="16"/>
      <c r="NOI72" s="16"/>
      <c r="NOJ72" s="16"/>
      <c r="NOK72" s="16"/>
      <c r="NOL72" s="16"/>
      <c r="NOM72" s="16"/>
      <c r="NON72" s="16"/>
      <c r="NOO72" s="16"/>
      <c r="NOP72" s="16"/>
      <c r="NOQ72" s="16"/>
      <c r="NOR72" s="16"/>
      <c r="NOS72" s="16"/>
      <c r="NOT72" s="16"/>
      <c r="NOU72" s="16"/>
      <c r="NOV72" s="16"/>
      <c r="NOW72" s="16"/>
      <c r="NOX72" s="16"/>
      <c r="NOY72" s="16"/>
      <c r="NOZ72" s="16"/>
      <c r="NPA72" s="16"/>
      <c r="NPB72" s="16"/>
      <c r="NPC72" s="16"/>
      <c r="NPD72" s="16"/>
      <c r="NPE72" s="16"/>
      <c r="NPF72" s="16"/>
      <c r="NPG72" s="16"/>
      <c r="NPH72" s="16"/>
      <c r="NPI72" s="16"/>
      <c r="NPJ72" s="16"/>
      <c r="NPK72" s="16"/>
      <c r="NPL72" s="16"/>
      <c r="NPM72" s="16"/>
      <c r="NPN72" s="16"/>
      <c r="NPO72" s="16"/>
      <c r="NPP72" s="16"/>
      <c r="NPQ72" s="16"/>
      <c r="NPR72" s="16"/>
      <c r="NPS72" s="16"/>
      <c r="NPT72" s="16"/>
      <c r="NPU72" s="16"/>
      <c r="NPV72" s="16"/>
      <c r="NPW72" s="16"/>
      <c r="NPX72" s="16"/>
      <c r="NPY72" s="16"/>
      <c r="NPZ72" s="16"/>
      <c r="NQA72" s="16"/>
      <c r="NQB72" s="16"/>
      <c r="NQC72" s="16"/>
      <c r="NQD72" s="16"/>
      <c r="NQE72" s="16"/>
      <c r="NQF72" s="16"/>
      <c r="NQG72" s="16"/>
      <c r="NQH72" s="16"/>
      <c r="NQI72" s="16"/>
      <c r="NQJ72" s="16"/>
      <c r="NQK72" s="16"/>
      <c r="NQL72" s="16"/>
      <c r="NQM72" s="16"/>
      <c r="NQN72" s="16"/>
      <c r="NQO72" s="16"/>
      <c r="NQP72" s="16"/>
      <c r="NQQ72" s="16"/>
      <c r="NQR72" s="16"/>
      <c r="NQS72" s="16"/>
      <c r="NQT72" s="16"/>
      <c r="NQU72" s="16"/>
      <c r="NQV72" s="16"/>
      <c r="NQW72" s="16"/>
      <c r="NQX72" s="16"/>
      <c r="NQY72" s="16"/>
      <c r="NQZ72" s="16"/>
      <c r="NRA72" s="16"/>
      <c r="NRB72" s="16"/>
      <c r="NRC72" s="16"/>
      <c r="NRD72" s="16"/>
      <c r="NRE72" s="16"/>
      <c r="NRF72" s="16"/>
      <c r="NRG72" s="16"/>
      <c r="NRH72" s="16"/>
      <c r="NRI72" s="16"/>
      <c r="NRJ72" s="16"/>
      <c r="NRK72" s="16"/>
      <c r="NRL72" s="16"/>
      <c r="NRM72" s="16"/>
      <c r="NRN72" s="16"/>
      <c r="NRO72" s="16"/>
      <c r="NRP72" s="16"/>
      <c r="NRQ72" s="16"/>
      <c r="NRR72" s="16"/>
      <c r="NRS72" s="16"/>
      <c r="NRT72" s="16"/>
      <c r="NRU72" s="16"/>
      <c r="NRV72" s="16"/>
      <c r="NRW72" s="16"/>
      <c r="NRX72" s="16"/>
      <c r="NRY72" s="16"/>
      <c r="NRZ72" s="16"/>
      <c r="NSA72" s="16"/>
      <c r="NSB72" s="16"/>
      <c r="NSC72" s="16"/>
      <c r="NSD72" s="16"/>
      <c r="NSE72" s="16"/>
      <c r="NSF72" s="16"/>
      <c r="NSG72" s="16"/>
      <c r="NSH72" s="16"/>
      <c r="NSI72" s="16"/>
      <c r="NSJ72" s="16"/>
      <c r="NSK72" s="16"/>
      <c r="NSL72" s="16"/>
      <c r="NSM72" s="16"/>
      <c r="NSN72" s="16"/>
      <c r="NSO72" s="16"/>
      <c r="NSP72" s="16"/>
      <c r="NSQ72" s="16"/>
      <c r="NSR72" s="16"/>
      <c r="NSS72" s="16"/>
      <c r="NST72" s="16"/>
      <c r="NSU72" s="16"/>
      <c r="NSV72" s="16"/>
      <c r="NSW72" s="16"/>
      <c r="NSX72" s="16"/>
      <c r="NSY72" s="16"/>
      <c r="NSZ72" s="16"/>
      <c r="NTA72" s="16"/>
      <c r="NTB72" s="16"/>
      <c r="NTC72" s="16"/>
      <c r="NTD72" s="16"/>
      <c r="NTE72" s="16"/>
      <c r="NTF72" s="16"/>
      <c r="NTG72" s="16"/>
      <c r="NTH72" s="16"/>
      <c r="NTI72" s="16"/>
      <c r="NTJ72" s="16"/>
      <c r="NTK72" s="16"/>
      <c r="NTL72" s="16"/>
      <c r="NTM72" s="16"/>
      <c r="NTN72" s="16"/>
      <c r="NTO72" s="16"/>
      <c r="NTP72" s="16"/>
      <c r="NTQ72" s="16"/>
      <c r="NTR72" s="16"/>
      <c r="NTS72" s="16"/>
      <c r="NTT72" s="16"/>
      <c r="NTU72" s="16"/>
      <c r="NTV72" s="16"/>
      <c r="NTW72" s="16"/>
      <c r="NTX72" s="16"/>
      <c r="NTY72" s="16"/>
      <c r="NTZ72" s="16"/>
      <c r="NUA72" s="16"/>
      <c r="NUB72" s="16"/>
      <c r="NUC72" s="16"/>
      <c r="NUD72" s="16"/>
      <c r="NUE72" s="16"/>
      <c r="NUF72" s="16"/>
      <c r="NUG72" s="16"/>
      <c r="NUH72" s="16"/>
      <c r="NUI72" s="16"/>
      <c r="NUJ72" s="16"/>
      <c r="NUK72" s="16"/>
      <c r="NUL72" s="16"/>
      <c r="NUM72" s="16"/>
      <c r="NUN72" s="16"/>
      <c r="NUO72" s="16"/>
      <c r="NUP72" s="16"/>
      <c r="NUQ72" s="16"/>
      <c r="NUR72" s="16"/>
      <c r="NUS72" s="16"/>
      <c r="NUT72" s="16"/>
      <c r="NUU72" s="16"/>
      <c r="NUV72" s="16"/>
      <c r="NUW72" s="16"/>
      <c r="NUX72" s="16"/>
      <c r="NUY72" s="16"/>
      <c r="NUZ72" s="16"/>
      <c r="NVA72" s="16"/>
      <c r="NVB72" s="16"/>
      <c r="NVC72" s="16"/>
      <c r="NVD72" s="16"/>
      <c r="NVE72" s="16"/>
      <c r="NVF72" s="16"/>
      <c r="NVG72" s="16"/>
      <c r="NVH72" s="16"/>
      <c r="NVI72" s="16"/>
      <c r="NVJ72" s="16"/>
      <c r="NVK72" s="16"/>
      <c r="NVL72" s="16"/>
      <c r="NVM72" s="16"/>
      <c r="NVN72" s="16"/>
      <c r="NVO72" s="16"/>
      <c r="NVP72" s="16"/>
      <c r="NVQ72" s="16"/>
      <c r="NVR72" s="16"/>
      <c r="NVS72" s="16"/>
      <c r="NVT72" s="16"/>
      <c r="NVU72" s="16"/>
      <c r="NVV72" s="16"/>
      <c r="NVW72" s="16"/>
      <c r="NVX72" s="16"/>
      <c r="NVY72" s="16"/>
      <c r="NVZ72" s="16"/>
      <c r="NWA72" s="16"/>
      <c r="NWB72" s="16"/>
      <c r="NWC72" s="16"/>
      <c r="NWD72" s="16"/>
      <c r="NWE72" s="16"/>
      <c r="NWF72" s="16"/>
      <c r="NWG72" s="16"/>
      <c r="NWH72" s="16"/>
      <c r="NWI72" s="16"/>
      <c r="NWJ72" s="16"/>
      <c r="NWK72" s="16"/>
      <c r="NWL72" s="16"/>
      <c r="NWM72" s="16"/>
      <c r="NWN72" s="16"/>
      <c r="NWO72" s="16"/>
      <c r="NWP72" s="16"/>
      <c r="NWQ72" s="16"/>
      <c r="NWR72" s="16"/>
      <c r="NWS72" s="16"/>
      <c r="NWT72" s="16"/>
      <c r="NWU72" s="16"/>
      <c r="NWV72" s="16"/>
      <c r="NWW72" s="16"/>
      <c r="NWX72" s="16"/>
      <c r="NWY72" s="16"/>
      <c r="NWZ72" s="16"/>
      <c r="NXA72" s="16"/>
      <c r="NXB72" s="16"/>
      <c r="NXC72" s="16"/>
      <c r="NXD72" s="16"/>
      <c r="NXE72" s="16"/>
      <c r="NXF72" s="16"/>
      <c r="NXG72" s="16"/>
      <c r="NXH72" s="16"/>
      <c r="NXI72" s="16"/>
      <c r="NXJ72" s="16"/>
      <c r="NXK72" s="16"/>
      <c r="NXL72" s="16"/>
      <c r="NXM72" s="16"/>
      <c r="NXN72" s="16"/>
      <c r="NXO72" s="16"/>
      <c r="NXP72" s="16"/>
      <c r="NXQ72" s="16"/>
      <c r="NXR72" s="16"/>
      <c r="NXS72" s="16"/>
      <c r="NXT72" s="16"/>
      <c r="NXU72" s="16"/>
      <c r="NXV72" s="16"/>
      <c r="NXW72" s="16"/>
      <c r="NXX72" s="16"/>
      <c r="NXY72" s="16"/>
      <c r="NXZ72" s="16"/>
      <c r="NYA72" s="16"/>
      <c r="NYB72" s="16"/>
      <c r="NYC72" s="16"/>
      <c r="NYD72" s="16"/>
      <c r="NYE72" s="16"/>
      <c r="NYF72" s="16"/>
      <c r="NYG72" s="16"/>
      <c r="NYH72" s="16"/>
      <c r="NYI72" s="16"/>
      <c r="NYJ72" s="16"/>
      <c r="NYK72" s="16"/>
      <c r="NYL72" s="16"/>
      <c r="NYM72" s="16"/>
      <c r="NYN72" s="16"/>
      <c r="NYO72" s="16"/>
      <c r="NYP72" s="16"/>
      <c r="NYQ72" s="16"/>
      <c r="NYR72" s="16"/>
      <c r="NYS72" s="16"/>
      <c r="NYT72" s="16"/>
      <c r="NYU72" s="16"/>
      <c r="NYV72" s="16"/>
      <c r="NYW72" s="16"/>
      <c r="NYX72" s="16"/>
      <c r="NYY72" s="16"/>
      <c r="NYZ72" s="16"/>
      <c r="NZA72" s="16"/>
      <c r="NZB72" s="16"/>
      <c r="NZC72" s="16"/>
      <c r="NZD72" s="16"/>
      <c r="NZE72" s="16"/>
      <c r="NZF72" s="16"/>
      <c r="NZG72" s="16"/>
      <c r="NZH72" s="16"/>
      <c r="NZI72" s="16"/>
      <c r="NZJ72" s="16"/>
      <c r="NZK72" s="16"/>
      <c r="NZL72" s="16"/>
      <c r="NZM72" s="16"/>
      <c r="NZN72" s="16"/>
      <c r="NZO72" s="16"/>
      <c r="NZP72" s="16"/>
      <c r="NZQ72" s="16"/>
      <c r="NZR72" s="16"/>
      <c r="NZS72" s="16"/>
      <c r="NZT72" s="16"/>
      <c r="NZU72" s="16"/>
      <c r="NZV72" s="16"/>
      <c r="NZW72" s="16"/>
      <c r="NZX72" s="16"/>
      <c r="NZY72" s="16"/>
      <c r="NZZ72" s="16"/>
      <c r="OAA72" s="16"/>
      <c r="OAB72" s="16"/>
      <c r="OAC72" s="16"/>
      <c r="OAD72" s="16"/>
      <c r="OAE72" s="16"/>
      <c r="OAF72" s="16"/>
      <c r="OAG72" s="16"/>
      <c r="OAH72" s="16"/>
      <c r="OAI72" s="16"/>
      <c r="OAJ72" s="16"/>
      <c r="OAK72" s="16"/>
      <c r="OAL72" s="16"/>
      <c r="OAM72" s="16"/>
      <c r="OAN72" s="16"/>
      <c r="OAO72" s="16"/>
      <c r="OAP72" s="16"/>
      <c r="OAQ72" s="16"/>
      <c r="OAR72" s="16"/>
      <c r="OAS72" s="16"/>
      <c r="OAT72" s="16"/>
      <c r="OAU72" s="16"/>
      <c r="OAV72" s="16"/>
      <c r="OAW72" s="16"/>
      <c r="OAX72" s="16"/>
      <c r="OAY72" s="16"/>
      <c r="OAZ72" s="16"/>
      <c r="OBA72" s="16"/>
      <c r="OBB72" s="16"/>
      <c r="OBC72" s="16"/>
      <c r="OBD72" s="16"/>
      <c r="OBE72" s="16"/>
      <c r="OBF72" s="16"/>
      <c r="OBG72" s="16"/>
      <c r="OBH72" s="16"/>
      <c r="OBI72" s="16"/>
      <c r="OBJ72" s="16"/>
      <c r="OBK72" s="16"/>
      <c r="OBL72" s="16"/>
      <c r="OBM72" s="16"/>
      <c r="OBN72" s="16"/>
      <c r="OBO72" s="16"/>
      <c r="OBP72" s="16"/>
      <c r="OBQ72" s="16"/>
      <c r="OBR72" s="16"/>
      <c r="OBS72" s="16"/>
      <c r="OBT72" s="16"/>
      <c r="OBU72" s="16"/>
      <c r="OBV72" s="16"/>
      <c r="OBW72" s="16"/>
      <c r="OBX72" s="16"/>
      <c r="OBY72" s="16"/>
      <c r="OBZ72" s="16"/>
      <c r="OCA72" s="16"/>
      <c r="OCB72" s="16"/>
      <c r="OCC72" s="16"/>
      <c r="OCD72" s="16"/>
      <c r="OCE72" s="16"/>
      <c r="OCF72" s="16"/>
      <c r="OCG72" s="16"/>
      <c r="OCH72" s="16"/>
      <c r="OCI72" s="16"/>
      <c r="OCJ72" s="16"/>
      <c r="OCK72" s="16"/>
      <c r="OCL72" s="16"/>
      <c r="OCM72" s="16"/>
      <c r="OCN72" s="16"/>
      <c r="OCO72" s="16"/>
      <c r="OCP72" s="16"/>
      <c r="OCQ72" s="16"/>
      <c r="OCR72" s="16"/>
      <c r="OCS72" s="16"/>
      <c r="OCT72" s="16"/>
      <c r="OCU72" s="16"/>
      <c r="OCV72" s="16"/>
      <c r="OCW72" s="16"/>
      <c r="OCX72" s="16"/>
      <c r="OCY72" s="16"/>
      <c r="OCZ72" s="16"/>
      <c r="ODA72" s="16"/>
      <c r="ODB72" s="16"/>
      <c r="ODC72" s="16"/>
      <c r="ODD72" s="16"/>
      <c r="ODE72" s="16"/>
      <c r="ODF72" s="16"/>
      <c r="ODG72" s="16"/>
      <c r="ODH72" s="16"/>
      <c r="ODI72" s="16"/>
      <c r="ODJ72" s="16"/>
      <c r="ODK72" s="16"/>
      <c r="ODL72" s="16"/>
      <c r="ODM72" s="16"/>
      <c r="ODN72" s="16"/>
      <c r="ODO72" s="16"/>
      <c r="ODP72" s="16"/>
      <c r="ODQ72" s="16"/>
      <c r="ODR72" s="16"/>
      <c r="ODS72" s="16"/>
      <c r="ODT72" s="16"/>
      <c r="ODU72" s="16"/>
      <c r="ODV72" s="16"/>
      <c r="ODW72" s="16"/>
      <c r="ODX72" s="16"/>
      <c r="ODY72" s="16"/>
      <c r="ODZ72" s="16"/>
      <c r="OEA72" s="16"/>
      <c r="OEB72" s="16"/>
      <c r="OEC72" s="16"/>
      <c r="OED72" s="16"/>
      <c r="OEE72" s="16"/>
      <c r="OEF72" s="16"/>
      <c r="OEG72" s="16"/>
      <c r="OEH72" s="16"/>
      <c r="OEI72" s="16"/>
      <c r="OEJ72" s="16"/>
      <c r="OEK72" s="16"/>
      <c r="OEL72" s="16"/>
      <c r="OEM72" s="16"/>
      <c r="OEN72" s="16"/>
      <c r="OEO72" s="16"/>
      <c r="OEP72" s="16"/>
      <c r="OEQ72" s="16"/>
      <c r="OER72" s="16"/>
      <c r="OES72" s="16"/>
      <c r="OET72" s="16"/>
      <c r="OEU72" s="16"/>
      <c r="OEV72" s="16"/>
      <c r="OEW72" s="16"/>
      <c r="OEX72" s="16"/>
      <c r="OEY72" s="16"/>
      <c r="OEZ72" s="16"/>
      <c r="OFA72" s="16"/>
      <c r="OFB72" s="16"/>
      <c r="OFC72" s="16"/>
      <c r="OFD72" s="16"/>
      <c r="OFE72" s="16"/>
      <c r="OFF72" s="16"/>
      <c r="OFG72" s="16"/>
      <c r="OFH72" s="16"/>
      <c r="OFI72" s="16"/>
      <c r="OFJ72" s="16"/>
      <c r="OFK72" s="16"/>
      <c r="OFL72" s="16"/>
      <c r="OFM72" s="16"/>
      <c r="OFN72" s="16"/>
      <c r="OFO72" s="16"/>
      <c r="OFP72" s="16"/>
      <c r="OFQ72" s="16"/>
      <c r="OFR72" s="16"/>
      <c r="OFS72" s="16"/>
      <c r="OFT72" s="16"/>
      <c r="OFU72" s="16"/>
      <c r="OFV72" s="16"/>
      <c r="OFW72" s="16"/>
      <c r="OFX72" s="16"/>
      <c r="OFY72" s="16"/>
      <c r="OFZ72" s="16"/>
      <c r="OGA72" s="16"/>
      <c r="OGB72" s="16"/>
      <c r="OGC72" s="16"/>
      <c r="OGD72" s="16"/>
      <c r="OGE72" s="16"/>
      <c r="OGF72" s="16"/>
      <c r="OGG72" s="16"/>
      <c r="OGH72" s="16"/>
      <c r="OGI72" s="16"/>
      <c r="OGJ72" s="16"/>
      <c r="OGK72" s="16"/>
      <c r="OGL72" s="16"/>
      <c r="OGM72" s="16"/>
      <c r="OGN72" s="16"/>
      <c r="OGO72" s="16"/>
      <c r="OGP72" s="16"/>
      <c r="OGQ72" s="16"/>
      <c r="OGR72" s="16"/>
      <c r="OGS72" s="16"/>
      <c r="OGT72" s="16"/>
      <c r="OGU72" s="16"/>
      <c r="OGV72" s="16"/>
      <c r="OGW72" s="16"/>
      <c r="OGX72" s="16"/>
      <c r="OGY72" s="16"/>
      <c r="OGZ72" s="16"/>
      <c r="OHA72" s="16"/>
      <c r="OHB72" s="16"/>
      <c r="OHC72" s="16"/>
      <c r="OHD72" s="16"/>
      <c r="OHE72" s="16"/>
      <c r="OHF72" s="16"/>
      <c r="OHG72" s="16"/>
      <c r="OHH72" s="16"/>
      <c r="OHI72" s="16"/>
      <c r="OHJ72" s="16"/>
      <c r="OHK72" s="16"/>
      <c r="OHL72" s="16"/>
      <c r="OHM72" s="16"/>
      <c r="OHN72" s="16"/>
      <c r="OHO72" s="16"/>
      <c r="OHP72" s="16"/>
      <c r="OHQ72" s="16"/>
      <c r="OHR72" s="16"/>
      <c r="OHS72" s="16"/>
      <c r="OHT72" s="16"/>
      <c r="OHU72" s="16"/>
      <c r="OHV72" s="16"/>
      <c r="OHW72" s="16"/>
      <c r="OHX72" s="16"/>
      <c r="OHY72" s="16"/>
      <c r="OHZ72" s="16"/>
      <c r="OIA72" s="16"/>
      <c r="OIB72" s="16"/>
      <c r="OIC72" s="16"/>
      <c r="OID72" s="16"/>
      <c r="OIE72" s="16"/>
      <c r="OIF72" s="16"/>
      <c r="OIG72" s="16"/>
      <c r="OIH72" s="16"/>
      <c r="OII72" s="16"/>
      <c r="OIJ72" s="16"/>
      <c r="OIK72" s="16"/>
      <c r="OIL72" s="16"/>
      <c r="OIM72" s="16"/>
      <c r="OIN72" s="16"/>
      <c r="OIO72" s="16"/>
      <c r="OIP72" s="16"/>
      <c r="OIQ72" s="16"/>
      <c r="OIR72" s="16"/>
      <c r="OIS72" s="16"/>
      <c r="OIT72" s="16"/>
      <c r="OIU72" s="16"/>
      <c r="OIV72" s="16"/>
      <c r="OIW72" s="16"/>
      <c r="OIX72" s="16"/>
      <c r="OIY72" s="16"/>
      <c r="OIZ72" s="16"/>
      <c r="OJA72" s="16"/>
      <c r="OJB72" s="16"/>
      <c r="OJC72" s="16"/>
      <c r="OJD72" s="16"/>
      <c r="OJE72" s="16"/>
      <c r="OJF72" s="16"/>
      <c r="OJG72" s="16"/>
      <c r="OJH72" s="16"/>
      <c r="OJI72" s="16"/>
      <c r="OJJ72" s="16"/>
      <c r="OJK72" s="16"/>
      <c r="OJL72" s="16"/>
      <c r="OJM72" s="16"/>
      <c r="OJN72" s="16"/>
      <c r="OJO72" s="16"/>
      <c r="OJP72" s="16"/>
      <c r="OJQ72" s="16"/>
      <c r="OJR72" s="16"/>
      <c r="OJS72" s="16"/>
      <c r="OJT72" s="16"/>
      <c r="OJU72" s="16"/>
      <c r="OJV72" s="16"/>
      <c r="OJW72" s="16"/>
      <c r="OJX72" s="16"/>
      <c r="OJY72" s="16"/>
      <c r="OJZ72" s="16"/>
      <c r="OKA72" s="16"/>
      <c r="OKB72" s="16"/>
      <c r="OKC72" s="16"/>
      <c r="OKD72" s="16"/>
      <c r="OKE72" s="16"/>
      <c r="OKF72" s="16"/>
      <c r="OKG72" s="16"/>
      <c r="OKH72" s="16"/>
      <c r="OKI72" s="16"/>
      <c r="OKJ72" s="16"/>
      <c r="OKK72" s="16"/>
      <c r="OKL72" s="16"/>
      <c r="OKM72" s="16"/>
      <c r="OKN72" s="16"/>
      <c r="OKO72" s="16"/>
      <c r="OKP72" s="16"/>
      <c r="OKQ72" s="16"/>
      <c r="OKR72" s="16"/>
      <c r="OKS72" s="16"/>
      <c r="OKT72" s="16"/>
      <c r="OKU72" s="16"/>
      <c r="OKV72" s="16"/>
      <c r="OKW72" s="16"/>
      <c r="OKX72" s="16"/>
      <c r="OKY72" s="16"/>
      <c r="OKZ72" s="16"/>
      <c r="OLA72" s="16"/>
      <c r="OLB72" s="16"/>
      <c r="OLC72" s="16"/>
      <c r="OLD72" s="16"/>
      <c r="OLE72" s="16"/>
      <c r="OLF72" s="16"/>
      <c r="OLG72" s="16"/>
      <c r="OLH72" s="16"/>
      <c r="OLI72" s="16"/>
      <c r="OLJ72" s="16"/>
      <c r="OLK72" s="16"/>
      <c r="OLL72" s="16"/>
      <c r="OLM72" s="16"/>
      <c r="OLN72" s="16"/>
      <c r="OLO72" s="16"/>
      <c r="OLP72" s="16"/>
      <c r="OLQ72" s="16"/>
      <c r="OLR72" s="16"/>
      <c r="OLS72" s="16"/>
      <c r="OLT72" s="16"/>
      <c r="OLU72" s="16"/>
      <c r="OLV72" s="16"/>
      <c r="OLW72" s="16"/>
      <c r="OLX72" s="16"/>
      <c r="OLY72" s="16"/>
      <c r="OLZ72" s="16"/>
      <c r="OMA72" s="16"/>
      <c r="OMB72" s="16"/>
      <c r="OMC72" s="16"/>
      <c r="OMD72" s="16"/>
      <c r="OME72" s="16"/>
      <c r="OMF72" s="16"/>
      <c r="OMG72" s="16"/>
      <c r="OMH72" s="16"/>
      <c r="OMI72" s="16"/>
      <c r="OMJ72" s="16"/>
      <c r="OMK72" s="16"/>
      <c r="OML72" s="16"/>
      <c r="OMM72" s="16"/>
      <c r="OMN72" s="16"/>
      <c r="OMO72" s="16"/>
      <c r="OMP72" s="16"/>
      <c r="OMQ72" s="16"/>
      <c r="OMR72" s="16"/>
      <c r="OMS72" s="16"/>
      <c r="OMT72" s="16"/>
      <c r="OMU72" s="16"/>
      <c r="OMV72" s="16"/>
      <c r="OMW72" s="16"/>
      <c r="OMX72" s="16"/>
      <c r="OMY72" s="16"/>
      <c r="OMZ72" s="16"/>
      <c r="ONA72" s="16"/>
      <c r="ONB72" s="16"/>
      <c r="ONC72" s="16"/>
      <c r="OND72" s="16"/>
      <c r="ONE72" s="16"/>
      <c r="ONF72" s="16"/>
      <c r="ONG72" s="16"/>
      <c r="ONH72" s="16"/>
      <c r="ONI72" s="16"/>
      <c r="ONJ72" s="16"/>
      <c r="ONK72" s="16"/>
      <c r="ONL72" s="16"/>
      <c r="ONM72" s="16"/>
      <c r="ONN72" s="16"/>
      <c r="ONO72" s="16"/>
      <c r="ONP72" s="16"/>
      <c r="ONQ72" s="16"/>
      <c r="ONR72" s="16"/>
      <c r="ONS72" s="16"/>
      <c r="ONT72" s="16"/>
      <c r="ONU72" s="16"/>
      <c r="ONV72" s="16"/>
      <c r="ONW72" s="16"/>
      <c r="ONX72" s="16"/>
      <c r="ONY72" s="16"/>
      <c r="ONZ72" s="16"/>
      <c r="OOA72" s="16"/>
      <c r="OOB72" s="16"/>
      <c r="OOC72" s="16"/>
      <c r="OOD72" s="16"/>
      <c r="OOE72" s="16"/>
      <c r="OOF72" s="16"/>
      <c r="OOG72" s="16"/>
      <c r="OOH72" s="16"/>
      <c r="OOI72" s="16"/>
      <c r="OOJ72" s="16"/>
      <c r="OOK72" s="16"/>
      <c r="OOL72" s="16"/>
      <c r="OOM72" s="16"/>
      <c r="OON72" s="16"/>
      <c r="OOO72" s="16"/>
      <c r="OOP72" s="16"/>
      <c r="OOQ72" s="16"/>
      <c r="OOR72" s="16"/>
      <c r="OOS72" s="16"/>
      <c r="OOT72" s="16"/>
      <c r="OOU72" s="16"/>
      <c r="OOV72" s="16"/>
      <c r="OOW72" s="16"/>
      <c r="OOX72" s="16"/>
      <c r="OOY72" s="16"/>
      <c r="OOZ72" s="16"/>
      <c r="OPA72" s="16"/>
      <c r="OPB72" s="16"/>
      <c r="OPC72" s="16"/>
      <c r="OPD72" s="16"/>
      <c r="OPE72" s="16"/>
      <c r="OPF72" s="16"/>
      <c r="OPG72" s="16"/>
      <c r="OPH72" s="16"/>
      <c r="OPI72" s="16"/>
      <c r="OPJ72" s="16"/>
      <c r="OPK72" s="16"/>
      <c r="OPL72" s="16"/>
      <c r="OPM72" s="16"/>
      <c r="OPN72" s="16"/>
      <c r="OPO72" s="16"/>
      <c r="OPP72" s="16"/>
      <c r="OPQ72" s="16"/>
      <c r="OPR72" s="16"/>
      <c r="OPS72" s="16"/>
      <c r="OPT72" s="16"/>
      <c r="OPU72" s="16"/>
      <c r="OPV72" s="16"/>
      <c r="OPW72" s="16"/>
      <c r="OPX72" s="16"/>
      <c r="OPY72" s="16"/>
      <c r="OPZ72" s="16"/>
      <c r="OQA72" s="16"/>
      <c r="OQB72" s="16"/>
      <c r="OQC72" s="16"/>
      <c r="OQD72" s="16"/>
      <c r="OQE72" s="16"/>
      <c r="OQF72" s="16"/>
      <c r="OQG72" s="16"/>
      <c r="OQH72" s="16"/>
      <c r="OQI72" s="16"/>
      <c r="OQJ72" s="16"/>
      <c r="OQK72" s="16"/>
      <c r="OQL72" s="16"/>
      <c r="OQM72" s="16"/>
      <c r="OQN72" s="16"/>
      <c r="OQO72" s="16"/>
      <c r="OQP72" s="16"/>
      <c r="OQQ72" s="16"/>
      <c r="OQR72" s="16"/>
      <c r="OQS72" s="16"/>
      <c r="OQT72" s="16"/>
      <c r="OQU72" s="16"/>
      <c r="OQV72" s="16"/>
      <c r="OQW72" s="16"/>
      <c r="OQX72" s="16"/>
      <c r="OQY72" s="16"/>
      <c r="OQZ72" s="16"/>
      <c r="ORA72" s="16"/>
      <c r="ORB72" s="16"/>
      <c r="ORC72" s="16"/>
      <c r="ORD72" s="16"/>
      <c r="ORE72" s="16"/>
      <c r="ORF72" s="16"/>
      <c r="ORG72" s="16"/>
      <c r="ORH72" s="16"/>
      <c r="ORI72" s="16"/>
      <c r="ORJ72" s="16"/>
      <c r="ORK72" s="16"/>
      <c r="ORL72" s="16"/>
      <c r="ORM72" s="16"/>
      <c r="ORN72" s="16"/>
      <c r="ORO72" s="16"/>
      <c r="ORP72" s="16"/>
      <c r="ORQ72" s="16"/>
      <c r="ORR72" s="16"/>
      <c r="ORS72" s="16"/>
      <c r="ORT72" s="16"/>
      <c r="ORU72" s="16"/>
      <c r="ORV72" s="16"/>
      <c r="ORW72" s="16"/>
      <c r="ORX72" s="16"/>
      <c r="ORY72" s="16"/>
      <c r="ORZ72" s="16"/>
      <c r="OSA72" s="16"/>
      <c r="OSB72" s="16"/>
      <c r="OSC72" s="16"/>
      <c r="OSD72" s="16"/>
      <c r="OSE72" s="16"/>
      <c r="OSF72" s="16"/>
      <c r="OSG72" s="16"/>
      <c r="OSH72" s="16"/>
      <c r="OSI72" s="16"/>
      <c r="OSJ72" s="16"/>
      <c r="OSK72" s="16"/>
      <c r="OSL72" s="16"/>
      <c r="OSM72" s="16"/>
      <c r="OSN72" s="16"/>
      <c r="OSO72" s="16"/>
      <c r="OSP72" s="16"/>
      <c r="OSQ72" s="16"/>
      <c r="OSR72" s="16"/>
      <c r="OSS72" s="16"/>
      <c r="OST72" s="16"/>
      <c r="OSU72" s="16"/>
      <c r="OSV72" s="16"/>
      <c r="OSW72" s="16"/>
      <c r="OSX72" s="16"/>
      <c r="OSY72" s="16"/>
      <c r="OSZ72" s="16"/>
      <c r="OTA72" s="16"/>
      <c r="OTB72" s="16"/>
      <c r="OTC72" s="16"/>
      <c r="OTD72" s="16"/>
      <c r="OTE72" s="16"/>
      <c r="OTF72" s="16"/>
      <c r="OTG72" s="16"/>
      <c r="OTH72" s="16"/>
      <c r="OTI72" s="16"/>
      <c r="OTJ72" s="16"/>
      <c r="OTK72" s="16"/>
      <c r="OTL72" s="16"/>
      <c r="OTM72" s="16"/>
      <c r="OTN72" s="16"/>
      <c r="OTO72" s="16"/>
      <c r="OTP72" s="16"/>
      <c r="OTQ72" s="16"/>
      <c r="OTR72" s="16"/>
      <c r="OTS72" s="16"/>
      <c r="OTT72" s="16"/>
      <c r="OTU72" s="16"/>
      <c r="OTV72" s="16"/>
      <c r="OTW72" s="16"/>
      <c r="OTX72" s="16"/>
      <c r="OTY72" s="16"/>
      <c r="OTZ72" s="16"/>
      <c r="OUA72" s="16"/>
      <c r="OUB72" s="16"/>
      <c r="OUC72" s="16"/>
      <c r="OUD72" s="16"/>
      <c r="OUE72" s="16"/>
      <c r="OUF72" s="16"/>
      <c r="OUG72" s="16"/>
      <c r="OUH72" s="16"/>
      <c r="OUI72" s="16"/>
      <c r="OUJ72" s="16"/>
      <c r="OUK72" s="16"/>
      <c r="OUL72" s="16"/>
      <c r="OUM72" s="16"/>
      <c r="OUN72" s="16"/>
      <c r="OUO72" s="16"/>
      <c r="OUP72" s="16"/>
      <c r="OUQ72" s="16"/>
      <c r="OUR72" s="16"/>
      <c r="OUS72" s="16"/>
      <c r="OUT72" s="16"/>
      <c r="OUU72" s="16"/>
      <c r="OUV72" s="16"/>
      <c r="OUW72" s="16"/>
      <c r="OUX72" s="16"/>
      <c r="OUY72" s="16"/>
      <c r="OUZ72" s="16"/>
      <c r="OVA72" s="16"/>
      <c r="OVB72" s="16"/>
      <c r="OVC72" s="16"/>
      <c r="OVD72" s="16"/>
      <c r="OVE72" s="16"/>
      <c r="OVF72" s="16"/>
      <c r="OVG72" s="16"/>
      <c r="OVH72" s="16"/>
      <c r="OVI72" s="16"/>
      <c r="OVJ72" s="16"/>
      <c r="OVK72" s="16"/>
      <c r="OVL72" s="16"/>
      <c r="OVM72" s="16"/>
      <c r="OVN72" s="16"/>
      <c r="OVO72" s="16"/>
      <c r="OVP72" s="16"/>
      <c r="OVQ72" s="16"/>
      <c r="OVR72" s="16"/>
      <c r="OVS72" s="16"/>
      <c r="OVT72" s="16"/>
      <c r="OVU72" s="16"/>
      <c r="OVV72" s="16"/>
      <c r="OVW72" s="16"/>
      <c r="OVX72" s="16"/>
      <c r="OVY72" s="16"/>
      <c r="OVZ72" s="16"/>
      <c r="OWA72" s="16"/>
      <c r="OWB72" s="16"/>
      <c r="OWC72" s="16"/>
      <c r="OWD72" s="16"/>
      <c r="OWE72" s="16"/>
      <c r="OWF72" s="16"/>
      <c r="OWG72" s="16"/>
      <c r="OWH72" s="16"/>
      <c r="OWI72" s="16"/>
      <c r="OWJ72" s="16"/>
      <c r="OWK72" s="16"/>
      <c r="OWL72" s="16"/>
      <c r="OWM72" s="16"/>
      <c r="OWN72" s="16"/>
      <c r="OWO72" s="16"/>
      <c r="OWP72" s="16"/>
      <c r="OWQ72" s="16"/>
      <c r="OWR72" s="16"/>
      <c r="OWS72" s="16"/>
      <c r="OWT72" s="16"/>
      <c r="OWU72" s="16"/>
      <c r="OWV72" s="16"/>
      <c r="OWW72" s="16"/>
      <c r="OWX72" s="16"/>
      <c r="OWY72" s="16"/>
      <c r="OWZ72" s="16"/>
      <c r="OXA72" s="16"/>
      <c r="OXB72" s="16"/>
      <c r="OXC72" s="16"/>
      <c r="OXD72" s="16"/>
      <c r="OXE72" s="16"/>
      <c r="OXF72" s="16"/>
      <c r="OXG72" s="16"/>
      <c r="OXH72" s="16"/>
      <c r="OXI72" s="16"/>
      <c r="OXJ72" s="16"/>
      <c r="OXK72" s="16"/>
      <c r="OXL72" s="16"/>
      <c r="OXM72" s="16"/>
      <c r="OXN72" s="16"/>
      <c r="OXO72" s="16"/>
      <c r="OXP72" s="16"/>
      <c r="OXQ72" s="16"/>
      <c r="OXR72" s="16"/>
      <c r="OXS72" s="16"/>
      <c r="OXT72" s="16"/>
      <c r="OXU72" s="16"/>
      <c r="OXV72" s="16"/>
      <c r="OXW72" s="16"/>
      <c r="OXX72" s="16"/>
      <c r="OXY72" s="16"/>
      <c r="OXZ72" s="16"/>
      <c r="OYA72" s="16"/>
      <c r="OYB72" s="16"/>
      <c r="OYC72" s="16"/>
      <c r="OYD72" s="16"/>
      <c r="OYE72" s="16"/>
      <c r="OYF72" s="16"/>
      <c r="OYG72" s="16"/>
      <c r="OYH72" s="16"/>
      <c r="OYI72" s="16"/>
      <c r="OYJ72" s="16"/>
      <c r="OYK72" s="16"/>
      <c r="OYL72" s="16"/>
      <c r="OYM72" s="16"/>
      <c r="OYN72" s="16"/>
      <c r="OYO72" s="16"/>
      <c r="OYP72" s="16"/>
      <c r="OYQ72" s="16"/>
      <c r="OYR72" s="16"/>
      <c r="OYS72" s="16"/>
      <c r="OYT72" s="16"/>
      <c r="OYU72" s="16"/>
      <c r="OYV72" s="16"/>
      <c r="OYW72" s="16"/>
      <c r="OYX72" s="16"/>
      <c r="OYY72" s="16"/>
      <c r="OYZ72" s="16"/>
      <c r="OZA72" s="16"/>
      <c r="OZB72" s="16"/>
      <c r="OZC72" s="16"/>
      <c r="OZD72" s="16"/>
      <c r="OZE72" s="16"/>
      <c r="OZF72" s="16"/>
      <c r="OZG72" s="16"/>
      <c r="OZH72" s="16"/>
      <c r="OZI72" s="16"/>
      <c r="OZJ72" s="16"/>
      <c r="OZK72" s="16"/>
      <c r="OZL72" s="16"/>
      <c r="OZM72" s="16"/>
      <c r="OZN72" s="16"/>
      <c r="OZO72" s="16"/>
      <c r="OZP72" s="16"/>
      <c r="OZQ72" s="16"/>
      <c r="OZR72" s="16"/>
      <c r="OZS72" s="16"/>
      <c r="OZT72" s="16"/>
      <c r="OZU72" s="16"/>
      <c r="OZV72" s="16"/>
      <c r="OZW72" s="16"/>
      <c r="OZX72" s="16"/>
      <c r="OZY72" s="16"/>
      <c r="OZZ72" s="16"/>
      <c r="PAA72" s="16"/>
      <c r="PAB72" s="16"/>
      <c r="PAC72" s="16"/>
      <c r="PAD72" s="16"/>
      <c r="PAE72" s="16"/>
      <c r="PAF72" s="16"/>
      <c r="PAG72" s="16"/>
      <c r="PAH72" s="16"/>
      <c r="PAI72" s="16"/>
      <c r="PAJ72" s="16"/>
      <c r="PAK72" s="16"/>
      <c r="PAL72" s="16"/>
      <c r="PAM72" s="16"/>
      <c r="PAN72" s="16"/>
      <c r="PAO72" s="16"/>
      <c r="PAP72" s="16"/>
      <c r="PAQ72" s="16"/>
      <c r="PAR72" s="16"/>
      <c r="PAS72" s="16"/>
      <c r="PAT72" s="16"/>
      <c r="PAU72" s="16"/>
      <c r="PAV72" s="16"/>
      <c r="PAW72" s="16"/>
      <c r="PAX72" s="16"/>
      <c r="PAY72" s="16"/>
      <c r="PAZ72" s="16"/>
      <c r="PBA72" s="16"/>
      <c r="PBB72" s="16"/>
      <c r="PBC72" s="16"/>
      <c r="PBD72" s="16"/>
      <c r="PBE72" s="16"/>
      <c r="PBF72" s="16"/>
      <c r="PBG72" s="16"/>
      <c r="PBH72" s="16"/>
      <c r="PBI72" s="16"/>
      <c r="PBJ72" s="16"/>
      <c r="PBK72" s="16"/>
      <c r="PBL72" s="16"/>
      <c r="PBM72" s="16"/>
      <c r="PBN72" s="16"/>
      <c r="PBO72" s="16"/>
      <c r="PBP72" s="16"/>
      <c r="PBQ72" s="16"/>
      <c r="PBR72" s="16"/>
      <c r="PBS72" s="16"/>
      <c r="PBT72" s="16"/>
      <c r="PBU72" s="16"/>
      <c r="PBV72" s="16"/>
      <c r="PBW72" s="16"/>
      <c r="PBX72" s="16"/>
      <c r="PBY72" s="16"/>
      <c r="PBZ72" s="16"/>
      <c r="PCA72" s="16"/>
      <c r="PCB72" s="16"/>
      <c r="PCC72" s="16"/>
      <c r="PCD72" s="16"/>
      <c r="PCE72" s="16"/>
      <c r="PCF72" s="16"/>
      <c r="PCG72" s="16"/>
      <c r="PCH72" s="16"/>
      <c r="PCI72" s="16"/>
      <c r="PCJ72" s="16"/>
      <c r="PCK72" s="16"/>
      <c r="PCL72" s="16"/>
      <c r="PCM72" s="16"/>
      <c r="PCN72" s="16"/>
      <c r="PCO72" s="16"/>
      <c r="PCP72" s="16"/>
      <c r="PCQ72" s="16"/>
      <c r="PCR72" s="16"/>
      <c r="PCS72" s="16"/>
      <c r="PCT72" s="16"/>
      <c r="PCU72" s="16"/>
      <c r="PCV72" s="16"/>
      <c r="PCW72" s="16"/>
      <c r="PCX72" s="16"/>
      <c r="PCY72" s="16"/>
      <c r="PCZ72" s="16"/>
      <c r="PDA72" s="16"/>
      <c r="PDB72" s="16"/>
      <c r="PDC72" s="16"/>
      <c r="PDD72" s="16"/>
      <c r="PDE72" s="16"/>
      <c r="PDF72" s="16"/>
      <c r="PDG72" s="16"/>
      <c r="PDH72" s="16"/>
      <c r="PDI72" s="16"/>
      <c r="PDJ72" s="16"/>
      <c r="PDK72" s="16"/>
      <c r="PDL72" s="16"/>
      <c r="PDM72" s="16"/>
      <c r="PDN72" s="16"/>
      <c r="PDO72" s="16"/>
      <c r="PDP72" s="16"/>
      <c r="PDQ72" s="16"/>
      <c r="PDR72" s="16"/>
      <c r="PDS72" s="16"/>
      <c r="PDT72" s="16"/>
      <c r="PDU72" s="16"/>
      <c r="PDV72" s="16"/>
      <c r="PDW72" s="16"/>
      <c r="PDX72" s="16"/>
      <c r="PDY72" s="16"/>
      <c r="PDZ72" s="16"/>
      <c r="PEA72" s="16"/>
      <c r="PEB72" s="16"/>
      <c r="PEC72" s="16"/>
      <c r="PED72" s="16"/>
      <c r="PEE72" s="16"/>
      <c r="PEF72" s="16"/>
      <c r="PEG72" s="16"/>
      <c r="PEH72" s="16"/>
      <c r="PEI72" s="16"/>
      <c r="PEJ72" s="16"/>
      <c r="PEK72" s="16"/>
      <c r="PEL72" s="16"/>
      <c r="PEM72" s="16"/>
      <c r="PEN72" s="16"/>
      <c r="PEO72" s="16"/>
      <c r="PEP72" s="16"/>
      <c r="PEQ72" s="16"/>
      <c r="PER72" s="16"/>
      <c r="PES72" s="16"/>
      <c r="PET72" s="16"/>
      <c r="PEU72" s="16"/>
      <c r="PEV72" s="16"/>
      <c r="PEW72" s="16"/>
      <c r="PEX72" s="16"/>
      <c r="PEY72" s="16"/>
      <c r="PEZ72" s="16"/>
      <c r="PFA72" s="16"/>
      <c r="PFB72" s="16"/>
      <c r="PFC72" s="16"/>
      <c r="PFD72" s="16"/>
      <c r="PFE72" s="16"/>
      <c r="PFF72" s="16"/>
      <c r="PFG72" s="16"/>
      <c r="PFH72" s="16"/>
      <c r="PFI72" s="16"/>
      <c r="PFJ72" s="16"/>
      <c r="PFK72" s="16"/>
      <c r="PFL72" s="16"/>
      <c r="PFM72" s="16"/>
      <c r="PFN72" s="16"/>
      <c r="PFO72" s="16"/>
      <c r="PFP72" s="16"/>
      <c r="PFQ72" s="16"/>
      <c r="PFR72" s="16"/>
      <c r="PFS72" s="16"/>
      <c r="PFT72" s="16"/>
      <c r="PFU72" s="16"/>
      <c r="PFV72" s="16"/>
      <c r="PFW72" s="16"/>
      <c r="PFX72" s="16"/>
      <c r="PFY72" s="16"/>
      <c r="PFZ72" s="16"/>
      <c r="PGA72" s="16"/>
      <c r="PGB72" s="16"/>
      <c r="PGC72" s="16"/>
      <c r="PGD72" s="16"/>
      <c r="PGE72" s="16"/>
      <c r="PGF72" s="16"/>
      <c r="PGG72" s="16"/>
      <c r="PGH72" s="16"/>
      <c r="PGI72" s="16"/>
      <c r="PGJ72" s="16"/>
      <c r="PGK72" s="16"/>
      <c r="PGL72" s="16"/>
      <c r="PGM72" s="16"/>
      <c r="PGN72" s="16"/>
      <c r="PGO72" s="16"/>
      <c r="PGP72" s="16"/>
      <c r="PGQ72" s="16"/>
      <c r="PGR72" s="16"/>
      <c r="PGS72" s="16"/>
      <c r="PGT72" s="16"/>
      <c r="PGU72" s="16"/>
      <c r="PGV72" s="16"/>
      <c r="PGW72" s="16"/>
      <c r="PGX72" s="16"/>
      <c r="PGY72" s="16"/>
      <c r="PGZ72" s="16"/>
      <c r="PHA72" s="16"/>
      <c r="PHB72" s="16"/>
      <c r="PHC72" s="16"/>
      <c r="PHD72" s="16"/>
      <c r="PHE72" s="16"/>
      <c r="PHF72" s="16"/>
      <c r="PHG72" s="16"/>
      <c r="PHH72" s="16"/>
      <c r="PHI72" s="16"/>
      <c r="PHJ72" s="16"/>
      <c r="PHK72" s="16"/>
      <c r="PHL72" s="16"/>
      <c r="PHM72" s="16"/>
      <c r="PHN72" s="16"/>
      <c r="PHO72" s="16"/>
      <c r="PHP72" s="16"/>
      <c r="PHQ72" s="16"/>
      <c r="PHR72" s="16"/>
      <c r="PHS72" s="16"/>
      <c r="PHT72" s="16"/>
      <c r="PHU72" s="16"/>
      <c r="PHV72" s="16"/>
      <c r="PHW72" s="16"/>
      <c r="PHX72" s="16"/>
      <c r="PHY72" s="16"/>
      <c r="PHZ72" s="16"/>
      <c r="PIA72" s="16"/>
      <c r="PIB72" s="16"/>
      <c r="PIC72" s="16"/>
      <c r="PID72" s="16"/>
      <c r="PIE72" s="16"/>
      <c r="PIF72" s="16"/>
      <c r="PIG72" s="16"/>
      <c r="PIH72" s="16"/>
      <c r="PII72" s="16"/>
      <c r="PIJ72" s="16"/>
      <c r="PIK72" s="16"/>
      <c r="PIL72" s="16"/>
      <c r="PIM72" s="16"/>
      <c r="PIN72" s="16"/>
      <c r="PIO72" s="16"/>
      <c r="PIP72" s="16"/>
      <c r="PIQ72" s="16"/>
      <c r="PIR72" s="16"/>
      <c r="PIS72" s="16"/>
      <c r="PIT72" s="16"/>
      <c r="PIU72" s="16"/>
      <c r="PIV72" s="16"/>
      <c r="PIW72" s="16"/>
      <c r="PIX72" s="16"/>
      <c r="PIY72" s="16"/>
      <c r="PIZ72" s="16"/>
      <c r="PJA72" s="16"/>
      <c r="PJB72" s="16"/>
      <c r="PJC72" s="16"/>
      <c r="PJD72" s="16"/>
      <c r="PJE72" s="16"/>
      <c r="PJF72" s="16"/>
      <c r="PJG72" s="16"/>
      <c r="PJH72" s="16"/>
      <c r="PJI72" s="16"/>
      <c r="PJJ72" s="16"/>
      <c r="PJK72" s="16"/>
      <c r="PJL72" s="16"/>
      <c r="PJM72" s="16"/>
      <c r="PJN72" s="16"/>
      <c r="PJO72" s="16"/>
      <c r="PJP72" s="16"/>
      <c r="PJQ72" s="16"/>
      <c r="PJR72" s="16"/>
      <c r="PJS72" s="16"/>
      <c r="PJT72" s="16"/>
      <c r="PJU72" s="16"/>
      <c r="PJV72" s="16"/>
      <c r="PJW72" s="16"/>
      <c r="PJX72" s="16"/>
      <c r="PJY72" s="16"/>
      <c r="PJZ72" s="16"/>
      <c r="PKA72" s="16"/>
      <c r="PKB72" s="16"/>
      <c r="PKC72" s="16"/>
      <c r="PKD72" s="16"/>
      <c r="PKE72" s="16"/>
      <c r="PKF72" s="16"/>
      <c r="PKG72" s="16"/>
      <c r="PKH72" s="16"/>
      <c r="PKI72" s="16"/>
      <c r="PKJ72" s="16"/>
      <c r="PKK72" s="16"/>
      <c r="PKL72" s="16"/>
      <c r="PKM72" s="16"/>
      <c r="PKN72" s="16"/>
      <c r="PKO72" s="16"/>
      <c r="PKP72" s="16"/>
      <c r="PKQ72" s="16"/>
      <c r="PKR72" s="16"/>
      <c r="PKS72" s="16"/>
      <c r="PKT72" s="16"/>
      <c r="PKU72" s="16"/>
      <c r="PKV72" s="16"/>
      <c r="PKW72" s="16"/>
      <c r="PKX72" s="16"/>
      <c r="PKY72" s="16"/>
      <c r="PKZ72" s="16"/>
      <c r="PLA72" s="16"/>
      <c r="PLB72" s="16"/>
      <c r="PLC72" s="16"/>
      <c r="PLD72" s="16"/>
      <c r="PLE72" s="16"/>
      <c r="PLF72" s="16"/>
      <c r="PLG72" s="16"/>
      <c r="PLH72" s="16"/>
      <c r="PLI72" s="16"/>
      <c r="PLJ72" s="16"/>
      <c r="PLK72" s="16"/>
      <c r="PLL72" s="16"/>
      <c r="PLM72" s="16"/>
      <c r="PLN72" s="16"/>
      <c r="PLO72" s="16"/>
      <c r="PLP72" s="16"/>
      <c r="PLQ72" s="16"/>
      <c r="PLR72" s="16"/>
      <c r="PLS72" s="16"/>
      <c r="PLT72" s="16"/>
      <c r="PLU72" s="16"/>
      <c r="PLV72" s="16"/>
      <c r="PLW72" s="16"/>
      <c r="PLX72" s="16"/>
      <c r="PLY72" s="16"/>
      <c r="PLZ72" s="16"/>
      <c r="PMA72" s="16"/>
      <c r="PMB72" s="16"/>
      <c r="PMC72" s="16"/>
      <c r="PMD72" s="16"/>
      <c r="PME72" s="16"/>
      <c r="PMF72" s="16"/>
      <c r="PMG72" s="16"/>
      <c r="PMH72" s="16"/>
      <c r="PMI72" s="16"/>
      <c r="PMJ72" s="16"/>
      <c r="PMK72" s="16"/>
      <c r="PML72" s="16"/>
      <c r="PMM72" s="16"/>
      <c r="PMN72" s="16"/>
      <c r="PMO72" s="16"/>
      <c r="PMP72" s="16"/>
      <c r="PMQ72" s="16"/>
      <c r="PMR72" s="16"/>
      <c r="PMS72" s="16"/>
      <c r="PMT72" s="16"/>
      <c r="PMU72" s="16"/>
      <c r="PMV72" s="16"/>
      <c r="PMW72" s="16"/>
      <c r="PMX72" s="16"/>
      <c r="PMY72" s="16"/>
      <c r="PMZ72" s="16"/>
      <c r="PNA72" s="16"/>
      <c r="PNB72" s="16"/>
      <c r="PNC72" s="16"/>
      <c r="PND72" s="16"/>
      <c r="PNE72" s="16"/>
      <c r="PNF72" s="16"/>
      <c r="PNG72" s="16"/>
      <c r="PNH72" s="16"/>
      <c r="PNI72" s="16"/>
      <c r="PNJ72" s="16"/>
      <c r="PNK72" s="16"/>
      <c r="PNL72" s="16"/>
      <c r="PNM72" s="16"/>
      <c r="PNN72" s="16"/>
      <c r="PNO72" s="16"/>
      <c r="PNP72" s="16"/>
      <c r="PNQ72" s="16"/>
      <c r="PNR72" s="16"/>
      <c r="PNS72" s="16"/>
      <c r="PNT72" s="16"/>
      <c r="PNU72" s="16"/>
      <c r="PNV72" s="16"/>
      <c r="PNW72" s="16"/>
      <c r="PNX72" s="16"/>
      <c r="PNY72" s="16"/>
      <c r="PNZ72" s="16"/>
      <c r="POA72" s="16"/>
      <c r="POB72" s="16"/>
      <c r="POC72" s="16"/>
      <c r="POD72" s="16"/>
      <c r="POE72" s="16"/>
      <c r="POF72" s="16"/>
      <c r="POG72" s="16"/>
      <c r="POH72" s="16"/>
      <c r="POI72" s="16"/>
      <c r="POJ72" s="16"/>
      <c r="POK72" s="16"/>
      <c r="POL72" s="16"/>
      <c r="POM72" s="16"/>
      <c r="PON72" s="16"/>
      <c r="POO72" s="16"/>
      <c r="POP72" s="16"/>
      <c r="POQ72" s="16"/>
      <c r="POR72" s="16"/>
      <c r="POS72" s="16"/>
      <c r="POT72" s="16"/>
      <c r="POU72" s="16"/>
      <c r="POV72" s="16"/>
      <c r="POW72" s="16"/>
      <c r="POX72" s="16"/>
      <c r="POY72" s="16"/>
      <c r="POZ72" s="16"/>
      <c r="PPA72" s="16"/>
      <c r="PPB72" s="16"/>
      <c r="PPC72" s="16"/>
      <c r="PPD72" s="16"/>
      <c r="PPE72" s="16"/>
      <c r="PPF72" s="16"/>
      <c r="PPG72" s="16"/>
      <c r="PPH72" s="16"/>
      <c r="PPI72" s="16"/>
      <c r="PPJ72" s="16"/>
      <c r="PPK72" s="16"/>
      <c r="PPL72" s="16"/>
      <c r="PPM72" s="16"/>
      <c r="PPN72" s="16"/>
      <c r="PPO72" s="16"/>
      <c r="PPP72" s="16"/>
      <c r="PPQ72" s="16"/>
      <c r="PPR72" s="16"/>
      <c r="PPS72" s="16"/>
      <c r="PPT72" s="16"/>
      <c r="PPU72" s="16"/>
      <c r="PPV72" s="16"/>
      <c r="PPW72" s="16"/>
      <c r="PPX72" s="16"/>
      <c r="PPY72" s="16"/>
      <c r="PPZ72" s="16"/>
      <c r="PQA72" s="16"/>
      <c r="PQB72" s="16"/>
      <c r="PQC72" s="16"/>
      <c r="PQD72" s="16"/>
      <c r="PQE72" s="16"/>
      <c r="PQF72" s="16"/>
      <c r="PQG72" s="16"/>
      <c r="PQH72" s="16"/>
      <c r="PQI72" s="16"/>
      <c r="PQJ72" s="16"/>
      <c r="PQK72" s="16"/>
      <c r="PQL72" s="16"/>
      <c r="PQM72" s="16"/>
      <c r="PQN72" s="16"/>
      <c r="PQO72" s="16"/>
      <c r="PQP72" s="16"/>
      <c r="PQQ72" s="16"/>
      <c r="PQR72" s="16"/>
      <c r="PQS72" s="16"/>
      <c r="PQT72" s="16"/>
      <c r="PQU72" s="16"/>
      <c r="PQV72" s="16"/>
      <c r="PQW72" s="16"/>
      <c r="PQX72" s="16"/>
      <c r="PQY72" s="16"/>
      <c r="PQZ72" s="16"/>
      <c r="PRA72" s="16"/>
      <c r="PRB72" s="16"/>
      <c r="PRC72" s="16"/>
      <c r="PRD72" s="16"/>
      <c r="PRE72" s="16"/>
      <c r="PRF72" s="16"/>
      <c r="PRG72" s="16"/>
      <c r="PRH72" s="16"/>
      <c r="PRI72" s="16"/>
      <c r="PRJ72" s="16"/>
      <c r="PRK72" s="16"/>
      <c r="PRL72" s="16"/>
      <c r="PRM72" s="16"/>
      <c r="PRN72" s="16"/>
      <c r="PRO72" s="16"/>
      <c r="PRP72" s="16"/>
      <c r="PRQ72" s="16"/>
      <c r="PRR72" s="16"/>
      <c r="PRS72" s="16"/>
      <c r="PRT72" s="16"/>
      <c r="PRU72" s="16"/>
      <c r="PRV72" s="16"/>
      <c r="PRW72" s="16"/>
      <c r="PRX72" s="16"/>
      <c r="PRY72" s="16"/>
      <c r="PRZ72" s="16"/>
      <c r="PSA72" s="16"/>
      <c r="PSB72" s="16"/>
      <c r="PSC72" s="16"/>
      <c r="PSD72" s="16"/>
      <c r="PSE72" s="16"/>
      <c r="PSF72" s="16"/>
      <c r="PSG72" s="16"/>
      <c r="PSH72" s="16"/>
      <c r="PSI72" s="16"/>
      <c r="PSJ72" s="16"/>
      <c r="PSK72" s="16"/>
      <c r="PSL72" s="16"/>
      <c r="PSM72" s="16"/>
      <c r="PSN72" s="16"/>
      <c r="PSO72" s="16"/>
      <c r="PSP72" s="16"/>
      <c r="PSQ72" s="16"/>
      <c r="PSR72" s="16"/>
      <c r="PSS72" s="16"/>
      <c r="PST72" s="16"/>
      <c r="PSU72" s="16"/>
      <c r="PSV72" s="16"/>
      <c r="PSW72" s="16"/>
      <c r="PSX72" s="16"/>
      <c r="PSY72" s="16"/>
      <c r="PSZ72" s="16"/>
      <c r="PTA72" s="16"/>
      <c r="PTB72" s="16"/>
      <c r="PTC72" s="16"/>
      <c r="PTD72" s="16"/>
      <c r="PTE72" s="16"/>
      <c r="PTF72" s="16"/>
      <c r="PTG72" s="16"/>
      <c r="PTH72" s="16"/>
      <c r="PTI72" s="16"/>
      <c r="PTJ72" s="16"/>
      <c r="PTK72" s="16"/>
      <c r="PTL72" s="16"/>
      <c r="PTM72" s="16"/>
      <c r="PTN72" s="16"/>
      <c r="PTO72" s="16"/>
      <c r="PTP72" s="16"/>
      <c r="PTQ72" s="16"/>
      <c r="PTR72" s="16"/>
      <c r="PTS72" s="16"/>
      <c r="PTT72" s="16"/>
      <c r="PTU72" s="16"/>
      <c r="PTV72" s="16"/>
      <c r="PTW72" s="16"/>
      <c r="PTX72" s="16"/>
      <c r="PTY72" s="16"/>
      <c r="PTZ72" s="16"/>
      <c r="PUA72" s="16"/>
      <c r="PUB72" s="16"/>
      <c r="PUC72" s="16"/>
      <c r="PUD72" s="16"/>
      <c r="PUE72" s="16"/>
      <c r="PUF72" s="16"/>
      <c r="PUG72" s="16"/>
      <c r="PUH72" s="16"/>
      <c r="PUI72" s="16"/>
      <c r="PUJ72" s="16"/>
      <c r="PUK72" s="16"/>
      <c r="PUL72" s="16"/>
      <c r="PUM72" s="16"/>
      <c r="PUN72" s="16"/>
      <c r="PUO72" s="16"/>
      <c r="PUP72" s="16"/>
      <c r="PUQ72" s="16"/>
      <c r="PUR72" s="16"/>
      <c r="PUS72" s="16"/>
      <c r="PUT72" s="16"/>
      <c r="PUU72" s="16"/>
      <c r="PUV72" s="16"/>
      <c r="PUW72" s="16"/>
      <c r="PUX72" s="16"/>
      <c r="PUY72" s="16"/>
      <c r="PUZ72" s="16"/>
      <c r="PVA72" s="16"/>
      <c r="PVB72" s="16"/>
      <c r="PVC72" s="16"/>
      <c r="PVD72" s="16"/>
      <c r="PVE72" s="16"/>
      <c r="PVF72" s="16"/>
      <c r="PVG72" s="16"/>
      <c r="PVH72" s="16"/>
      <c r="PVI72" s="16"/>
      <c r="PVJ72" s="16"/>
      <c r="PVK72" s="16"/>
      <c r="PVL72" s="16"/>
      <c r="PVM72" s="16"/>
      <c r="PVN72" s="16"/>
      <c r="PVO72" s="16"/>
      <c r="PVP72" s="16"/>
      <c r="PVQ72" s="16"/>
      <c r="PVR72" s="16"/>
      <c r="PVS72" s="16"/>
      <c r="PVT72" s="16"/>
      <c r="PVU72" s="16"/>
      <c r="PVV72" s="16"/>
      <c r="PVW72" s="16"/>
      <c r="PVX72" s="16"/>
      <c r="PVY72" s="16"/>
      <c r="PVZ72" s="16"/>
      <c r="PWA72" s="16"/>
      <c r="PWB72" s="16"/>
      <c r="PWC72" s="16"/>
      <c r="PWD72" s="16"/>
      <c r="PWE72" s="16"/>
      <c r="PWF72" s="16"/>
      <c r="PWG72" s="16"/>
      <c r="PWH72" s="16"/>
      <c r="PWI72" s="16"/>
      <c r="PWJ72" s="16"/>
      <c r="PWK72" s="16"/>
      <c r="PWL72" s="16"/>
      <c r="PWM72" s="16"/>
      <c r="PWN72" s="16"/>
      <c r="PWO72" s="16"/>
      <c r="PWP72" s="16"/>
      <c r="PWQ72" s="16"/>
      <c r="PWR72" s="16"/>
      <c r="PWS72" s="16"/>
      <c r="PWT72" s="16"/>
      <c r="PWU72" s="16"/>
      <c r="PWV72" s="16"/>
      <c r="PWW72" s="16"/>
      <c r="PWX72" s="16"/>
      <c r="PWY72" s="16"/>
      <c r="PWZ72" s="16"/>
      <c r="PXA72" s="16"/>
      <c r="PXB72" s="16"/>
      <c r="PXC72" s="16"/>
      <c r="PXD72" s="16"/>
      <c r="PXE72" s="16"/>
      <c r="PXF72" s="16"/>
      <c r="PXG72" s="16"/>
      <c r="PXH72" s="16"/>
      <c r="PXI72" s="16"/>
      <c r="PXJ72" s="16"/>
      <c r="PXK72" s="16"/>
      <c r="PXL72" s="16"/>
      <c r="PXM72" s="16"/>
      <c r="PXN72" s="16"/>
      <c r="PXO72" s="16"/>
      <c r="PXP72" s="16"/>
      <c r="PXQ72" s="16"/>
      <c r="PXR72" s="16"/>
      <c r="PXS72" s="16"/>
      <c r="PXT72" s="16"/>
      <c r="PXU72" s="16"/>
      <c r="PXV72" s="16"/>
      <c r="PXW72" s="16"/>
      <c r="PXX72" s="16"/>
      <c r="PXY72" s="16"/>
      <c r="PXZ72" s="16"/>
      <c r="PYA72" s="16"/>
      <c r="PYB72" s="16"/>
      <c r="PYC72" s="16"/>
      <c r="PYD72" s="16"/>
      <c r="PYE72" s="16"/>
      <c r="PYF72" s="16"/>
      <c r="PYG72" s="16"/>
      <c r="PYH72" s="16"/>
      <c r="PYI72" s="16"/>
      <c r="PYJ72" s="16"/>
      <c r="PYK72" s="16"/>
      <c r="PYL72" s="16"/>
      <c r="PYM72" s="16"/>
      <c r="PYN72" s="16"/>
      <c r="PYO72" s="16"/>
      <c r="PYP72" s="16"/>
      <c r="PYQ72" s="16"/>
      <c r="PYR72" s="16"/>
      <c r="PYS72" s="16"/>
      <c r="PYT72" s="16"/>
      <c r="PYU72" s="16"/>
      <c r="PYV72" s="16"/>
      <c r="PYW72" s="16"/>
      <c r="PYX72" s="16"/>
      <c r="PYY72" s="16"/>
      <c r="PYZ72" s="16"/>
      <c r="PZA72" s="16"/>
      <c r="PZB72" s="16"/>
      <c r="PZC72" s="16"/>
      <c r="PZD72" s="16"/>
      <c r="PZE72" s="16"/>
      <c r="PZF72" s="16"/>
      <c r="PZG72" s="16"/>
      <c r="PZH72" s="16"/>
      <c r="PZI72" s="16"/>
      <c r="PZJ72" s="16"/>
      <c r="PZK72" s="16"/>
      <c r="PZL72" s="16"/>
      <c r="PZM72" s="16"/>
      <c r="PZN72" s="16"/>
      <c r="PZO72" s="16"/>
      <c r="PZP72" s="16"/>
      <c r="PZQ72" s="16"/>
      <c r="PZR72" s="16"/>
      <c r="PZS72" s="16"/>
      <c r="PZT72" s="16"/>
      <c r="PZU72" s="16"/>
      <c r="PZV72" s="16"/>
      <c r="PZW72" s="16"/>
      <c r="PZX72" s="16"/>
      <c r="PZY72" s="16"/>
      <c r="PZZ72" s="16"/>
      <c r="QAA72" s="16"/>
      <c r="QAB72" s="16"/>
      <c r="QAC72" s="16"/>
      <c r="QAD72" s="16"/>
      <c r="QAE72" s="16"/>
      <c r="QAF72" s="16"/>
      <c r="QAG72" s="16"/>
      <c r="QAH72" s="16"/>
      <c r="QAI72" s="16"/>
      <c r="QAJ72" s="16"/>
      <c r="QAK72" s="16"/>
      <c r="QAL72" s="16"/>
      <c r="QAM72" s="16"/>
      <c r="QAN72" s="16"/>
      <c r="QAO72" s="16"/>
      <c r="QAP72" s="16"/>
      <c r="QAQ72" s="16"/>
      <c r="QAR72" s="16"/>
      <c r="QAS72" s="16"/>
      <c r="QAT72" s="16"/>
      <c r="QAU72" s="16"/>
      <c r="QAV72" s="16"/>
      <c r="QAW72" s="16"/>
      <c r="QAX72" s="16"/>
      <c r="QAY72" s="16"/>
      <c r="QAZ72" s="16"/>
      <c r="QBA72" s="16"/>
      <c r="QBB72" s="16"/>
      <c r="QBC72" s="16"/>
      <c r="QBD72" s="16"/>
      <c r="QBE72" s="16"/>
      <c r="QBF72" s="16"/>
      <c r="QBG72" s="16"/>
      <c r="QBH72" s="16"/>
      <c r="QBI72" s="16"/>
      <c r="QBJ72" s="16"/>
      <c r="QBK72" s="16"/>
      <c r="QBL72" s="16"/>
      <c r="QBM72" s="16"/>
      <c r="QBN72" s="16"/>
      <c r="QBO72" s="16"/>
      <c r="QBP72" s="16"/>
      <c r="QBQ72" s="16"/>
      <c r="QBR72" s="16"/>
      <c r="QBS72" s="16"/>
      <c r="QBT72" s="16"/>
      <c r="QBU72" s="16"/>
      <c r="QBV72" s="16"/>
      <c r="QBW72" s="16"/>
      <c r="QBX72" s="16"/>
      <c r="QBY72" s="16"/>
      <c r="QBZ72" s="16"/>
      <c r="QCA72" s="16"/>
      <c r="QCB72" s="16"/>
      <c r="QCC72" s="16"/>
      <c r="QCD72" s="16"/>
      <c r="QCE72" s="16"/>
      <c r="QCF72" s="16"/>
      <c r="QCG72" s="16"/>
      <c r="QCH72" s="16"/>
      <c r="QCI72" s="16"/>
      <c r="QCJ72" s="16"/>
      <c r="QCK72" s="16"/>
      <c r="QCL72" s="16"/>
      <c r="QCM72" s="16"/>
      <c r="QCN72" s="16"/>
      <c r="QCO72" s="16"/>
      <c r="QCP72" s="16"/>
      <c r="QCQ72" s="16"/>
      <c r="QCR72" s="16"/>
      <c r="QCS72" s="16"/>
      <c r="QCT72" s="16"/>
      <c r="QCU72" s="16"/>
      <c r="QCV72" s="16"/>
      <c r="QCW72" s="16"/>
      <c r="QCX72" s="16"/>
      <c r="QCY72" s="16"/>
      <c r="QCZ72" s="16"/>
      <c r="QDA72" s="16"/>
      <c r="QDB72" s="16"/>
      <c r="QDC72" s="16"/>
      <c r="QDD72" s="16"/>
      <c r="QDE72" s="16"/>
      <c r="QDF72" s="16"/>
      <c r="QDG72" s="16"/>
      <c r="QDH72" s="16"/>
      <c r="QDI72" s="16"/>
      <c r="QDJ72" s="16"/>
      <c r="QDK72" s="16"/>
      <c r="QDL72" s="16"/>
      <c r="QDM72" s="16"/>
      <c r="QDN72" s="16"/>
      <c r="QDO72" s="16"/>
      <c r="QDP72" s="16"/>
      <c r="QDQ72" s="16"/>
      <c r="QDR72" s="16"/>
      <c r="QDS72" s="16"/>
      <c r="QDT72" s="16"/>
      <c r="QDU72" s="16"/>
      <c r="QDV72" s="16"/>
      <c r="QDW72" s="16"/>
      <c r="QDX72" s="16"/>
      <c r="QDY72" s="16"/>
      <c r="QDZ72" s="16"/>
      <c r="QEA72" s="16"/>
      <c r="QEB72" s="16"/>
      <c r="QEC72" s="16"/>
      <c r="QED72" s="16"/>
      <c r="QEE72" s="16"/>
      <c r="QEF72" s="16"/>
      <c r="QEG72" s="16"/>
      <c r="QEH72" s="16"/>
      <c r="QEI72" s="16"/>
      <c r="QEJ72" s="16"/>
      <c r="QEK72" s="16"/>
      <c r="QEL72" s="16"/>
      <c r="QEM72" s="16"/>
      <c r="QEN72" s="16"/>
      <c r="QEO72" s="16"/>
      <c r="QEP72" s="16"/>
      <c r="QEQ72" s="16"/>
      <c r="QER72" s="16"/>
      <c r="QES72" s="16"/>
      <c r="QET72" s="16"/>
      <c r="QEU72" s="16"/>
      <c r="QEV72" s="16"/>
      <c r="QEW72" s="16"/>
      <c r="QEX72" s="16"/>
      <c r="QEY72" s="16"/>
      <c r="QEZ72" s="16"/>
      <c r="QFA72" s="16"/>
      <c r="QFB72" s="16"/>
      <c r="QFC72" s="16"/>
      <c r="QFD72" s="16"/>
      <c r="QFE72" s="16"/>
      <c r="QFF72" s="16"/>
      <c r="QFG72" s="16"/>
      <c r="QFH72" s="16"/>
      <c r="QFI72" s="16"/>
      <c r="QFJ72" s="16"/>
      <c r="QFK72" s="16"/>
      <c r="QFL72" s="16"/>
      <c r="QFM72" s="16"/>
      <c r="QFN72" s="16"/>
      <c r="QFO72" s="16"/>
      <c r="QFP72" s="16"/>
      <c r="QFQ72" s="16"/>
      <c r="QFR72" s="16"/>
      <c r="QFS72" s="16"/>
      <c r="QFT72" s="16"/>
      <c r="QFU72" s="16"/>
      <c r="QFV72" s="16"/>
      <c r="QFW72" s="16"/>
      <c r="QFX72" s="16"/>
      <c r="QFY72" s="16"/>
      <c r="QFZ72" s="16"/>
      <c r="QGA72" s="16"/>
      <c r="QGB72" s="16"/>
      <c r="QGC72" s="16"/>
      <c r="QGD72" s="16"/>
      <c r="QGE72" s="16"/>
      <c r="QGF72" s="16"/>
      <c r="QGG72" s="16"/>
      <c r="QGH72" s="16"/>
      <c r="QGI72" s="16"/>
      <c r="QGJ72" s="16"/>
      <c r="QGK72" s="16"/>
      <c r="QGL72" s="16"/>
      <c r="QGM72" s="16"/>
      <c r="QGN72" s="16"/>
      <c r="QGO72" s="16"/>
      <c r="QGP72" s="16"/>
      <c r="QGQ72" s="16"/>
      <c r="QGR72" s="16"/>
      <c r="QGS72" s="16"/>
      <c r="QGT72" s="16"/>
      <c r="QGU72" s="16"/>
      <c r="QGV72" s="16"/>
      <c r="QGW72" s="16"/>
      <c r="QGX72" s="16"/>
      <c r="QGY72" s="16"/>
      <c r="QGZ72" s="16"/>
      <c r="QHA72" s="16"/>
      <c r="QHB72" s="16"/>
      <c r="QHC72" s="16"/>
      <c r="QHD72" s="16"/>
      <c r="QHE72" s="16"/>
      <c r="QHF72" s="16"/>
      <c r="QHG72" s="16"/>
      <c r="QHH72" s="16"/>
      <c r="QHI72" s="16"/>
      <c r="QHJ72" s="16"/>
      <c r="QHK72" s="16"/>
      <c r="QHL72" s="16"/>
      <c r="QHM72" s="16"/>
      <c r="QHN72" s="16"/>
      <c r="QHO72" s="16"/>
      <c r="QHP72" s="16"/>
      <c r="QHQ72" s="16"/>
      <c r="QHR72" s="16"/>
      <c r="QHS72" s="16"/>
      <c r="QHT72" s="16"/>
      <c r="QHU72" s="16"/>
      <c r="QHV72" s="16"/>
      <c r="QHW72" s="16"/>
      <c r="QHX72" s="16"/>
      <c r="QHY72" s="16"/>
      <c r="QHZ72" s="16"/>
      <c r="QIA72" s="16"/>
      <c r="QIB72" s="16"/>
      <c r="QIC72" s="16"/>
      <c r="QID72" s="16"/>
      <c r="QIE72" s="16"/>
      <c r="QIF72" s="16"/>
      <c r="QIG72" s="16"/>
      <c r="QIH72" s="16"/>
      <c r="QII72" s="16"/>
      <c r="QIJ72" s="16"/>
      <c r="QIK72" s="16"/>
      <c r="QIL72" s="16"/>
      <c r="QIM72" s="16"/>
      <c r="QIN72" s="16"/>
      <c r="QIO72" s="16"/>
      <c r="QIP72" s="16"/>
      <c r="QIQ72" s="16"/>
      <c r="QIR72" s="16"/>
      <c r="QIS72" s="16"/>
      <c r="QIT72" s="16"/>
      <c r="QIU72" s="16"/>
      <c r="QIV72" s="16"/>
      <c r="QIW72" s="16"/>
      <c r="QIX72" s="16"/>
      <c r="QIY72" s="16"/>
      <c r="QIZ72" s="16"/>
      <c r="QJA72" s="16"/>
      <c r="QJB72" s="16"/>
      <c r="QJC72" s="16"/>
      <c r="QJD72" s="16"/>
      <c r="QJE72" s="16"/>
      <c r="QJF72" s="16"/>
      <c r="QJG72" s="16"/>
      <c r="QJH72" s="16"/>
      <c r="QJI72" s="16"/>
      <c r="QJJ72" s="16"/>
      <c r="QJK72" s="16"/>
      <c r="QJL72" s="16"/>
      <c r="QJM72" s="16"/>
      <c r="QJN72" s="16"/>
      <c r="QJO72" s="16"/>
      <c r="QJP72" s="16"/>
      <c r="QJQ72" s="16"/>
      <c r="QJR72" s="16"/>
      <c r="QJS72" s="16"/>
      <c r="QJT72" s="16"/>
      <c r="QJU72" s="16"/>
      <c r="QJV72" s="16"/>
      <c r="QJW72" s="16"/>
      <c r="QJX72" s="16"/>
      <c r="QJY72" s="16"/>
      <c r="QJZ72" s="16"/>
      <c r="QKA72" s="16"/>
      <c r="QKB72" s="16"/>
      <c r="QKC72" s="16"/>
      <c r="QKD72" s="16"/>
      <c r="QKE72" s="16"/>
      <c r="QKF72" s="16"/>
      <c r="QKG72" s="16"/>
      <c r="QKH72" s="16"/>
      <c r="QKI72" s="16"/>
      <c r="QKJ72" s="16"/>
      <c r="QKK72" s="16"/>
      <c r="QKL72" s="16"/>
      <c r="QKM72" s="16"/>
      <c r="QKN72" s="16"/>
      <c r="QKO72" s="16"/>
      <c r="QKP72" s="16"/>
      <c r="QKQ72" s="16"/>
      <c r="QKR72" s="16"/>
      <c r="QKS72" s="16"/>
      <c r="QKT72" s="16"/>
      <c r="QKU72" s="16"/>
      <c r="QKV72" s="16"/>
      <c r="QKW72" s="16"/>
      <c r="QKX72" s="16"/>
      <c r="QKY72" s="16"/>
      <c r="QKZ72" s="16"/>
      <c r="QLA72" s="16"/>
      <c r="QLB72" s="16"/>
      <c r="QLC72" s="16"/>
      <c r="QLD72" s="16"/>
      <c r="QLE72" s="16"/>
      <c r="QLF72" s="16"/>
      <c r="QLG72" s="16"/>
      <c r="QLH72" s="16"/>
      <c r="QLI72" s="16"/>
      <c r="QLJ72" s="16"/>
      <c r="QLK72" s="16"/>
      <c r="QLL72" s="16"/>
      <c r="QLM72" s="16"/>
      <c r="QLN72" s="16"/>
      <c r="QLO72" s="16"/>
      <c r="QLP72" s="16"/>
      <c r="QLQ72" s="16"/>
      <c r="QLR72" s="16"/>
      <c r="QLS72" s="16"/>
      <c r="QLT72" s="16"/>
      <c r="QLU72" s="16"/>
      <c r="QLV72" s="16"/>
      <c r="QLW72" s="16"/>
      <c r="QLX72" s="16"/>
      <c r="QLY72" s="16"/>
      <c r="QLZ72" s="16"/>
      <c r="QMA72" s="16"/>
      <c r="QMB72" s="16"/>
      <c r="QMC72" s="16"/>
      <c r="QMD72" s="16"/>
      <c r="QME72" s="16"/>
      <c r="QMF72" s="16"/>
      <c r="QMG72" s="16"/>
      <c r="QMH72" s="16"/>
      <c r="QMI72" s="16"/>
      <c r="QMJ72" s="16"/>
      <c r="QMK72" s="16"/>
      <c r="QML72" s="16"/>
      <c r="QMM72" s="16"/>
      <c r="QMN72" s="16"/>
      <c r="QMO72" s="16"/>
      <c r="QMP72" s="16"/>
      <c r="QMQ72" s="16"/>
      <c r="QMR72" s="16"/>
      <c r="QMS72" s="16"/>
      <c r="QMT72" s="16"/>
      <c r="QMU72" s="16"/>
      <c r="QMV72" s="16"/>
      <c r="QMW72" s="16"/>
      <c r="QMX72" s="16"/>
      <c r="QMY72" s="16"/>
      <c r="QMZ72" s="16"/>
      <c r="QNA72" s="16"/>
      <c r="QNB72" s="16"/>
      <c r="QNC72" s="16"/>
      <c r="QND72" s="16"/>
      <c r="QNE72" s="16"/>
      <c r="QNF72" s="16"/>
      <c r="QNG72" s="16"/>
      <c r="QNH72" s="16"/>
      <c r="QNI72" s="16"/>
      <c r="QNJ72" s="16"/>
      <c r="QNK72" s="16"/>
      <c r="QNL72" s="16"/>
      <c r="QNM72" s="16"/>
      <c r="QNN72" s="16"/>
      <c r="QNO72" s="16"/>
      <c r="QNP72" s="16"/>
      <c r="QNQ72" s="16"/>
      <c r="QNR72" s="16"/>
      <c r="QNS72" s="16"/>
      <c r="QNT72" s="16"/>
      <c r="QNU72" s="16"/>
      <c r="QNV72" s="16"/>
      <c r="QNW72" s="16"/>
      <c r="QNX72" s="16"/>
      <c r="QNY72" s="16"/>
      <c r="QNZ72" s="16"/>
      <c r="QOA72" s="16"/>
      <c r="QOB72" s="16"/>
      <c r="QOC72" s="16"/>
      <c r="QOD72" s="16"/>
      <c r="QOE72" s="16"/>
      <c r="QOF72" s="16"/>
      <c r="QOG72" s="16"/>
      <c r="QOH72" s="16"/>
      <c r="QOI72" s="16"/>
      <c r="QOJ72" s="16"/>
      <c r="QOK72" s="16"/>
      <c r="QOL72" s="16"/>
      <c r="QOM72" s="16"/>
      <c r="QON72" s="16"/>
      <c r="QOO72" s="16"/>
      <c r="QOP72" s="16"/>
      <c r="QOQ72" s="16"/>
      <c r="QOR72" s="16"/>
      <c r="QOS72" s="16"/>
      <c r="QOT72" s="16"/>
      <c r="QOU72" s="16"/>
      <c r="QOV72" s="16"/>
      <c r="QOW72" s="16"/>
      <c r="QOX72" s="16"/>
      <c r="QOY72" s="16"/>
      <c r="QOZ72" s="16"/>
      <c r="QPA72" s="16"/>
      <c r="QPB72" s="16"/>
      <c r="QPC72" s="16"/>
      <c r="QPD72" s="16"/>
      <c r="QPE72" s="16"/>
      <c r="QPF72" s="16"/>
      <c r="QPG72" s="16"/>
      <c r="QPH72" s="16"/>
      <c r="QPI72" s="16"/>
      <c r="QPJ72" s="16"/>
      <c r="QPK72" s="16"/>
      <c r="QPL72" s="16"/>
      <c r="QPM72" s="16"/>
      <c r="QPN72" s="16"/>
      <c r="QPO72" s="16"/>
      <c r="QPP72" s="16"/>
      <c r="QPQ72" s="16"/>
      <c r="QPR72" s="16"/>
      <c r="QPS72" s="16"/>
      <c r="QPT72" s="16"/>
      <c r="QPU72" s="16"/>
      <c r="QPV72" s="16"/>
      <c r="QPW72" s="16"/>
      <c r="QPX72" s="16"/>
      <c r="QPY72" s="16"/>
      <c r="QPZ72" s="16"/>
      <c r="QQA72" s="16"/>
      <c r="QQB72" s="16"/>
      <c r="QQC72" s="16"/>
      <c r="QQD72" s="16"/>
      <c r="QQE72" s="16"/>
      <c r="QQF72" s="16"/>
      <c r="QQG72" s="16"/>
      <c r="QQH72" s="16"/>
      <c r="QQI72" s="16"/>
      <c r="QQJ72" s="16"/>
      <c r="QQK72" s="16"/>
      <c r="QQL72" s="16"/>
      <c r="QQM72" s="16"/>
      <c r="QQN72" s="16"/>
      <c r="QQO72" s="16"/>
      <c r="QQP72" s="16"/>
      <c r="QQQ72" s="16"/>
      <c r="QQR72" s="16"/>
      <c r="QQS72" s="16"/>
      <c r="QQT72" s="16"/>
      <c r="QQU72" s="16"/>
      <c r="QQV72" s="16"/>
      <c r="QQW72" s="16"/>
      <c r="QQX72" s="16"/>
      <c r="QQY72" s="16"/>
      <c r="QQZ72" s="16"/>
      <c r="QRA72" s="16"/>
      <c r="QRB72" s="16"/>
      <c r="QRC72" s="16"/>
      <c r="QRD72" s="16"/>
      <c r="QRE72" s="16"/>
      <c r="QRF72" s="16"/>
      <c r="QRG72" s="16"/>
      <c r="QRH72" s="16"/>
      <c r="QRI72" s="16"/>
      <c r="QRJ72" s="16"/>
      <c r="QRK72" s="16"/>
      <c r="QRL72" s="16"/>
      <c r="QRM72" s="16"/>
      <c r="QRN72" s="16"/>
      <c r="QRO72" s="16"/>
      <c r="QRP72" s="16"/>
      <c r="QRQ72" s="16"/>
      <c r="QRR72" s="16"/>
      <c r="QRS72" s="16"/>
      <c r="QRT72" s="16"/>
      <c r="QRU72" s="16"/>
      <c r="QRV72" s="16"/>
      <c r="QRW72" s="16"/>
      <c r="QRX72" s="16"/>
      <c r="QRY72" s="16"/>
      <c r="QRZ72" s="16"/>
      <c r="QSA72" s="16"/>
      <c r="QSB72" s="16"/>
      <c r="QSC72" s="16"/>
      <c r="QSD72" s="16"/>
      <c r="QSE72" s="16"/>
      <c r="QSF72" s="16"/>
      <c r="QSG72" s="16"/>
      <c r="QSH72" s="16"/>
      <c r="QSI72" s="16"/>
      <c r="QSJ72" s="16"/>
      <c r="QSK72" s="16"/>
      <c r="QSL72" s="16"/>
      <c r="QSM72" s="16"/>
      <c r="QSN72" s="16"/>
      <c r="QSO72" s="16"/>
      <c r="QSP72" s="16"/>
      <c r="QSQ72" s="16"/>
      <c r="QSR72" s="16"/>
      <c r="QSS72" s="16"/>
      <c r="QST72" s="16"/>
      <c r="QSU72" s="16"/>
      <c r="QSV72" s="16"/>
      <c r="QSW72" s="16"/>
      <c r="QSX72" s="16"/>
      <c r="QSY72" s="16"/>
      <c r="QSZ72" s="16"/>
      <c r="QTA72" s="16"/>
      <c r="QTB72" s="16"/>
      <c r="QTC72" s="16"/>
      <c r="QTD72" s="16"/>
      <c r="QTE72" s="16"/>
      <c r="QTF72" s="16"/>
      <c r="QTG72" s="16"/>
      <c r="QTH72" s="16"/>
      <c r="QTI72" s="16"/>
      <c r="QTJ72" s="16"/>
      <c r="QTK72" s="16"/>
      <c r="QTL72" s="16"/>
      <c r="QTM72" s="16"/>
      <c r="QTN72" s="16"/>
      <c r="QTO72" s="16"/>
      <c r="QTP72" s="16"/>
      <c r="QTQ72" s="16"/>
      <c r="QTR72" s="16"/>
      <c r="QTS72" s="16"/>
      <c r="QTT72" s="16"/>
      <c r="QTU72" s="16"/>
      <c r="QTV72" s="16"/>
      <c r="QTW72" s="16"/>
      <c r="QTX72" s="16"/>
      <c r="QTY72" s="16"/>
      <c r="QTZ72" s="16"/>
      <c r="QUA72" s="16"/>
      <c r="QUB72" s="16"/>
      <c r="QUC72" s="16"/>
      <c r="QUD72" s="16"/>
      <c r="QUE72" s="16"/>
      <c r="QUF72" s="16"/>
      <c r="QUG72" s="16"/>
      <c r="QUH72" s="16"/>
      <c r="QUI72" s="16"/>
      <c r="QUJ72" s="16"/>
      <c r="QUK72" s="16"/>
      <c r="QUL72" s="16"/>
      <c r="QUM72" s="16"/>
      <c r="QUN72" s="16"/>
      <c r="QUO72" s="16"/>
      <c r="QUP72" s="16"/>
      <c r="QUQ72" s="16"/>
      <c r="QUR72" s="16"/>
      <c r="QUS72" s="16"/>
      <c r="QUT72" s="16"/>
      <c r="QUU72" s="16"/>
      <c r="QUV72" s="16"/>
      <c r="QUW72" s="16"/>
      <c r="QUX72" s="16"/>
      <c r="QUY72" s="16"/>
      <c r="QUZ72" s="16"/>
      <c r="QVA72" s="16"/>
      <c r="QVB72" s="16"/>
      <c r="QVC72" s="16"/>
      <c r="QVD72" s="16"/>
      <c r="QVE72" s="16"/>
      <c r="QVF72" s="16"/>
      <c r="QVG72" s="16"/>
      <c r="QVH72" s="16"/>
      <c r="QVI72" s="16"/>
      <c r="QVJ72" s="16"/>
      <c r="QVK72" s="16"/>
      <c r="QVL72" s="16"/>
      <c r="QVM72" s="16"/>
      <c r="QVN72" s="16"/>
      <c r="QVO72" s="16"/>
      <c r="QVP72" s="16"/>
      <c r="QVQ72" s="16"/>
      <c r="QVR72" s="16"/>
      <c r="QVS72" s="16"/>
      <c r="QVT72" s="16"/>
      <c r="QVU72" s="16"/>
      <c r="QVV72" s="16"/>
      <c r="QVW72" s="16"/>
      <c r="QVX72" s="16"/>
      <c r="QVY72" s="16"/>
      <c r="QVZ72" s="16"/>
      <c r="QWA72" s="16"/>
      <c r="QWB72" s="16"/>
      <c r="QWC72" s="16"/>
      <c r="QWD72" s="16"/>
      <c r="QWE72" s="16"/>
      <c r="QWF72" s="16"/>
      <c r="QWG72" s="16"/>
      <c r="QWH72" s="16"/>
      <c r="QWI72" s="16"/>
      <c r="QWJ72" s="16"/>
      <c r="QWK72" s="16"/>
      <c r="QWL72" s="16"/>
      <c r="QWM72" s="16"/>
      <c r="QWN72" s="16"/>
      <c r="QWO72" s="16"/>
      <c r="QWP72" s="16"/>
      <c r="QWQ72" s="16"/>
      <c r="QWR72" s="16"/>
      <c r="QWS72" s="16"/>
      <c r="QWT72" s="16"/>
      <c r="QWU72" s="16"/>
      <c r="QWV72" s="16"/>
      <c r="QWW72" s="16"/>
      <c r="QWX72" s="16"/>
      <c r="QWY72" s="16"/>
      <c r="QWZ72" s="16"/>
      <c r="QXA72" s="16"/>
      <c r="QXB72" s="16"/>
      <c r="QXC72" s="16"/>
      <c r="QXD72" s="16"/>
      <c r="QXE72" s="16"/>
      <c r="QXF72" s="16"/>
      <c r="QXG72" s="16"/>
      <c r="QXH72" s="16"/>
      <c r="QXI72" s="16"/>
      <c r="QXJ72" s="16"/>
      <c r="QXK72" s="16"/>
      <c r="QXL72" s="16"/>
      <c r="QXM72" s="16"/>
      <c r="QXN72" s="16"/>
      <c r="QXO72" s="16"/>
      <c r="QXP72" s="16"/>
      <c r="QXQ72" s="16"/>
      <c r="QXR72" s="16"/>
      <c r="QXS72" s="16"/>
      <c r="QXT72" s="16"/>
      <c r="QXU72" s="16"/>
      <c r="QXV72" s="16"/>
      <c r="QXW72" s="16"/>
      <c r="QXX72" s="16"/>
      <c r="QXY72" s="16"/>
      <c r="QXZ72" s="16"/>
      <c r="QYA72" s="16"/>
      <c r="QYB72" s="16"/>
      <c r="QYC72" s="16"/>
      <c r="QYD72" s="16"/>
      <c r="QYE72" s="16"/>
      <c r="QYF72" s="16"/>
      <c r="QYG72" s="16"/>
      <c r="QYH72" s="16"/>
      <c r="QYI72" s="16"/>
      <c r="QYJ72" s="16"/>
      <c r="QYK72" s="16"/>
      <c r="QYL72" s="16"/>
      <c r="QYM72" s="16"/>
      <c r="QYN72" s="16"/>
      <c r="QYO72" s="16"/>
      <c r="QYP72" s="16"/>
      <c r="QYQ72" s="16"/>
      <c r="QYR72" s="16"/>
      <c r="QYS72" s="16"/>
      <c r="QYT72" s="16"/>
      <c r="QYU72" s="16"/>
      <c r="QYV72" s="16"/>
      <c r="QYW72" s="16"/>
      <c r="QYX72" s="16"/>
      <c r="QYY72" s="16"/>
      <c r="QYZ72" s="16"/>
      <c r="QZA72" s="16"/>
      <c r="QZB72" s="16"/>
      <c r="QZC72" s="16"/>
      <c r="QZD72" s="16"/>
      <c r="QZE72" s="16"/>
      <c r="QZF72" s="16"/>
      <c r="QZG72" s="16"/>
      <c r="QZH72" s="16"/>
      <c r="QZI72" s="16"/>
      <c r="QZJ72" s="16"/>
      <c r="QZK72" s="16"/>
      <c r="QZL72" s="16"/>
      <c r="QZM72" s="16"/>
      <c r="QZN72" s="16"/>
      <c r="QZO72" s="16"/>
      <c r="QZP72" s="16"/>
      <c r="QZQ72" s="16"/>
      <c r="QZR72" s="16"/>
      <c r="QZS72" s="16"/>
      <c r="QZT72" s="16"/>
      <c r="QZU72" s="16"/>
      <c r="QZV72" s="16"/>
      <c r="QZW72" s="16"/>
      <c r="QZX72" s="16"/>
      <c r="QZY72" s="16"/>
      <c r="QZZ72" s="16"/>
      <c r="RAA72" s="16"/>
      <c r="RAB72" s="16"/>
      <c r="RAC72" s="16"/>
      <c r="RAD72" s="16"/>
      <c r="RAE72" s="16"/>
      <c r="RAF72" s="16"/>
      <c r="RAG72" s="16"/>
      <c r="RAH72" s="16"/>
      <c r="RAI72" s="16"/>
      <c r="RAJ72" s="16"/>
      <c r="RAK72" s="16"/>
      <c r="RAL72" s="16"/>
      <c r="RAM72" s="16"/>
      <c r="RAN72" s="16"/>
      <c r="RAO72" s="16"/>
      <c r="RAP72" s="16"/>
      <c r="RAQ72" s="16"/>
      <c r="RAR72" s="16"/>
      <c r="RAS72" s="16"/>
      <c r="RAT72" s="16"/>
      <c r="RAU72" s="16"/>
      <c r="RAV72" s="16"/>
      <c r="RAW72" s="16"/>
      <c r="RAX72" s="16"/>
      <c r="RAY72" s="16"/>
      <c r="RAZ72" s="16"/>
      <c r="RBA72" s="16"/>
      <c r="RBB72" s="16"/>
      <c r="RBC72" s="16"/>
      <c r="RBD72" s="16"/>
      <c r="RBE72" s="16"/>
      <c r="RBF72" s="16"/>
      <c r="RBG72" s="16"/>
      <c r="RBH72" s="16"/>
      <c r="RBI72" s="16"/>
      <c r="RBJ72" s="16"/>
      <c r="RBK72" s="16"/>
      <c r="RBL72" s="16"/>
      <c r="RBM72" s="16"/>
      <c r="RBN72" s="16"/>
      <c r="RBO72" s="16"/>
      <c r="RBP72" s="16"/>
      <c r="RBQ72" s="16"/>
      <c r="RBR72" s="16"/>
      <c r="RBS72" s="16"/>
      <c r="RBT72" s="16"/>
      <c r="RBU72" s="16"/>
      <c r="RBV72" s="16"/>
      <c r="RBW72" s="16"/>
      <c r="RBX72" s="16"/>
      <c r="RBY72" s="16"/>
      <c r="RBZ72" s="16"/>
      <c r="RCA72" s="16"/>
      <c r="RCB72" s="16"/>
      <c r="RCC72" s="16"/>
      <c r="RCD72" s="16"/>
      <c r="RCE72" s="16"/>
      <c r="RCF72" s="16"/>
      <c r="RCG72" s="16"/>
      <c r="RCH72" s="16"/>
      <c r="RCI72" s="16"/>
      <c r="RCJ72" s="16"/>
      <c r="RCK72" s="16"/>
      <c r="RCL72" s="16"/>
      <c r="RCM72" s="16"/>
      <c r="RCN72" s="16"/>
      <c r="RCO72" s="16"/>
      <c r="RCP72" s="16"/>
      <c r="RCQ72" s="16"/>
      <c r="RCR72" s="16"/>
      <c r="RCS72" s="16"/>
      <c r="RCT72" s="16"/>
      <c r="RCU72" s="16"/>
      <c r="RCV72" s="16"/>
      <c r="RCW72" s="16"/>
      <c r="RCX72" s="16"/>
      <c r="RCY72" s="16"/>
      <c r="RCZ72" s="16"/>
      <c r="RDA72" s="16"/>
      <c r="RDB72" s="16"/>
      <c r="RDC72" s="16"/>
      <c r="RDD72" s="16"/>
      <c r="RDE72" s="16"/>
      <c r="RDF72" s="16"/>
      <c r="RDG72" s="16"/>
      <c r="RDH72" s="16"/>
      <c r="RDI72" s="16"/>
      <c r="RDJ72" s="16"/>
      <c r="RDK72" s="16"/>
      <c r="RDL72" s="16"/>
      <c r="RDM72" s="16"/>
      <c r="RDN72" s="16"/>
      <c r="RDO72" s="16"/>
      <c r="RDP72" s="16"/>
      <c r="RDQ72" s="16"/>
      <c r="RDR72" s="16"/>
      <c r="RDS72" s="16"/>
      <c r="RDT72" s="16"/>
      <c r="RDU72" s="16"/>
      <c r="RDV72" s="16"/>
      <c r="RDW72" s="16"/>
      <c r="RDX72" s="16"/>
      <c r="RDY72" s="16"/>
      <c r="RDZ72" s="16"/>
      <c r="REA72" s="16"/>
      <c r="REB72" s="16"/>
      <c r="REC72" s="16"/>
      <c r="RED72" s="16"/>
      <c r="REE72" s="16"/>
      <c r="REF72" s="16"/>
      <c r="REG72" s="16"/>
      <c r="REH72" s="16"/>
      <c r="REI72" s="16"/>
      <c r="REJ72" s="16"/>
      <c r="REK72" s="16"/>
      <c r="REL72" s="16"/>
      <c r="REM72" s="16"/>
      <c r="REN72" s="16"/>
      <c r="REO72" s="16"/>
      <c r="REP72" s="16"/>
      <c r="REQ72" s="16"/>
      <c r="RER72" s="16"/>
      <c r="RES72" s="16"/>
      <c r="RET72" s="16"/>
      <c r="REU72" s="16"/>
      <c r="REV72" s="16"/>
      <c r="REW72" s="16"/>
      <c r="REX72" s="16"/>
      <c r="REY72" s="16"/>
      <c r="REZ72" s="16"/>
      <c r="RFA72" s="16"/>
      <c r="RFB72" s="16"/>
      <c r="RFC72" s="16"/>
      <c r="RFD72" s="16"/>
      <c r="RFE72" s="16"/>
      <c r="RFF72" s="16"/>
      <c r="RFG72" s="16"/>
      <c r="RFH72" s="16"/>
      <c r="RFI72" s="16"/>
      <c r="RFJ72" s="16"/>
      <c r="RFK72" s="16"/>
      <c r="RFL72" s="16"/>
      <c r="RFM72" s="16"/>
      <c r="RFN72" s="16"/>
      <c r="RFO72" s="16"/>
      <c r="RFP72" s="16"/>
      <c r="RFQ72" s="16"/>
      <c r="RFR72" s="16"/>
      <c r="RFS72" s="16"/>
      <c r="RFT72" s="16"/>
      <c r="RFU72" s="16"/>
      <c r="RFV72" s="16"/>
      <c r="RFW72" s="16"/>
      <c r="RFX72" s="16"/>
      <c r="RFY72" s="16"/>
      <c r="RFZ72" s="16"/>
      <c r="RGA72" s="16"/>
      <c r="RGB72" s="16"/>
      <c r="RGC72" s="16"/>
      <c r="RGD72" s="16"/>
      <c r="RGE72" s="16"/>
      <c r="RGF72" s="16"/>
      <c r="RGG72" s="16"/>
      <c r="RGH72" s="16"/>
      <c r="RGI72" s="16"/>
      <c r="RGJ72" s="16"/>
      <c r="RGK72" s="16"/>
      <c r="RGL72" s="16"/>
      <c r="RGM72" s="16"/>
      <c r="RGN72" s="16"/>
      <c r="RGO72" s="16"/>
      <c r="RGP72" s="16"/>
      <c r="RGQ72" s="16"/>
      <c r="RGR72" s="16"/>
      <c r="RGS72" s="16"/>
      <c r="RGT72" s="16"/>
      <c r="RGU72" s="16"/>
      <c r="RGV72" s="16"/>
      <c r="RGW72" s="16"/>
      <c r="RGX72" s="16"/>
      <c r="RGY72" s="16"/>
      <c r="RGZ72" s="16"/>
      <c r="RHA72" s="16"/>
      <c r="RHB72" s="16"/>
      <c r="RHC72" s="16"/>
      <c r="RHD72" s="16"/>
      <c r="RHE72" s="16"/>
      <c r="RHF72" s="16"/>
      <c r="RHG72" s="16"/>
      <c r="RHH72" s="16"/>
      <c r="RHI72" s="16"/>
      <c r="RHJ72" s="16"/>
      <c r="RHK72" s="16"/>
      <c r="RHL72" s="16"/>
      <c r="RHM72" s="16"/>
      <c r="RHN72" s="16"/>
      <c r="RHO72" s="16"/>
      <c r="RHP72" s="16"/>
      <c r="RHQ72" s="16"/>
      <c r="RHR72" s="16"/>
      <c r="RHS72" s="16"/>
      <c r="RHT72" s="16"/>
      <c r="RHU72" s="16"/>
      <c r="RHV72" s="16"/>
      <c r="RHW72" s="16"/>
      <c r="RHX72" s="16"/>
      <c r="RHY72" s="16"/>
      <c r="RHZ72" s="16"/>
      <c r="RIA72" s="16"/>
      <c r="RIB72" s="16"/>
      <c r="RIC72" s="16"/>
      <c r="RID72" s="16"/>
      <c r="RIE72" s="16"/>
      <c r="RIF72" s="16"/>
      <c r="RIG72" s="16"/>
      <c r="RIH72" s="16"/>
      <c r="RII72" s="16"/>
      <c r="RIJ72" s="16"/>
      <c r="RIK72" s="16"/>
      <c r="RIL72" s="16"/>
      <c r="RIM72" s="16"/>
      <c r="RIN72" s="16"/>
      <c r="RIO72" s="16"/>
      <c r="RIP72" s="16"/>
      <c r="RIQ72" s="16"/>
      <c r="RIR72" s="16"/>
      <c r="RIS72" s="16"/>
      <c r="RIT72" s="16"/>
      <c r="RIU72" s="16"/>
      <c r="RIV72" s="16"/>
      <c r="RIW72" s="16"/>
      <c r="RIX72" s="16"/>
      <c r="RIY72" s="16"/>
      <c r="RIZ72" s="16"/>
      <c r="RJA72" s="16"/>
      <c r="RJB72" s="16"/>
      <c r="RJC72" s="16"/>
      <c r="RJD72" s="16"/>
      <c r="RJE72" s="16"/>
      <c r="RJF72" s="16"/>
      <c r="RJG72" s="16"/>
      <c r="RJH72" s="16"/>
      <c r="RJI72" s="16"/>
      <c r="RJJ72" s="16"/>
      <c r="RJK72" s="16"/>
      <c r="RJL72" s="16"/>
      <c r="RJM72" s="16"/>
      <c r="RJN72" s="16"/>
      <c r="RJO72" s="16"/>
      <c r="RJP72" s="16"/>
      <c r="RJQ72" s="16"/>
      <c r="RJR72" s="16"/>
      <c r="RJS72" s="16"/>
      <c r="RJT72" s="16"/>
      <c r="RJU72" s="16"/>
      <c r="RJV72" s="16"/>
      <c r="RJW72" s="16"/>
      <c r="RJX72" s="16"/>
      <c r="RJY72" s="16"/>
      <c r="RJZ72" s="16"/>
      <c r="RKA72" s="16"/>
      <c r="RKB72" s="16"/>
      <c r="RKC72" s="16"/>
      <c r="RKD72" s="16"/>
      <c r="RKE72" s="16"/>
      <c r="RKF72" s="16"/>
      <c r="RKG72" s="16"/>
      <c r="RKH72" s="16"/>
      <c r="RKI72" s="16"/>
      <c r="RKJ72" s="16"/>
      <c r="RKK72" s="16"/>
      <c r="RKL72" s="16"/>
      <c r="RKM72" s="16"/>
      <c r="RKN72" s="16"/>
      <c r="RKO72" s="16"/>
      <c r="RKP72" s="16"/>
      <c r="RKQ72" s="16"/>
      <c r="RKR72" s="16"/>
      <c r="RKS72" s="16"/>
      <c r="RKT72" s="16"/>
      <c r="RKU72" s="16"/>
      <c r="RKV72" s="16"/>
      <c r="RKW72" s="16"/>
      <c r="RKX72" s="16"/>
      <c r="RKY72" s="16"/>
      <c r="RKZ72" s="16"/>
      <c r="RLA72" s="16"/>
      <c r="RLB72" s="16"/>
      <c r="RLC72" s="16"/>
      <c r="RLD72" s="16"/>
      <c r="RLE72" s="16"/>
      <c r="RLF72" s="16"/>
      <c r="RLG72" s="16"/>
      <c r="RLH72" s="16"/>
      <c r="RLI72" s="16"/>
      <c r="RLJ72" s="16"/>
      <c r="RLK72" s="16"/>
      <c r="RLL72" s="16"/>
      <c r="RLM72" s="16"/>
      <c r="RLN72" s="16"/>
      <c r="RLO72" s="16"/>
      <c r="RLP72" s="16"/>
      <c r="RLQ72" s="16"/>
      <c r="RLR72" s="16"/>
      <c r="RLS72" s="16"/>
      <c r="RLT72" s="16"/>
      <c r="RLU72" s="16"/>
      <c r="RLV72" s="16"/>
      <c r="RLW72" s="16"/>
      <c r="RLX72" s="16"/>
      <c r="RLY72" s="16"/>
      <c r="RLZ72" s="16"/>
      <c r="RMA72" s="16"/>
      <c r="RMB72" s="16"/>
      <c r="RMC72" s="16"/>
      <c r="RMD72" s="16"/>
      <c r="RME72" s="16"/>
      <c r="RMF72" s="16"/>
      <c r="RMG72" s="16"/>
      <c r="RMH72" s="16"/>
      <c r="RMI72" s="16"/>
      <c r="RMJ72" s="16"/>
      <c r="RMK72" s="16"/>
      <c r="RML72" s="16"/>
      <c r="RMM72" s="16"/>
      <c r="RMN72" s="16"/>
      <c r="RMO72" s="16"/>
      <c r="RMP72" s="16"/>
      <c r="RMQ72" s="16"/>
      <c r="RMR72" s="16"/>
      <c r="RMS72" s="16"/>
      <c r="RMT72" s="16"/>
      <c r="RMU72" s="16"/>
      <c r="RMV72" s="16"/>
      <c r="RMW72" s="16"/>
      <c r="RMX72" s="16"/>
      <c r="RMY72" s="16"/>
      <c r="RMZ72" s="16"/>
      <c r="RNA72" s="16"/>
      <c r="RNB72" s="16"/>
      <c r="RNC72" s="16"/>
      <c r="RND72" s="16"/>
      <c r="RNE72" s="16"/>
      <c r="RNF72" s="16"/>
      <c r="RNG72" s="16"/>
      <c r="RNH72" s="16"/>
      <c r="RNI72" s="16"/>
      <c r="RNJ72" s="16"/>
      <c r="RNK72" s="16"/>
      <c r="RNL72" s="16"/>
      <c r="RNM72" s="16"/>
      <c r="RNN72" s="16"/>
      <c r="RNO72" s="16"/>
      <c r="RNP72" s="16"/>
      <c r="RNQ72" s="16"/>
      <c r="RNR72" s="16"/>
      <c r="RNS72" s="16"/>
      <c r="RNT72" s="16"/>
      <c r="RNU72" s="16"/>
      <c r="RNV72" s="16"/>
      <c r="RNW72" s="16"/>
      <c r="RNX72" s="16"/>
      <c r="RNY72" s="16"/>
      <c r="RNZ72" s="16"/>
      <c r="ROA72" s="16"/>
      <c r="ROB72" s="16"/>
      <c r="ROC72" s="16"/>
      <c r="ROD72" s="16"/>
      <c r="ROE72" s="16"/>
      <c r="ROF72" s="16"/>
      <c r="ROG72" s="16"/>
      <c r="ROH72" s="16"/>
      <c r="ROI72" s="16"/>
      <c r="ROJ72" s="16"/>
      <c r="ROK72" s="16"/>
      <c r="ROL72" s="16"/>
      <c r="ROM72" s="16"/>
      <c r="RON72" s="16"/>
      <c r="ROO72" s="16"/>
      <c r="ROP72" s="16"/>
      <c r="ROQ72" s="16"/>
      <c r="ROR72" s="16"/>
      <c r="ROS72" s="16"/>
      <c r="ROT72" s="16"/>
      <c r="ROU72" s="16"/>
      <c r="ROV72" s="16"/>
      <c r="ROW72" s="16"/>
      <c r="ROX72" s="16"/>
      <c r="ROY72" s="16"/>
      <c r="ROZ72" s="16"/>
      <c r="RPA72" s="16"/>
      <c r="RPB72" s="16"/>
      <c r="RPC72" s="16"/>
      <c r="RPD72" s="16"/>
      <c r="RPE72" s="16"/>
      <c r="RPF72" s="16"/>
      <c r="RPG72" s="16"/>
      <c r="RPH72" s="16"/>
      <c r="RPI72" s="16"/>
      <c r="RPJ72" s="16"/>
      <c r="RPK72" s="16"/>
      <c r="RPL72" s="16"/>
      <c r="RPM72" s="16"/>
      <c r="RPN72" s="16"/>
      <c r="RPO72" s="16"/>
      <c r="RPP72" s="16"/>
      <c r="RPQ72" s="16"/>
      <c r="RPR72" s="16"/>
      <c r="RPS72" s="16"/>
      <c r="RPT72" s="16"/>
      <c r="RPU72" s="16"/>
      <c r="RPV72" s="16"/>
      <c r="RPW72" s="16"/>
      <c r="RPX72" s="16"/>
      <c r="RPY72" s="16"/>
      <c r="RPZ72" s="16"/>
      <c r="RQA72" s="16"/>
      <c r="RQB72" s="16"/>
      <c r="RQC72" s="16"/>
      <c r="RQD72" s="16"/>
      <c r="RQE72" s="16"/>
      <c r="RQF72" s="16"/>
      <c r="RQG72" s="16"/>
      <c r="RQH72" s="16"/>
      <c r="RQI72" s="16"/>
      <c r="RQJ72" s="16"/>
      <c r="RQK72" s="16"/>
      <c r="RQL72" s="16"/>
      <c r="RQM72" s="16"/>
      <c r="RQN72" s="16"/>
      <c r="RQO72" s="16"/>
      <c r="RQP72" s="16"/>
      <c r="RQQ72" s="16"/>
      <c r="RQR72" s="16"/>
      <c r="RQS72" s="16"/>
      <c r="RQT72" s="16"/>
      <c r="RQU72" s="16"/>
      <c r="RQV72" s="16"/>
      <c r="RQW72" s="16"/>
      <c r="RQX72" s="16"/>
      <c r="RQY72" s="16"/>
      <c r="RQZ72" s="16"/>
      <c r="RRA72" s="16"/>
      <c r="RRB72" s="16"/>
      <c r="RRC72" s="16"/>
      <c r="RRD72" s="16"/>
      <c r="RRE72" s="16"/>
      <c r="RRF72" s="16"/>
      <c r="RRG72" s="16"/>
      <c r="RRH72" s="16"/>
      <c r="RRI72" s="16"/>
      <c r="RRJ72" s="16"/>
      <c r="RRK72" s="16"/>
      <c r="RRL72" s="16"/>
      <c r="RRM72" s="16"/>
      <c r="RRN72" s="16"/>
      <c r="RRO72" s="16"/>
      <c r="RRP72" s="16"/>
      <c r="RRQ72" s="16"/>
      <c r="RRR72" s="16"/>
      <c r="RRS72" s="16"/>
      <c r="RRT72" s="16"/>
      <c r="RRU72" s="16"/>
      <c r="RRV72" s="16"/>
      <c r="RRW72" s="16"/>
      <c r="RRX72" s="16"/>
      <c r="RRY72" s="16"/>
      <c r="RRZ72" s="16"/>
      <c r="RSA72" s="16"/>
      <c r="RSB72" s="16"/>
      <c r="RSC72" s="16"/>
      <c r="RSD72" s="16"/>
      <c r="RSE72" s="16"/>
      <c r="RSF72" s="16"/>
      <c r="RSG72" s="16"/>
      <c r="RSH72" s="16"/>
      <c r="RSI72" s="16"/>
      <c r="RSJ72" s="16"/>
      <c r="RSK72" s="16"/>
      <c r="RSL72" s="16"/>
      <c r="RSM72" s="16"/>
      <c r="RSN72" s="16"/>
      <c r="RSO72" s="16"/>
      <c r="RSP72" s="16"/>
      <c r="RSQ72" s="16"/>
      <c r="RSR72" s="16"/>
      <c r="RSS72" s="16"/>
      <c r="RST72" s="16"/>
      <c r="RSU72" s="16"/>
      <c r="RSV72" s="16"/>
      <c r="RSW72" s="16"/>
      <c r="RSX72" s="16"/>
      <c r="RSY72" s="16"/>
      <c r="RSZ72" s="16"/>
      <c r="RTA72" s="16"/>
      <c r="RTB72" s="16"/>
      <c r="RTC72" s="16"/>
      <c r="RTD72" s="16"/>
      <c r="RTE72" s="16"/>
      <c r="RTF72" s="16"/>
      <c r="RTG72" s="16"/>
      <c r="RTH72" s="16"/>
      <c r="RTI72" s="16"/>
      <c r="RTJ72" s="16"/>
      <c r="RTK72" s="16"/>
      <c r="RTL72" s="16"/>
      <c r="RTM72" s="16"/>
      <c r="RTN72" s="16"/>
      <c r="RTO72" s="16"/>
      <c r="RTP72" s="16"/>
      <c r="RTQ72" s="16"/>
      <c r="RTR72" s="16"/>
      <c r="RTS72" s="16"/>
      <c r="RTT72" s="16"/>
      <c r="RTU72" s="16"/>
      <c r="RTV72" s="16"/>
      <c r="RTW72" s="16"/>
      <c r="RTX72" s="16"/>
      <c r="RTY72" s="16"/>
      <c r="RTZ72" s="16"/>
      <c r="RUA72" s="16"/>
      <c r="RUB72" s="16"/>
      <c r="RUC72" s="16"/>
      <c r="RUD72" s="16"/>
      <c r="RUE72" s="16"/>
      <c r="RUF72" s="16"/>
      <c r="RUG72" s="16"/>
      <c r="RUH72" s="16"/>
      <c r="RUI72" s="16"/>
      <c r="RUJ72" s="16"/>
      <c r="RUK72" s="16"/>
      <c r="RUL72" s="16"/>
      <c r="RUM72" s="16"/>
      <c r="RUN72" s="16"/>
      <c r="RUO72" s="16"/>
      <c r="RUP72" s="16"/>
      <c r="RUQ72" s="16"/>
      <c r="RUR72" s="16"/>
      <c r="RUS72" s="16"/>
      <c r="RUT72" s="16"/>
      <c r="RUU72" s="16"/>
      <c r="RUV72" s="16"/>
      <c r="RUW72" s="16"/>
      <c r="RUX72" s="16"/>
      <c r="RUY72" s="16"/>
      <c r="RUZ72" s="16"/>
      <c r="RVA72" s="16"/>
      <c r="RVB72" s="16"/>
      <c r="RVC72" s="16"/>
      <c r="RVD72" s="16"/>
      <c r="RVE72" s="16"/>
      <c r="RVF72" s="16"/>
      <c r="RVG72" s="16"/>
      <c r="RVH72" s="16"/>
      <c r="RVI72" s="16"/>
      <c r="RVJ72" s="16"/>
      <c r="RVK72" s="16"/>
      <c r="RVL72" s="16"/>
      <c r="RVM72" s="16"/>
      <c r="RVN72" s="16"/>
      <c r="RVO72" s="16"/>
      <c r="RVP72" s="16"/>
      <c r="RVQ72" s="16"/>
      <c r="RVR72" s="16"/>
      <c r="RVS72" s="16"/>
      <c r="RVT72" s="16"/>
      <c r="RVU72" s="16"/>
      <c r="RVV72" s="16"/>
      <c r="RVW72" s="16"/>
      <c r="RVX72" s="16"/>
      <c r="RVY72" s="16"/>
      <c r="RVZ72" s="16"/>
      <c r="RWA72" s="16"/>
      <c r="RWB72" s="16"/>
      <c r="RWC72" s="16"/>
      <c r="RWD72" s="16"/>
      <c r="RWE72" s="16"/>
      <c r="RWF72" s="16"/>
      <c r="RWG72" s="16"/>
      <c r="RWH72" s="16"/>
      <c r="RWI72" s="16"/>
      <c r="RWJ72" s="16"/>
      <c r="RWK72" s="16"/>
      <c r="RWL72" s="16"/>
      <c r="RWM72" s="16"/>
      <c r="RWN72" s="16"/>
      <c r="RWO72" s="16"/>
      <c r="RWP72" s="16"/>
      <c r="RWQ72" s="16"/>
      <c r="RWR72" s="16"/>
      <c r="RWS72" s="16"/>
      <c r="RWT72" s="16"/>
      <c r="RWU72" s="16"/>
      <c r="RWV72" s="16"/>
      <c r="RWW72" s="16"/>
      <c r="RWX72" s="16"/>
      <c r="RWY72" s="16"/>
      <c r="RWZ72" s="16"/>
      <c r="RXA72" s="16"/>
      <c r="RXB72" s="16"/>
      <c r="RXC72" s="16"/>
      <c r="RXD72" s="16"/>
      <c r="RXE72" s="16"/>
      <c r="RXF72" s="16"/>
      <c r="RXG72" s="16"/>
      <c r="RXH72" s="16"/>
      <c r="RXI72" s="16"/>
      <c r="RXJ72" s="16"/>
      <c r="RXK72" s="16"/>
      <c r="RXL72" s="16"/>
      <c r="RXM72" s="16"/>
      <c r="RXN72" s="16"/>
      <c r="RXO72" s="16"/>
      <c r="RXP72" s="16"/>
      <c r="RXQ72" s="16"/>
      <c r="RXR72" s="16"/>
      <c r="RXS72" s="16"/>
      <c r="RXT72" s="16"/>
      <c r="RXU72" s="16"/>
      <c r="RXV72" s="16"/>
      <c r="RXW72" s="16"/>
      <c r="RXX72" s="16"/>
      <c r="RXY72" s="16"/>
      <c r="RXZ72" s="16"/>
      <c r="RYA72" s="16"/>
      <c r="RYB72" s="16"/>
      <c r="RYC72" s="16"/>
      <c r="RYD72" s="16"/>
      <c r="RYE72" s="16"/>
      <c r="RYF72" s="16"/>
      <c r="RYG72" s="16"/>
      <c r="RYH72" s="16"/>
      <c r="RYI72" s="16"/>
      <c r="RYJ72" s="16"/>
      <c r="RYK72" s="16"/>
      <c r="RYL72" s="16"/>
      <c r="RYM72" s="16"/>
      <c r="RYN72" s="16"/>
      <c r="RYO72" s="16"/>
      <c r="RYP72" s="16"/>
      <c r="RYQ72" s="16"/>
      <c r="RYR72" s="16"/>
      <c r="RYS72" s="16"/>
      <c r="RYT72" s="16"/>
      <c r="RYU72" s="16"/>
      <c r="RYV72" s="16"/>
      <c r="RYW72" s="16"/>
      <c r="RYX72" s="16"/>
      <c r="RYY72" s="16"/>
      <c r="RYZ72" s="16"/>
      <c r="RZA72" s="16"/>
      <c r="RZB72" s="16"/>
      <c r="RZC72" s="16"/>
      <c r="RZD72" s="16"/>
      <c r="RZE72" s="16"/>
      <c r="RZF72" s="16"/>
      <c r="RZG72" s="16"/>
      <c r="RZH72" s="16"/>
      <c r="RZI72" s="16"/>
      <c r="RZJ72" s="16"/>
      <c r="RZK72" s="16"/>
      <c r="RZL72" s="16"/>
      <c r="RZM72" s="16"/>
      <c r="RZN72" s="16"/>
      <c r="RZO72" s="16"/>
      <c r="RZP72" s="16"/>
      <c r="RZQ72" s="16"/>
      <c r="RZR72" s="16"/>
      <c r="RZS72" s="16"/>
      <c r="RZT72" s="16"/>
      <c r="RZU72" s="16"/>
      <c r="RZV72" s="16"/>
      <c r="RZW72" s="16"/>
      <c r="RZX72" s="16"/>
      <c r="RZY72" s="16"/>
      <c r="RZZ72" s="16"/>
      <c r="SAA72" s="16"/>
      <c r="SAB72" s="16"/>
      <c r="SAC72" s="16"/>
      <c r="SAD72" s="16"/>
      <c r="SAE72" s="16"/>
      <c r="SAF72" s="16"/>
      <c r="SAG72" s="16"/>
      <c r="SAH72" s="16"/>
      <c r="SAI72" s="16"/>
      <c r="SAJ72" s="16"/>
      <c r="SAK72" s="16"/>
      <c r="SAL72" s="16"/>
      <c r="SAM72" s="16"/>
      <c r="SAN72" s="16"/>
      <c r="SAO72" s="16"/>
      <c r="SAP72" s="16"/>
      <c r="SAQ72" s="16"/>
      <c r="SAR72" s="16"/>
      <c r="SAS72" s="16"/>
      <c r="SAT72" s="16"/>
      <c r="SAU72" s="16"/>
      <c r="SAV72" s="16"/>
      <c r="SAW72" s="16"/>
      <c r="SAX72" s="16"/>
      <c r="SAY72" s="16"/>
      <c r="SAZ72" s="16"/>
      <c r="SBA72" s="16"/>
      <c r="SBB72" s="16"/>
      <c r="SBC72" s="16"/>
      <c r="SBD72" s="16"/>
      <c r="SBE72" s="16"/>
      <c r="SBF72" s="16"/>
      <c r="SBG72" s="16"/>
      <c r="SBH72" s="16"/>
      <c r="SBI72" s="16"/>
      <c r="SBJ72" s="16"/>
      <c r="SBK72" s="16"/>
      <c r="SBL72" s="16"/>
      <c r="SBM72" s="16"/>
      <c r="SBN72" s="16"/>
      <c r="SBO72" s="16"/>
      <c r="SBP72" s="16"/>
      <c r="SBQ72" s="16"/>
      <c r="SBR72" s="16"/>
      <c r="SBS72" s="16"/>
      <c r="SBT72" s="16"/>
      <c r="SBU72" s="16"/>
      <c r="SBV72" s="16"/>
      <c r="SBW72" s="16"/>
      <c r="SBX72" s="16"/>
      <c r="SBY72" s="16"/>
      <c r="SBZ72" s="16"/>
      <c r="SCA72" s="16"/>
      <c r="SCB72" s="16"/>
      <c r="SCC72" s="16"/>
      <c r="SCD72" s="16"/>
      <c r="SCE72" s="16"/>
      <c r="SCF72" s="16"/>
      <c r="SCG72" s="16"/>
      <c r="SCH72" s="16"/>
      <c r="SCI72" s="16"/>
      <c r="SCJ72" s="16"/>
      <c r="SCK72" s="16"/>
      <c r="SCL72" s="16"/>
      <c r="SCM72" s="16"/>
      <c r="SCN72" s="16"/>
      <c r="SCO72" s="16"/>
      <c r="SCP72" s="16"/>
      <c r="SCQ72" s="16"/>
      <c r="SCR72" s="16"/>
      <c r="SCS72" s="16"/>
      <c r="SCT72" s="16"/>
      <c r="SCU72" s="16"/>
      <c r="SCV72" s="16"/>
      <c r="SCW72" s="16"/>
      <c r="SCX72" s="16"/>
      <c r="SCY72" s="16"/>
      <c r="SCZ72" s="16"/>
      <c r="SDA72" s="16"/>
      <c r="SDB72" s="16"/>
      <c r="SDC72" s="16"/>
      <c r="SDD72" s="16"/>
      <c r="SDE72" s="16"/>
      <c r="SDF72" s="16"/>
      <c r="SDG72" s="16"/>
      <c r="SDH72" s="16"/>
      <c r="SDI72" s="16"/>
      <c r="SDJ72" s="16"/>
      <c r="SDK72" s="16"/>
      <c r="SDL72" s="16"/>
      <c r="SDM72" s="16"/>
      <c r="SDN72" s="16"/>
      <c r="SDO72" s="16"/>
      <c r="SDP72" s="16"/>
      <c r="SDQ72" s="16"/>
      <c r="SDR72" s="16"/>
      <c r="SDS72" s="16"/>
      <c r="SDT72" s="16"/>
      <c r="SDU72" s="16"/>
      <c r="SDV72" s="16"/>
      <c r="SDW72" s="16"/>
      <c r="SDX72" s="16"/>
      <c r="SDY72" s="16"/>
      <c r="SDZ72" s="16"/>
      <c r="SEA72" s="16"/>
      <c r="SEB72" s="16"/>
      <c r="SEC72" s="16"/>
      <c r="SED72" s="16"/>
      <c r="SEE72" s="16"/>
      <c r="SEF72" s="16"/>
      <c r="SEG72" s="16"/>
      <c r="SEH72" s="16"/>
      <c r="SEI72" s="16"/>
      <c r="SEJ72" s="16"/>
      <c r="SEK72" s="16"/>
      <c r="SEL72" s="16"/>
      <c r="SEM72" s="16"/>
      <c r="SEN72" s="16"/>
      <c r="SEO72" s="16"/>
      <c r="SEP72" s="16"/>
      <c r="SEQ72" s="16"/>
      <c r="SER72" s="16"/>
      <c r="SES72" s="16"/>
      <c r="SET72" s="16"/>
      <c r="SEU72" s="16"/>
      <c r="SEV72" s="16"/>
      <c r="SEW72" s="16"/>
      <c r="SEX72" s="16"/>
      <c r="SEY72" s="16"/>
      <c r="SEZ72" s="16"/>
      <c r="SFA72" s="16"/>
      <c r="SFB72" s="16"/>
      <c r="SFC72" s="16"/>
      <c r="SFD72" s="16"/>
      <c r="SFE72" s="16"/>
      <c r="SFF72" s="16"/>
      <c r="SFG72" s="16"/>
      <c r="SFH72" s="16"/>
      <c r="SFI72" s="16"/>
      <c r="SFJ72" s="16"/>
      <c r="SFK72" s="16"/>
      <c r="SFL72" s="16"/>
      <c r="SFM72" s="16"/>
      <c r="SFN72" s="16"/>
      <c r="SFO72" s="16"/>
      <c r="SFP72" s="16"/>
      <c r="SFQ72" s="16"/>
      <c r="SFR72" s="16"/>
      <c r="SFS72" s="16"/>
      <c r="SFT72" s="16"/>
      <c r="SFU72" s="16"/>
      <c r="SFV72" s="16"/>
      <c r="SFW72" s="16"/>
      <c r="SFX72" s="16"/>
      <c r="SFY72" s="16"/>
      <c r="SFZ72" s="16"/>
      <c r="SGA72" s="16"/>
      <c r="SGB72" s="16"/>
      <c r="SGC72" s="16"/>
      <c r="SGD72" s="16"/>
      <c r="SGE72" s="16"/>
      <c r="SGF72" s="16"/>
      <c r="SGG72" s="16"/>
      <c r="SGH72" s="16"/>
      <c r="SGI72" s="16"/>
      <c r="SGJ72" s="16"/>
      <c r="SGK72" s="16"/>
      <c r="SGL72" s="16"/>
      <c r="SGM72" s="16"/>
      <c r="SGN72" s="16"/>
      <c r="SGO72" s="16"/>
      <c r="SGP72" s="16"/>
      <c r="SGQ72" s="16"/>
      <c r="SGR72" s="16"/>
      <c r="SGS72" s="16"/>
      <c r="SGT72" s="16"/>
      <c r="SGU72" s="16"/>
      <c r="SGV72" s="16"/>
      <c r="SGW72" s="16"/>
      <c r="SGX72" s="16"/>
      <c r="SGY72" s="16"/>
      <c r="SGZ72" s="16"/>
      <c r="SHA72" s="16"/>
      <c r="SHB72" s="16"/>
      <c r="SHC72" s="16"/>
      <c r="SHD72" s="16"/>
      <c r="SHE72" s="16"/>
      <c r="SHF72" s="16"/>
      <c r="SHG72" s="16"/>
      <c r="SHH72" s="16"/>
      <c r="SHI72" s="16"/>
      <c r="SHJ72" s="16"/>
      <c r="SHK72" s="16"/>
      <c r="SHL72" s="16"/>
      <c r="SHM72" s="16"/>
      <c r="SHN72" s="16"/>
      <c r="SHO72" s="16"/>
      <c r="SHP72" s="16"/>
      <c r="SHQ72" s="16"/>
      <c r="SHR72" s="16"/>
      <c r="SHS72" s="16"/>
      <c r="SHT72" s="16"/>
      <c r="SHU72" s="16"/>
      <c r="SHV72" s="16"/>
      <c r="SHW72" s="16"/>
      <c r="SHX72" s="16"/>
      <c r="SHY72" s="16"/>
      <c r="SHZ72" s="16"/>
      <c r="SIA72" s="16"/>
      <c r="SIB72" s="16"/>
      <c r="SIC72" s="16"/>
      <c r="SID72" s="16"/>
      <c r="SIE72" s="16"/>
      <c r="SIF72" s="16"/>
      <c r="SIG72" s="16"/>
      <c r="SIH72" s="16"/>
      <c r="SII72" s="16"/>
      <c r="SIJ72" s="16"/>
      <c r="SIK72" s="16"/>
      <c r="SIL72" s="16"/>
      <c r="SIM72" s="16"/>
      <c r="SIN72" s="16"/>
      <c r="SIO72" s="16"/>
      <c r="SIP72" s="16"/>
      <c r="SIQ72" s="16"/>
      <c r="SIR72" s="16"/>
      <c r="SIS72" s="16"/>
      <c r="SIT72" s="16"/>
      <c r="SIU72" s="16"/>
      <c r="SIV72" s="16"/>
      <c r="SIW72" s="16"/>
      <c r="SIX72" s="16"/>
      <c r="SIY72" s="16"/>
      <c r="SIZ72" s="16"/>
      <c r="SJA72" s="16"/>
      <c r="SJB72" s="16"/>
      <c r="SJC72" s="16"/>
      <c r="SJD72" s="16"/>
      <c r="SJE72" s="16"/>
      <c r="SJF72" s="16"/>
      <c r="SJG72" s="16"/>
      <c r="SJH72" s="16"/>
      <c r="SJI72" s="16"/>
      <c r="SJJ72" s="16"/>
      <c r="SJK72" s="16"/>
      <c r="SJL72" s="16"/>
      <c r="SJM72" s="16"/>
      <c r="SJN72" s="16"/>
      <c r="SJO72" s="16"/>
      <c r="SJP72" s="16"/>
      <c r="SJQ72" s="16"/>
      <c r="SJR72" s="16"/>
      <c r="SJS72" s="16"/>
      <c r="SJT72" s="16"/>
      <c r="SJU72" s="16"/>
      <c r="SJV72" s="16"/>
      <c r="SJW72" s="16"/>
      <c r="SJX72" s="16"/>
      <c r="SJY72" s="16"/>
      <c r="SJZ72" s="16"/>
      <c r="SKA72" s="16"/>
      <c r="SKB72" s="16"/>
      <c r="SKC72" s="16"/>
      <c r="SKD72" s="16"/>
      <c r="SKE72" s="16"/>
      <c r="SKF72" s="16"/>
      <c r="SKG72" s="16"/>
      <c r="SKH72" s="16"/>
      <c r="SKI72" s="16"/>
      <c r="SKJ72" s="16"/>
      <c r="SKK72" s="16"/>
      <c r="SKL72" s="16"/>
      <c r="SKM72" s="16"/>
      <c r="SKN72" s="16"/>
      <c r="SKO72" s="16"/>
      <c r="SKP72" s="16"/>
      <c r="SKQ72" s="16"/>
      <c r="SKR72" s="16"/>
      <c r="SKS72" s="16"/>
      <c r="SKT72" s="16"/>
      <c r="SKU72" s="16"/>
      <c r="SKV72" s="16"/>
      <c r="SKW72" s="16"/>
      <c r="SKX72" s="16"/>
      <c r="SKY72" s="16"/>
      <c r="SKZ72" s="16"/>
      <c r="SLA72" s="16"/>
      <c r="SLB72" s="16"/>
      <c r="SLC72" s="16"/>
      <c r="SLD72" s="16"/>
      <c r="SLE72" s="16"/>
      <c r="SLF72" s="16"/>
      <c r="SLG72" s="16"/>
      <c r="SLH72" s="16"/>
      <c r="SLI72" s="16"/>
      <c r="SLJ72" s="16"/>
      <c r="SLK72" s="16"/>
      <c r="SLL72" s="16"/>
      <c r="SLM72" s="16"/>
      <c r="SLN72" s="16"/>
      <c r="SLO72" s="16"/>
      <c r="SLP72" s="16"/>
      <c r="SLQ72" s="16"/>
      <c r="SLR72" s="16"/>
      <c r="SLS72" s="16"/>
      <c r="SLT72" s="16"/>
      <c r="SLU72" s="16"/>
      <c r="SLV72" s="16"/>
      <c r="SLW72" s="16"/>
      <c r="SLX72" s="16"/>
      <c r="SLY72" s="16"/>
      <c r="SLZ72" s="16"/>
      <c r="SMA72" s="16"/>
      <c r="SMB72" s="16"/>
      <c r="SMC72" s="16"/>
      <c r="SMD72" s="16"/>
      <c r="SME72" s="16"/>
      <c r="SMF72" s="16"/>
      <c r="SMG72" s="16"/>
      <c r="SMH72" s="16"/>
      <c r="SMI72" s="16"/>
      <c r="SMJ72" s="16"/>
      <c r="SMK72" s="16"/>
      <c r="SML72" s="16"/>
      <c r="SMM72" s="16"/>
      <c r="SMN72" s="16"/>
      <c r="SMO72" s="16"/>
      <c r="SMP72" s="16"/>
      <c r="SMQ72" s="16"/>
      <c r="SMR72" s="16"/>
      <c r="SMS72" s="16"/>
      <c r="SMT72" s="16"/>
      <c r="SMU72" s="16"/>
      <c r="SMV72" s="16"/>
      <c r="SMW72" s="16"/>
      <c r="SMX72" s="16"/>
      <c r="SMY72" s="16"/>
      <c r="SMZ72" s="16"/>
      <c r="SNA72" s="16"/>
      <c r="SNB72" s="16"/>
      <c r="SNC72" s="16"/>
      <c r="SND72" s="16"/>
      <c r="SNE72" s="16"/>
      <c r="SNF72" s="16"/>
      <c r="SNG72" s="16"/>
      <c r="SNH72" s="16"/>
      <c r="SNI72" s="16"/>
      <c r="SNJ72" s="16"/>
      <c r="SNK72" s="16"/>
      <c r="SNL72" s="16"/>
      <c r="SNM72" s="16"/>
      <c r="SNN72" s="16"/>
      <c r="SNO72" s="16"/>
      <c r="SNP72" s="16"/>
      <c r="SNQ72" s="16"/>
      <c r="SNR72" s="16"/>
      <c r="SNS72" s="16"/>
      <c r="SNT72" s="16"/>
      <c r="SNU72" s="16"/>
      <c r="SNV72" s="16"/>
      <c r="SNW72" s="16"/>
      <c r="SNX72" s="16"/>
      <c r="SNY72" s="16"/>
      <c r="SNZ72" s="16"/>
      <c r="SOA72" s="16"/>
      <c r="SOB72" s="16"/>
      <c r="SOC72" s="16"/>
      <c r="SOD72" s="16"/>
      <c r="SOE72" s="16"/>
      <c r="SOF72" s="16"/>
      <c r="SOG72" s="16"/>
      <c r="SOH72" s="16"/>
      <c r="SOI72" s="16"/>
      <c r="SOJ72" s="16"/>
      <c r="SOK72" s="16"/>
      <c r="SOL72" s="16"/>
      <c r="SOM72" s="16"/>
      <c r="SON72" s="16"/>
      <c r="SOO72" s="16"/>
      <c r="SOP72" s="16"/>
      <c r="SOQ72" s="16"/>
      <c r="SOR72" s="16"/>
      <c r="SOS72" s="16"/>
      <c r="SOT72" s="16"/>
      <c r="SOU72" s="16"/>
      <c r="SOV72" s="16"/>
      <c r="SOW72" s="16"/>
      <c r="SOX72" s="16"/>
      <c r="SOY72" s="16"/>
      <c r="SOZ72" s="16"/>
      <c r="SPA72" s="16"/>
      <c r="SPB72" s="16"/>
      <c r="SPC72" s="16"/>
      <c r="SPD72" s="16"/>
      <c r="SPE72" s="16"/>
      <c r="SPF72" s="16"/>
      <c r="SPG72" s="16"/>
      <c r="SPH72" s="16"/>
      <c r="SPI72" s="16"/>
      <c r="SPJ72" s="16"/>
      <c r="SPK72" s="16"/>
      <c r="SPL72" s="16"/>
      <c r="SPM72" s="16"/>
      <c r="SPN72" s="16"/>
      <c r="SPO72" s="16"/>
      <c r="SPP72" s="16"/>
      <c r="SPQ72" s="16"/>
      <c r="SPR72" s="16"/>
      <c r="SPS72" s="16"/>
      <c r="SPT72" s="16"/>
      <c r="SPU72" s="16"/>
      <c r="SPV72" s="16"/>
      <c r="SPW72" s="16"/>
      <c r="SPX72" s="16"/>
      <c r="SPY72" s="16"/>
      <c r="SPZ72" s="16"/>
      <c r="SQA72" s="16"/>
      <c r="SQB72" s="16"/>
      <c r="SQC72" s="16"/>
      <c r="SQD72" s="16"/>
      <c r="SQE72" s="16"/>
      <c r="SQF72" s="16"/>
      <c r="SQG72" s="16"/>
      <c r="SQH72" s="16"/>
      <c r="SQI72" s="16"/>
      <c r="SQJ72" s="16"/>
      <c r="SQK72" s="16"/>
      <c r="SQL72" s="16"/>
      <c r="SQM72" s="16"/>
      <c r="SQN72" s="16"/>
      <c r="SQO72" s="16"/>
      <c r="SQP72" s="16"/>
      <c r="SQQ72" s="16"/>
      <c r="SQR72" s="16"/>
      <c r="SQS72" s="16"/>
      <c r="SQT72" s="16"/>
      <c r="SQU72" s="16"/>
      <c r="SQV72" s="16"/>
      <c r="SQW72" s="16"/>
      <c r="SQX72" s="16"/>
      <c r="SQY72" s="16"/>
      <c r="SQZ72" s="16"/>
      <c r="SRA72" s="16"/>
      <c r="SRB72" s="16"/>
      <c r="SRC72" s="16"/>
      <c r="SRD72" s="16"/>
      <c r="SRE72" s="16"/>
      <c r="SRF72" s="16"/>
      <c r="SRG72" s="16"/>
      <c r="SRH72" s="16"/>
      <c r="SRI72" s="16"/>
      <c r="SRJ72" s="16"/>
      <c r="SRK72" s="16"/>
      <c r="SRL72" s="16"/>
      <c r="SRM72" s="16"/>
      <c r="SRN72" s="16"/>
      <c r="SRO72" s="16"/>
      <c r="SRP72" s="16"/>
      <c r="SRQ72" s="16"/>
      <c r="SRR72" s="16"/>
      <c r="SRS72" s="16"/>
      <c r="SRT72" s="16"/>
      <c r="SRU72" s="16"/>
      <c r="SRV72" s="16"/>
      <c r="SRW72" s="16"/>
      <c r="SRX72" s="16"/>
      <c r="SRY72" s="16"/>
      <c r="SRZ72" s="16"/>
      <c r="SSA72" s="16"/>
      <c r="SSB72" s="16"/>
      <c r="SSC72" s="16"/>
      <c r="SSD72" s="16"/>
      <c r="SSE72" s="16"/>
      <c r="SSF72" s="16"/>
      <c r="SSG72" s="16"/>
      <c r="SSH72" s="16"/>
      <c r="SSI72" s="16"/>
      <c r="SSJ72" s="16"/>
      <c r="SSK72" s="16"/>
      <c r="SSL72" s="16"/>
      <c r="SSM72" s="16"/>
      <c r="SSN72" s="16"/>
      <c r="SSO72" s="16"/>
      <c r="SSP72" s="16"/>
      <c r="SSQ72" s="16"/>
      <c r="SSR72" s="16"/>
      <c r="SSS72" s="16"/>
      <c r="SST72" s="16"/>
      <c r="SSU72" s="16"/>
      <c r="SSV72" s="16"/>
      <c r="SSW72" s="16"/>
      <c r="SSX72" s="16"/>
      <c r="SSY72" s="16"/>
      <c r="SSZ72" s="16"/>
      <c r="STA72" s="16"/>
      <c r="STB72" s="16"/>
      <c r="STC72" s="16"/>
      <c r="STD72" s="16"/>
      <c r="STE72" s="16"/>
      <c r="STF72" s="16"/>
      <c r="STG72" s="16"/>
      <c r="STH72" s="16"/>
      <c r="STI72" s="16"/>
      <c r="STJ72" s="16"/>
      <c r="STK72" s="16"/>
      <c r="STL72" s="16"/>
      <c r="STM72" s="16"/>
      <c r="STN72" s="16"/>
      <c r="STO72" s="16"/>
      <c r="STP72" s="16"/>
      <c r="STQ72" s="16"/>
      <c r="STR72" s="16"/>
      <c r="STS72" s="16"/>
      <c r="STT72" s="16"/>
      <c r="STU72" s="16"/>
      <c r="STV72" s="16"/>
      <c r="STW72" s="16"/>
      <c r="STX72" s="16"/>
      <c r="STY72" s="16"/>
      <c r="STZ72" s="16"/>
      <c r="SUA72" s="16"/>
      <c r="SUB72" s="16"/>
      <c r="SUC72" s="16"/>
      <c r="SUD72" s="16"/>
      <c r="SUE72" s="16"/>
      <c r="SUF72" s="16"/>
      <c r="SUG72" s="16"/>
      <c r="SUH72" s="16"/>
      <c r="SUI72" s="16"/>
      <c r="SUJ72" s="16"/>
      <c r="SUK72" s="16"/>
      <c r="SUL72" s="16"/>
      <c r="SUM72" s="16"/>
      <c r="SUN72" s="16"/>
      <c r="SUO72" s="16"/>
      <c r="SUP72" s="16"/>
      <c r="SUQ72" s="16"/>
      <c r="SUR72" s="16"/>
      <c r="SUS72" s="16"/>
      <c r="SUT72" s="16"/>
      <c r="SUU72" s="16"/>
      <c r="SUV72" s="16"/>
      <c r="SUW72" s="16"/>
      <c r="SUX72" s="16"/>
      <c r="SUY72" s="16"/>
      <c r="SUZ72" s="16"/>
      <c r="SVA72" s="16"/>
      <c r="SVB72" s="16"/>
      <c r="SVC72" s="16"/>
      <c r="SVD72" s="16"/>
      <c r="SVE72" s="16"/>
      <c r="SVF72" s="16"/>
      <c r="SVG72" s="16"/>
      <c r="SVH72" s="16"/>
      <c r="SVI72" s="16"/>
      <c r="SVJ72" s="16"/>
      <c r="SVK72" s="16"/>
      <c r="SVL72" s="16"/>
      <c r="SVM72" s="16"/>
      <c r="SVN72" s="16"/>
      <c r="SVO72" s="16"/>
      <c r="SVP72" s="16"/>
      <c r="SVQ72" s="16"/>
      <c r="SVR72" s="16"/>
      <c r="SVS72" s="16"/>
      <c r="SVT72" s="16"/>
      <c r="SVU72" s="16"/>
      <c r="SVV72" s="16"/>
      <c r="SVW72" s="16"/>
      <c r="SVX72" s="16"/>
      <c r="SVY72" s="16"/>
      <c r="SVZ72" s="16"/>
      <c r="SWA72" s="16"/>
      <c r="SWB72" s="16"/>
      <c r="SWC72" s="16"/>
      <c r="SWD72" s="16"/>
      <c r="SWE72" s="16"/>
      <c r="SWF72" s="16"/>
      <c r="SWG72" s="16"/>
      <c r="SWH72" s="16"/>
      <c r="SWI72" s="16"/>
      <c r="SWJ72" s="16"/>
      <c r="SWK72" s="16"/>
      <c r="SWL72" s="16"/>
      <c r="SWM72" s="16"/>
      <c r="SWN72" s="16"/>
      <c r="SWO72" s="16"/>
      <c r="SWP72" s="16"/>
      <c r="SWQ72" s="16"/>
      <c r="SWR72" s="16"/>
      <c r="SWS72" s="16"/>
      <c r="SWT72" s="16"/>
      <c r="SWU72" s="16"/>
      <c r="SWV72" s="16"/>
      <c r="SWW72" s="16"/>
      <c r="SWX72" s="16"/>
      <c r="SWY72" s="16"/>
      <c r="SWZ72" s="16"/>
      <c r="SXA72" s="16"/>
      <c r="SXB72" s="16"/>
      <c r="SXC72" s="16"/>
      <c r="SXD72" s="16"/>
      <c r="SXE72" s="16"/>
      <c r="SXF72" s="16"/>
      <c r="SXG72" s="16"/>
      <c r="SXH72" s="16"/>
      <c r="SXI72" s="16"/>
      <c r="SXJ72" s="16"/>
      <c r="SXK72" s="16"/>
      <c r="SXL72" s="16"/>
      <c r="SXM72" s="16"/>
      <c r="SXN72" s="16"/>
      <c r="SXO72" s="16"/>
      <c r="SXP72" s="16"/>
      <c r="SXQ72" s="16"/>
      <c r="SXR72" s="16"/>
      <c r="SXS72" s="16"/>
      <c r="SXT72" s="16"/>
      <c r="SXU72" s="16"/>
      <c r="SXV72" s="16"/>
      <c r="SXW72" s="16"/>
      <c r="SXX72" s="16"/>
      <c r="SXY72" s="16"/>
      <c r="SXZ72" s="16"/>
      <c r="SYA72" s="16"/>
      <c r="SYB72" s="16"/>
      <c r="SYC72" s="16"/>
      <c r="SYD72" s="16"/>
      <c r="SYE72" s="16"/>
      <c r="SYF72" s="16"/>
      <c r="SYG72" s="16"/>
      <c r="SYH72" s="16"/>
      <c r="SYI72" s="16"/>
      <c r="SYJ72" s="16"/>
      <c r="SYK72" s="16"/>
      <c r="SYL72" s="16"/>
      <c r="SYM72" s="16"/>
      <c r="SYN72" s="16"/>
      <c r="SYO72" s="16"/>
      <c r="SYP72" s="16"/>
      <c r="SYQ72" s="16"/>
      <c r="SYR72" s="16"/>
      <c r="SYS72" s="16"/>
      <c r="SYT72" s="16"/>
      <c r="SYU72" s="16"/>
      <c r="SYV72" s="16"/>
      <c r="SYW72" s="16"/>
      <c r="SYX72" s="16"/>
      <c r="SYY72" s="16"/>
      <c r="SYZ72" s="16"/>
      <c r="SZA72" s="16"/>
      <c r="SZB72" s="16"/>
      <c r="SZC72" s="16"/>
      <c r="SZD72" s="16"/>
      <c r="SZE72" s="16"/>
      <c r="SZF72" s="16"/>
      <c r="SZG72" s="16"/>
      <c r="SZH72" s="16"/>
      <c r="SZI72" s="16"/>
      <c r="SZJ72" s="16"/>
      <c r="SZK72" s="16"/>
      <c r="SZL72" s="16"/>
      <c r="SZM72" s="16"/>
      <c r="SZN72" s="16"/>
      <c r="SZO72" s="16"/>
      <c r="SZP72" s="16"/>
      <c r="SZQ72" s="16"/>
      <c r="SZR72" s="16"/>
      <c r="SZS72" s="16"/>
      <c r="SZT72" s="16"/>
      <c r="SZU72" s="16"/>
      <c r="SZV72" s="16"/>
      <c r="SZW72" s="16"/>
      <c r="SZX72" s="16"/>
      <c r="SZY72" s="16"/>
      <c r="SZZ72" s="16"/>
      <c r="TAA72" s="16"/>
      <c r="TAB72" s="16"/>
      <c r="TAC72" s="16"/>
      <c r="TAD72" s="16"/>
      <c r="TAE72" s="16"/>
      <c r="TAF72" s="16"/>
      <c r="TAG72" s="16"/>
      <c r="TAH72" s="16"/>
      <c r="TAI72" s="16"/>
      <c r="TAJ72" s="16"/>
      <c r="TAK72" s="16"/>
      <c r="TAL72" s="16"/>
      <c r="TAM72" s="16"/>
      <c r="TAN72" s="16"/>
      <c r="TAO72" s="16"/>
      <c r="TAP72" s="16"/>
      <c r="TAQ72" s="16"/>
      <c r="TAR72" s="16"/>
      <c r="TAS72" s="16"/>
      <c r="TAT72" s="16"/>
      <c r="TAU72" s="16"/>
      <c r="TAV72" s="16"/>
      <c r="TAW72" s="16"/>
      <c r="TAX72" s="16"/>
      <c r="TAY72" s="16"/>
      <c r="TAZ72" s="16"/>
      <c r="TBA72" s="16"/>
      <c r="TBB72" s="16"/>
      <c r="TBC72" s="16"/>
      <c r="TBD72" s="16"/>
      <c r="TBE72" s="16"/>
      <c r="TBF72" s="16"/>
      <c r="TBG72" s="16"/>
      <c r="TBH72" s="16"/>
      <c r="TBI72" s="16"/>
      <c r="TBJ72" s="16"/>
      <c r="TBK72" s="16"/>
      <c r="TBL72" s="16"/>
      <c r="TBM72" s="16"/>
      <c r="TBN72" s="16"/>
      <c r="TBO72" s="16"/>
      <c r="TBP72" s="16"/>
      <c r="TBQ72" s="16"/>
      <c r="TBR72" s="16"/>
      <c r="TBS72" s="16"/>
      <c r="TBT72" s="16"/>
      <c r="TBU72" s="16"/>
      <c r="TBV72" s="16"/>
      <c r="TBW72" s="16"/>
      <c r="TBX72" s="16"/>
      <c r="TBY72" s="16"/>
      <c r="TBZ72" s="16"/>
      <c r="TCA72" s="16"/>
      <c r="TCB72" s="16"/>
      <c r="TCC72" s="16"/>
      <c r="TCD72" s="16"/>
      <c r="TCE72" s="16"/>
      <c r="TCF72" s="16"/>
      <c r="TCG72" s="16"/>
      <c r="TCH72" s="16"/>
      <c r="TCI72" s="16"/>
      <c r="TCJ72" s="16"/>
      <c r="TCK72" s="16"/>
      <c r="TCL72" s="16"/>
      <c r="TCM72" s="16"/>
      <c r="TCN72" s="16"/>
      <c r="TCO72" s="16"/>
      <c r="TCP72" s="16"/>
      <c r="TCQ72" s="16"/>
      <c r="TCR72" s="16"/>
      <c r="TCS72" s="16"/>
      <c r="TCT72" s="16"/>
      <c r="TCU72" s="16"/>
      <c r="TCV72" s="16"/>
      <c r="TCW72" s="16"/>
      <c r="TCX72" s="16"/>
      <c r="TCY72" s="16"/>
      <c r="TCZ72" s="16"/>
      <c r="TDA72" s="16"/>
      <c r="TDB72" s="16"/>
      <c r="TDC72" s="16"/>
      <c r="TDD72" s="16"/>
      <c r="TDE72" s="16"/>
      <c r="TDF72" s="16"/>
      <c r="TDG72" s="16"/>
      <c r="TDH72" s="16"/>
      <c r="TDI72" s="16"/>
      <c r="TDJ72" s="16"/>
      <c r="TDK72" s="16"/>
      <c r="TDL72" s="16"/>
      <c r="TDM72" s="16"/>
      <c r="TDN72" s="16"/>
      <c r="TDO72" s="16"/>
      <c r="TDP72" s="16"/>
      <c r="TDQ72" s="16"/>
      <c r="TDR72" s="16"/>
      <c r="TDS72" s="16"/>
      <c r="TDT72" s="16"/>
      <c r="TDU72" s="16"/>
      <c r="TDV72" s="16"/>
      <c r="TDW72" s="16"/>
      <c r="TDX72" s="16"/>
      <c r="TDY72" s="16"/>
      <c r="TDZ72" s="16"/>
      <c r="TEA72" s="16"/>
      <c r="TEB72" s="16"/>
      <c r="TEC72" s="16"/>
      <c r="TED72" s="16"/>
      <c r="TEE72" s="16"/>
      <c r="TEF72" s="16"/>
      <c r="TEG72" s="16"/>
      <c r="TEH72" s="16"/>
      <c r="TEI72" s="16"/>
      <c r="TEJ72" s="16"/>
      <c r="TEK72" s="16"/>
      <c r="TEL72" s="16"/>
      <c r="TEM72" s="16"/>
      <c r="TEN72" s="16"/>
      <c r="TEO72" s="16"/>
      <c r="TEP72" s="16"/>
      <c r="TEQ72" s="16"/>
      <c r="TER72" s="16"/>
      <c r="TES72" s="16"/>
      <c r="TET72" s="16"/>
      <c r="TEU72" s="16"/>
      <c r="TEV72" s="16"/>
      <c r="TEW72" s="16"/>
      <c r="TEX72" s="16"/>
      <c r="TEY72" s="16"/>
      <c r="TEZ72" s="16"/>
      <c r="TFA72" s="16"/>
      <c r="TFB72" s="16"/>
      <c r="TFC72" s="16"/>
      <c r="TFD72" s="16"/>
      <c r="TFE72" s="16"/>
      <c r="TFF72" s="16"/>
      <c r="TFG72" s="16"/>
      <c r="TFH72" s="16"/>
      <c r="TFI72" s="16"/>
      <c r="TFJ72" s="16"/>
      <c r="TFK72" s="16"/>
      <c r="TFL72" s="16"/>
      <c r="TFM72" s="16"/>
      <c r="TFN72" s="16"/>
      <c r="TFO72" s="16"/>
      <c r="TFP72" s="16"/>
      <c r="TFQ72" s="16"/>
      <c r="TFR72" s="16"/>
      <c r="TFS72" s="16"/>
      <c r="TFT72" s="16"/>
      <c r="TFU72" s="16"/>
      <c r="TFV72" s="16"/>
      <c r="TFW72" s="16"/>
      <c r="TFX72" s="16"/>
      <c r="TFY72" s="16"/>
      <c r="TFZ72" s="16"/>
      <c r="TGA72" s="16"/>
      <c r="TGB72" s="16"/>
      <c r="TGC72" s="16"/>
      <c r="TGD72" s="16"/>
      <c r="TGE72" s="16"/>
      <c r="TGF72" s="16"/>
      <c r="TGG72" s="16"/>
      <c r="TGH72" s="16"/>
      <c r="TGI72" s="16"/>
      <c r="TGJ72" s="16"/>
      <c r="TGK72" s="16"/>
      <c r="TGL72" s="16"/>
      <c r="TGM72" s="16"/>
      <c r="TGN72" s="16"/>
      <c r="TGO72" s="16"/>
      <c r="TGP72" s="16"/>
      <c r="TGQ72" s="16"/>
      <c r="TGR72" s="16"/>
      <c r="TGS72" s="16"/>
      <c r="TGT72" s="16"/>
      <c r="TGU72" s="16"/>
      <c r="TGV72" s="16"/>
      <c r="TGW72" s="16"/>
      <c r="TGX72" s="16"/>
      <c r="TGY72" s="16"/>
      <c r="TGZ72" s="16"/>
      <c r="THA72" s="16"/>
      <c r="THB72" s="16"/>
      <c r="THC72" s="16"/>
      <c r="THD72" s="16"/>
      <c r="THE72" s="16"/>
      <c r="THF72" s="16"/>
      <c r="THG72" s="16"/>
      <c r="THH72" s="16"/>
      <c r="THI72" s="16"/>
      <c r="THJ72" s="16"/>
      <c r="THK72" s="16"/>
      <c r="THL72" s="16"/>
      <c r="THM72" s="16"/>
      <c r="THN72" s="16"/>
      <c r="THO72" s="16"/>
      <c r="THP72" s="16"/>
      <c r="THQ72" s="16"/>
      <c r="THR72" s="16"/>
      <c r="THS72" s="16"/>
      <c r="THT72" s="16"/>
      <c r="THU72" s="16"/>
      <c r="THV72" s="16"/>
      <c r="THW72" s="16"/>
      <c r="THX72" s="16"/>
      <c r="THY72" s="16"/>
      <c r="THZ72" s="16"/>
      <c r="TIA72" s="16"/>
      <c r="TIB72" s="16"/>
      <c r="TIC72" s="16"/>
      <c r="TID72" s="16"/>
      <c r="TIE72" s="16"/>
      <c r="TIF72" s="16"/>
      <c r="TIG72" s="16"/>
      <c r="TIH72" s="16"/>
      <c r="TII72" s="16"/>
      <c r="TIJ72" s="16"/>
      <c r="TIK72" s="16"/>
      <c r="TIL72" s="16"/>
      <c r="TIM72" s="16"/>
      <c r="TIN72" s="16"/>
      <c r="TIO72" s="16"/>
      <c r="TIP72" s="16"/>
      <c r="TIQ72" s="16"/>
      <c r="TIR72" s="16"/>
      <c r="TIS72" s="16"/>
      <c r="TIT72" s="16"/>
      <c r="TIU72" s="16"/>
      <c r="TIV72" s="16"/>
      <c r="TIW72" s="16"/>
      <c r="TIX72" s="16"/>
      <c r="TIY72" s="16"/>
      <c r="TIZ72" s="16"/>
      <c r="TJA72" s="16"/>
      <c r="TJB72" s="16"/>
      <c r="TJC72" s="16"/>
      <c r="TJD72" s="16"/>
      <c r="TJE72" s="16"/>
      <c r="TJF72" s="16"/>
      <c r="TJG72" s="16"/>
      <c r="TJH72" s="16"/>
      <c r="TJI72" s="16"/>
      <c r="TJJ72" s="16"/>
      <c r="TJK72" s="16"/>
      <c r="TJL72" s="16"/>
      <c r="TJM72" s="16"/>
      <c r="TJN72" s="16"/>
      <c r="TJO72" s="16"/>
      <c r="TJP72" s="16"/>
      <c r="TJQ72" s="16"/>
      <c r="TJR72" s="16"/>
      <c r="TJS72" s="16"/>
      <c r="TJT72" s="16"/>
      <c r="TJU72" s="16"/>
      <c r="TJV72" s="16"/>
      <c r="TJW72" s="16"/>
      <c r="TJX72" s="16"/>
      <c r="TJY72" s="16"/>
      <c r="TJZ72" s="16"/>
      <c r="TKA72" s="16"/>
      <c r="TKB72" s="16"/>
      <c r="TKC72" s="16"/>
      <c r="TKD72" s="16"/>
      <c r="TKE72" s="16"/>
      <c r="TKF72" s="16"/>
      <c r="TKG72" s="16"/>
      <c r="TKH72" s="16"/>
      <c r="TKI72" s="16"/>
      <c r="TKJ72" s="16"/>
      <c r="TKK72" s="16"/>
      <c r="TKL72" s="16"/>
      <c r="TKM72" s="16"/>
      <c r="TKN72" s="16"/>
      <c r="TKO72" s="16"/>
      <c r="TKP72" s="16"/>
      <c r="TKQ72" s="16"/>
      <c r="TKR72" s="16"/>
      <c r="TKS72" s="16"/>
      <c r="TKT72" s="16"/>
      <c r="TKU72" s="16"/>
      <c r="TKV72" s="16"/>
      <c r="TKW72" s="16"/>
      <c r="TKX72" s="16"/>
      <c r="TKY72" s="16"/>
      <c r="TKZ72" s="16"/>
      <c r="TLA72" s="16"/>
      <c r="TLB72" s="16"/>
      <c r="TLC72" s="16"/>
      <c r="TLD72" s="16"/>
      <c r="TLE72" s="16"/>
      <c r="TLF72" s="16"/>
      <c r="TLG72" s="16"/>
      <c r="TLH72" s="16"/>
      <c r="TLI72" s="16"/>
      <c r="TLJ72" s="16"/>
      <c r="TLK72" s="16"/>
      <c r="TLL72" s="16"/>
      <c r="TLM72" s="16"/>
      <c r="TLN72" s="16"/>
      <c r="TLO72" s="16"/>
      <c r="TLP72" s="16"/>
      <c r="TLQ72" s="16"/>
      <c r="TLR72" s="16"/>
      <c r="TLS72" s="16"/>
      <c r="TLT72" s="16"/>
      <c r="TLU72" s="16"/>
      <c r="TLV72" s="16"/>
      <c r="TLW72" s="16"/>
      <c r="TLX72" s="16"/>
      <c r="TLY72" s="16"/>
      <c r="TLZ72" s="16"/>
      <c r="TMA72" s="16"/>
      <c r="TMB72" s="16"/>
      <c r="TMC72" s="16"/>
      <c r="TMD72" s="16"/>
      <c r="TME72" s="16"/>
      <c r="TMF72" s="16"/>
      <c r="TMG72" s="16"/>
      <c r="TMH72" s="16"/>
      <c r="TMI72" s="16"/>
      <c r="TMJ72" s="16"/>
      <c r="TMK72" s="16"/>
      <c r="TML72" s="16"/>
      <c r="TMM72" s="16"/>
      <c r="TMN72" s="16"/>
      <c r="TMO72" s="16"/>
      <c r="TMP72" s="16"/>
      <c r="TMQ72" s="16"/>
      <c r="TMR72" s="16"/>
      <c r="TMS72" s="16"/>
      <c r="TMT72" s="16"/>
      <c r="TMU72" s="16"/>
      <c r="TMV72" s="16"/>
      <c r="TMW72" s="16"/>
      <c r="TMX72" s="16"/>
      <c r="TMY72" s="16"/>
      <c r="TMZ72" s="16"/>
      <c r="TNA72" s="16"/>
      <c r="TNB72" s="16"/>
      <c r="TNC72" s="16"/>
      <c r="TND72" s="16"/>
      <c r="TNE72" s="16"/>
      <c r="TNF72" s="16"/>
      <c r="TNG72" s="16"/>
      <c r="TNH72" s="16"/>
      <c r="TNI72" s="16"/>
      <c r="TNJ72" s="16"/>
      <c r="TNK72" s="16"/>
      <c r="TNL72" s="16"/>
      <c r="TNM72" s="16"/>
      <c r="TNN72" s="16"/>
      <c r="TNO72" s="16"/>
      <c r="TNP72" s="16"/>
      <c r="TNQ72" s="16"/>
      <c r="TNR72" s="16"/>
      <c r="TNS72" s="16"/>
      <c r="TNT72" s="16"/>
      <c r="TNU72" s="16"/>
      <c r="TNV72" s="16"/>
      <c r="TNW72" s="16"/>
      <c r="TNX72" s="16"/>
      <c r="TNY72" s="16"/>
      <c r="TNZ72" s="16"/>
      <c r="TOA72" s="16"/>
      <c r="TOB72" s="16"/>
      <c r="TOC72" s="16"/>
      <c r="TOD72" s="16"/>
      <c r="TOE72" s="16"/>
      <c r="TOF72" s="16"/>
      <c r="TOG72" s="16"/>
      <c r="TOH72" s="16"/>
      <c r="TOI72" s="16"/>
      <c r="TOJ72" s="16"/>
      <c r="TOK72" s="16"/>
      <c r="TOL72" s="16"/>
      <c r="TOM72" s="16"/>
      <c r="TON72" s="16"/>
      <c r="TOO72" s="16"/>
      <c r="TOP72" s="16"/>
      <c r="TOQ72" s="16"/>
      <c r="TOR72" s="16"/>
      <c r="TOS72" s="16"/>
      <c r="TOT72" s="16"/>
      <c r="TOU72" s="16"/>
      <c r="TOV72" s="16"/>
      <c r="TOW72" s="16"/>
      <c r="TOX72" s="16"/>
      <c r="TOY72" s="16"/>
      <c r="TOZ72" s="16"/>
      <c r="TPA72" s="16"/>
      <c r="TPB72" s="16"/>
      <c r="TPC72" s="16"/>
      <c r="TPD72" s="16"/>
      <c r="TPE72" s="16"/>
      <c r="TPF72" s="16"/>
      <c r="TPG72" s="16"/>
      <c r="TPH72" s="16"/>
      <c r="TPI72" s="16"/>
      <c r="TPJ72" s="16"/>
      <c r="TPK72" s="16"/>
      <c r="TPL72" s="16"/>
      <c r="TPM72" s="16"/>
      <c r="TPN72" s="16"/>
      <c r="TPO72" s="16"/>
      <c r="TPP72" s="16"/>
      <c r="TPQ72" s="16"/>
      <c r="TPR72" s="16"/>
      <c r="TPS72" s="16"/>
      <c r="TPT72" s="16"/>
      <c r="TPU72" s="16"/>
      <c r="TPV72" s="16"/>
      <c r="TPW72" s="16"/>
      <c r="TPX72" s="16"/>
      <c r="TPY72" s="16"/>
      <c r="TPZ72" s="16"/>
      <c r="TQA72" s="16"/>
      <c r="TQB72" s="16"/>
      <c r="TQC72" s="16"/>
      <c r="TQD72" s="16"/>
      <c r="TQE72" s="16"/>
      <c r="TQF72" s="16"/>
      <c r="TQG72" s="16"/>
      <c r="TQH72" s="16"/>
      <c r="TQI72" s="16"/>
      <c r="TQJ72" s="16"/>
      <c r="TQK72" s="16"/>
      <c r="TQL72" s="16"/>
      <c r="TQM72" s="16"/>
      <c r="TQN72" s="16"/>
      <c r="TQO72" s="16"/>
      <c r="TQP72" s="16"/>
      <c r="TQQ72" s="16"/>
      <c r="TQR72" s="16"/>
      <c r="TQS72" s="16"/>
      <c r="TQT72" s="16"/>
      <c r="TQU72" s="16"/>
      <c r="TQV72" s="16"/>
      <c r="TQW72" s="16"/>
      <c r="TQX72" s="16"/>
      <c r="TQY72" s="16"/>
      <c r="TQZ72" s="16"/>
      <c r="TRA72" s="16"/>
      <c r="TRB72" s="16"/>
      <c r="TRC72" s="16"/>
      <c r="TRD72" s="16"/>
      <c r="TRE72" s="16"/>
      <c r="TRF72" s="16"/>
      <c r="TRG72" s="16"/>
      <c r="TRH72" s="16"/>
      <c r="TRI72" s="16"/>
      <c r="TRJ72" s="16"/>
      <c r="TRK72" s="16"/>
      <c r="TRL72" s="16"/>
      <c r="TRM72" s="16"/>
      <c r="TRN72" s="16"/>
      <c r="TRO72" s="16"/>
      <c r="TRP72" s="16"/>
      <c r="TRQ72" s="16"/>
      <c r="TRR72" s="16"/>
      <c r="TRS72" s="16"/>
      <c r="TRT72" s="16"/>
      <c r="TRU72" s="16"/>
      <c r="TRV72" s="16"/>
      <c r="TRW72" s="16"/>
      <c r="TRX72" s="16"/>
      <c r="TRY72" s="16"/>
      <c r="TRZ72" s="16"/>
      <c r="TSA72" s="16"/>
      <c r="TSB72" s="16"/>
      <c r="TSC72" s="16"/>
      <c r="TSD72" s="16"/>
      <c r="TSE72" s="16"/>
      <c r="TSF72" s="16"/>
      <c r="TSG72" s="16"/>
      <c r="TSH72" s="16"/>
      <c r="TSI72" s="16"/>
      <c r="TSJ72" s="16"/>
      <c r="TSK72" s="16"/>
      <c r="TSL72" s="16"/>
      <c r="TSM72" s="16"/>
      <c r="TSN72" s="16"/>
      <c r="TSO72" s="16"/>
      <c r="TSP72" s="16"/>
      <c r="TSQ72" s="16"/>
      <c r="TSR72" s="16"/>
      <c r="TSS72" s="16"/>
      <c r="TST72" s="16"/>
      <c r="TSU72" s="16"/>
      <c r="TSV72" s="16"/>
      <c r="TSW72" s="16"/>
      <c r="TSX72" s="16"/>
      <c r="TSY72" s="16"/>
      <c r="TSZ72" s="16"/>
      <c r="TTA72" s="16"/>
      <c r="TTB72" s="16"/>
      <c r="TTC72" s="16"/>
      <c r="TTD72" s="16"/>
      <c r="TTE72" s="16"/>
      <c r="TTF72" s="16"/>
      <c r="TTG72" s="16"/>
      <c r="TTH72" s="16"/>
      <c r="TTI72" s="16"/>
      <c r="TTJ72" s="16"/>
      <c r="TTK72" s="16"/>
      <c r="TTL72" s="16"/>
      <c r="TTM72" s="16"/>
      <c r="TTN72" s="16"/>
      <c r="TTO72" s="16"/>
      <c r="TTP72" s="16"/>
      <c r="TTQ72" s="16"/>
      <c r="TTR72" s="16"/>
      <c r="TTS72" s="16"/>
      <c r="TTT72" s="16"/>
      <c r="TTU72" s="16"/>
      <c r="TTV72" s="16"/>
      <c r="TTW72" s="16"/>
      <c r="TTX72" s="16"/>
      <c r="TTY72" s="16"/>
      <c r="TTZ72" s="16"/>
      <c r="TUA72" s="16"/>
      <c r="TUB72" s="16"/>
      <c r="TUC72" s="16"/>
      <c r="TUD72" s="16"/>
      <c r="TUE72" s="16"/>
      <c r="TUF72" s="16"/>
      <c r="TUG72" s="16"/>
      <c r="TUH72" s="16"/>
      <c r="TUI72" s="16"/>
      <c r="TUJ72" s="16"/>
      <c r="TUK72" s="16"/>
      <c r="TUL72" s="16"/>
      <c r="TUM72" s="16"/>
      <c r="TUN72" s="16"/>
      <c r="TUO72" s="16"/>
      <c r="TUP72" s="16"/>
      <c r="TUQ72" s="16"/>
      <c r="TUR72" s="16"/>
      <c r="TUS72" s="16"/>
      <c r="TUT72" s="16"/>
      <c r="TUU72" s="16"/>
      <c r="TUV72" s="16"/>
      <c r="TUW72" s="16"/>
      <c r="TUX72" s="16"/>
      <c r="TUY72" s="16"/>
      <c r="TUZ72" s="16"/>
      <c r="TVA72" s="16"/>
      <c r="TVB72" s="16"/>
      <c r="TVC72" s="16"/>
      <c r="TVD72" s="16"/>
      <c r="TVE72" s="16"/>
      <c r="TVF72" s="16"/>
      <c r="TVG72" s="16"/>
      <c r="TVH72" s="16"/>
      <c r="TVI72" s="16"/>
      <c r="TVJ72" s="16"/>
      <c r="TVK72" s="16"/>
      <c r="TVL72" s="16"/>
      <c r="TVM72" s="16"/>
      <c r="TVN72" s="16"/>
      <c r="TVO72" s="16"/>
      <c r="TVP72" s="16"/>
      <c r="TVQ72" s="16"/>
      <c r="TVR72" s="16"/>
      <c r="TVS72" s="16"/>
      <c r="TVT72" s="16"/>
      <c r="TVU72" s="16"/>
      <c r="TVV72" s="16"/>
      <c r="TVW72" s="16"/>
      <c r="TVX72" s="16"/>
      <c r="TVY72" s="16"/>
      <c r="TVZ72" s="16"/>
      <c r="TWA72" s="16"/>
      <c r="TWB72" s="16"/>
      <c r="TWC72" s="16"/>
      <c r="TWD72" s="16"/>
      <c r="TWE72" s="16"/>
      <c r="TWF72" s="16"/>
      <c r="TWG72" s="16"/>
      <c r="TWH72" s="16"/>
      <c r="TWI72" s="16"/>
      <c r="TWJ72" s="16"/>
      <c r="TWK72" s="16"/>
      <c r="TWL72" s="16"/>
      <c r="TWM72" s="16"/>
      <c r="TWN72" s="16"/>
      <c r="TWO72" s="16"/>
      <c r="TWP72" s="16"/>
      <c r="TWQ72" s="16"/>
      <c r="TWR72" s="16"/>
      <c r="TWS72" s="16"/>
      <c r="TWT72" s="16"/>
      <c r="TWU72" s="16"/>
      <c r="TWV72" s="16"/>
      <c r="TWW72" s="16"/>
      <c r="TWX72" s="16"/>
      <c r="TWY72" s="16"/>
      <c r="TWZ72" s="16"/>
      <c r="TXA72" s="16"/>
      <c r="TXB72" s="16"/>
      <c r="TXC72" s="16"/>
      <c r="TXD72" s="16"/>
      <c r="TXE72" s="16"/>
      <c r="TXF72" s="16"/>
      <c r="TXG72" s="16"/>
      <c r="TXH72" s="16"/>
      <c r="TXI72" s="16"/>
      <c r="TXJ72" s="16"/>
      <c r="TXK72" s="16"/>
      <c r="TXL72" s="16"/>
      <c r="TXM72" s="16"/>
      <c r="TXN72" s="16"/>
      <c r="TXO72" s="16"/>
      <c r="TXP72" s="16"/>
      <c r="TXQ72" s="16"/>
      <c r="TXR72" s="16"/>
      <c r="TXS72" s="16"/>
      <c r="TXT72" s="16"/>
      <c r="TXU72" s="16"/>
      <c r="TXV72" s="16"/>
      <c r="TXW72" s="16"/>
      <c r="TXX72" s="16"/>
      <c r="TXY72" s="16"/>
      <c r="TXZ72" s="16"/>
      <c r="TYA72" s="16"/>
      <c r="TYB72" s="16"/>
      <c r="TYC72" s="16"/>
      <c r="TYD72" s="16"/>
      <c r="TYE72" s="16"/>
      <c r="TYF72" s="16"/>
      <c r="TYG72" s="16"/>
      <c r="TYH72" s="16"/>
      <c r="TYI72" s="16"/>
      <c r="TYJ72" s="16"/>
      <c r="TYK72" s="16"/>
      <c r="TYL72" s="16"/>
      <c r="TYM72" s="16"/>
      <c r="TYN72" s="16"/>
      <c r="TYO72" s="16"/>
      <c r="TYP72" s="16"/>
      <c r="TYQ72" s="16"/>
      <c r="TYR72" s="16"/>
      <c r="TYS72" s="16"/>
      <c r="TYT72" s="16"/>
      <c r="TYU72" s="16"/>
      <c r="TYV72" s="16"/>
      <c r="TYW72" s="16"/>
      <c r="TYX72" s="16"/>
      <c r="TYY72" s="16"/>
      <c r="TYZ72" s="16"/>
      <c r="TZA72" s="16"/>
      <c r="TZB72" s="16"/>
      <c r="TZC72" s="16"/>
      <c r="TZD72" s="16"/>
      <c r="TZE72" s="16"/>
      <c r="TZF72" s="16"/>
      <c r="TZG72" s="16"/>
      <c r="TZH72" s="16"/>
      <c r="TZI72" s="16"/>
      <c r="TZJ72" s="16"/>
      <c r="TZK72" s="16"/>
      <c r="TZL72" s="16"/>
      <c r="TZM72" s="16"/>
      <c r="TZN72" s="16"/>
      <c r="TZO72" s="16"/>
      <c r="TZP72" s="16"/>
      <c r="TZQ72" s="16"/>
      <c r="TZR72" s="16"/>
      <c r="TZS72" s="16"/>
      <c r="TZT72" s="16"/>
      <c r="TZU72" s="16"/>
      <c r="TZV72" s="16"/>
      <c r="TZW72" s="16"/>
      <c r="TZX72" s="16"/>
      <c r="TZY72" s="16"/>
      <c r="TZZ72" s="16"/>
      <c r="UAA72" s="16"/>
      <c r="UAB72" s="16"/>
      <c r="UAC72" s="16"/>
      <c r="UAD72" s="16"/>
      <c r="UAE72" s="16"/>
      <c r="UAF72" s="16"/>
      <c r="UAG72" s="16"/>
      <c r="UAH72" s="16"/>
      <c r="UAI72" s="16"/>
      <c r="UAJ72" s="16"/>
      <c r="UAK72" s="16"/>
      <c r="UAL72" s="16"/>
      <c r="UAM72" s="16"/>
      <c r="UAN72" s="16"/>
      <c r="UAO72" s="16"/>
      <c r="UAP72" s="16"/>
      <c r="UAQ72" s="16"/>
      <c r="UAR72" s="16"/>
      <c r="UAS72" s="16"/>
      <c r="UAT72" s="16"/>
      <c r="UAU72" s="16"/>
      <c r="UAV72" s="16"/>
      <c r="UAW72" s="16"/>
      <c r="UAX72" s="16"/>
      <c r="UAY72" s="16"/>
      <c r="UAZ72" s="16"/>
      <c r="UBA72" s="16"/>
      <c r="UBB72" s="16"/>
      <c r="UBC72" s="16"/>
      <c r="UBD72" s="16"/>
      <c r="UBE72" s="16"/>
      <c r="UBF72" s="16"/>
      <c r="UBG72" s="16"/>
      <c r="UBH72" s="16"/>
      <c r="UBI72" s="16"/>
      <c r="UBJ72" s="16"/>
      <c r="UBK72" s="16"/>
      <c r="UBL72" s="16"/>
      <c r="UBM72" s="16"/>
      <c r="UBN72" s="16"/>
      <c r="UBO72" s="16"/>
      <c r="UBP72" s="16"/>
      <c r="UBQ72" s="16"/>
      <c r="UBR72" s="16"/>
      <c r="UBS72" s="16"/>
      <c r="UBT72" s="16"/>
      <c r="UBU72" s="16"/>
      <c r="UBV72" s="16"/>
      <c r="UBW72" s="16"/>
      <c r="UBX72" s="16"/>
      <c r="UBY72" s="16"/>
      <c r="UBZ72" s="16"/>
      <c r="UCA72" s="16"/>
      <c r="UCB72" s="16"/>
      <c r="UCC72" s="16"/>
      <c r="UCD72" s="16"/>
      <c r="UCE72" s="16"/>
      <c r="UCF72" s="16"/>
      <c r="UCG72" s="16"/>
      <c r="UCH72" s="16"/>
      <c r="UCI72" s="16"/>
      <c r="UCJ72" s="16"/>
      <c r="UCK72" s="16"/>
      <c r="UCL72" s="16"/>
      <c r="UCM72" s="16"/>
      <c r="UCN72" s="16"/>
      <c r="UCO72" s="16"/>
      <c r="UCP72" s="16"/>
      <c r="UCQ72" s="16"/>
      <c r="UCR72" s="16"/>
      <c r="UCS72" s="16"/>
      <c r="UCT72" s="16"/>
      <c r="UCU72" s="16"/>
      <c r="UCV72" s="16"/>
      <c r="UCW72" s="16"/>
      <c r="UCX72" s="16"/>
      <c r="UCY72" s="16"/>
      <c r="UCZ72" s="16"/>
      <c r="UDA72" s="16"/>
      <c r="UDB72" s="16"/>
      <c r="UDC72" s="16"/>
      <c r="UDD72" s="16"/>
      <c r="UDE72" s="16"/>
      <c r="UDF72" s="16"/>
      <c r="UDG72" s="16"/>
      <c r="UDH72" s="16"/>
      <c r="UDI72" s="16"/>
      <c r="UDJ72" s="16"/>
      <c r="UDK72" s="16"/>
      <c r="UDL72" s="16"/>
      <c r="UDM72" s="16"/>
      <c r="UDN72" s="16"/>
      <c r="UDO72" s="16"/>
      <c r="UDP72" s="16"/>
      <c r="UDQ72" s="16"/>
      <c r="UDR72" s="16"/>
      <c r="UDS72" s="16"/>
      <c r="UDT72" s="16"/>
      <c r="UDU72" s="16"/>
      <c r="UDV72" s="16"/>
      <c r="UDW72" s="16"/>
      <c r="UDX72" s="16"/>
      <c r="UDY72" s="16"/>
      <c r="UDZ72" s="16"/>
      <c r="UEA72" s="16"/>
      <c r="UEB72" s="16"/>
      <c r="UEC72" s="16"/>
      <c r="UED72" s="16"/>
      <c r="UEE72" s="16"/>
      <c r="UEF72" s="16"/>
      <c r="UEG72" s="16"/>
      <c r="UEH72" s="16"/>
      <c r="UEI72" s="16"/>
      <c r="UEJ72" s="16"/>
      <c r="UEK72" s="16"/>
      <c r="UEL72" s="16"/>
      <c r="UEM72" s="16"/>
      <c r="UEN72" s="16"/>
      <c r="UEO72" s="16"/>
      <c r="UEP72" s="16"/>
      <c r="UEQ72" s="16"/>
      <c r="UER72" s="16"/>
      <c r="UES72" s="16"/>
      <c r="UET72" s="16"/>
      <c r="UEU72" s="16"/>
      <c r="UEV72" s="16"/>
      <c r="UEW72" s="16"/>
      <c r="UEX72" s="16"/>
      <c r="UEY72" s="16"/>
      <c r="UEZ72" s="16"/>
      <c r="UFA72" s="16"/>
      <c r="UFB72" s="16"/>
      <c r="UFC72" s="16"/>
      <c r="UFD72" s="16"/>
      <c r="UFE72" s="16"/>
      <c r="UFF72" s="16"/>
      <c r="UFG72" s="16"/>
      <c r="UFH72" s="16"/>
      <c r="UFI72" s="16"/>
      <c r="UFJ72" s="16"/>
      <c r="UFK72" s="16"/>
      <c r="UFL72" s="16"/>
      <c r="UFM72" s="16"/>
      <c r="UFN72" s="16"/>
      <c r="UFO72" s="16"/>
      <c r="UFP72" s="16"/>
      <c r="UFQ72" s="16"/>
      <c r="UFR72" s="16"/>
      <c r="UFS72" s="16"/>
      <c r="UFT72" s="16"/>
      <c r="UFU72" s="16"/>
      <c r="UFV72" s="16"/>
      <c r="UFW72" s="16"/>
      <c r="UFX72" s="16"/>
      <c r="UFY72" s="16"/>
      <c r="UFZ72" s="16"/>
      <c r="UGA72" s="16"/>
      <c r="UGB72" s="16"/>
      <c r="UGC72" s="16"/>
      <c r="UGD72" s="16"/>
      <c r="UGE72" s="16"/>
      <c r="UGF72" s="16"/>
      <c r="UGG72" s="16"/>
      <c r="UGH72" s="16"/>
      <c r="UGI72" s="16"/>
      <c r="UGJ72" s="16"/>
      <c r="UGK72" s="16"/>
      <c r="UGL72" s="16"/>
      <c r="UGM72" s="16"/>
      <c r="UGN72" s="16"/>
      <c r="UGO72" s="16"/>
      <c r="UGP72" s="16"/>
      <c r="UGQ72" s="16"/>
      <c r="UGR72" s="16"/>
      <c r="UGS72" s="16"/>
      <c r="UGT72" s="16"/>
      <c r="UGU72" s="16"/>
      <c r="UGV72" s="16"/>
      <c r="UGW72" s="16"/>
      <c r="UGX72" s="16"/>
      <c r="UGY72" s="16"/>
      <c r="UGZ72" s="16"/>
      <c r="UHA72" s="16"/>
      <c r="UHB72" s="16"/>
      <c r="UHC72" s="16"/>
      <c r="UHD72" s="16"/>
      <c r="UHE72" s="16"/>
      <c r="UHF72" s="16"/>
      <c r="UHG72" s="16"/>
      <c r="UHH72" s="16"/>
      <c r="UHI72" s="16"/>
      <c r="UHJ72" s="16"/>
      <c r="UHK72" s="16"/>
      <c r="UHL72" s="16"/>
      <c r="UHM72" s="16"/>
      <c r="UHN72" s="16"/>
      <c r="UHO72" s="16"/>
      <c r="UHP72" s="16"/>
      <c r="UHQ72" s="16"/>
      <c r="UHR72" s="16"/>
      <c r="UHS72" s="16"/>
      <c r="UHT72" s="16"/>
      <c r="UHU72" s="16"/>
      <c r="UHV72" s="16"/>
      <c r="UHW72" s="16"/>
      <c r="UHX72" s="16"/>
      <c r="UHY72" s="16"/>
      <c r="UHZ72" s="16"/>
      <c r="UIA72" s="16"/>
      <c r="UIB72" s="16"/>
      <c r="UIC72" s="16"/>
      <c r="UID72" s="16"/>
      <c r="UIE72" s="16"/>
      <c r="UIF72" s="16"/>
      <c r="UIG72" s="16"/>
      <c r="UIH72" s="16"/>
      <c r="UII72" s="16"/>
      <c r="UIJ72" s="16"/>
      <c r="UIK72" s="16"/>
      <c r="UIL72" s="16"/>
      <c r="UIM72" s="16"/>
      <c r="UIN72" s="16"/>
      <c r="UIO72" s="16"/>
      <c r="UIP72" s="16"/>
      <c r="UIQ72" s="16"/>
      <c r="UIR72" s="16"/>
      <c r="UIS72" s="16"/>
      <c r="UIT72" s="16"/>
      <c r="UIU72" s="16"/>
      <c r="UIV72" s="16"/>
      <c r="UIW72" s="16"/>
      <c r="UIX72" s="16"/>
      <c r="UIY72" s="16"/>
      <c r="UIZ72" s="16"/>
      <c r="UJA72" s="16"/>
      <c r="UJB72" s="16"/>
      <c r="UJC72" s="16"/>
      <c r="UJD72" s="16"/>
      <c r="UJE72" s="16"/>
      <c r="UJF72" s="16"/>
      <c r="UJG72" s="16"/>
      <c r="UJH72" s="16"/>
      <c r="UJI72" s="16"/>
      <c r="UJJ72" s="16"/>
      <c r="UJK72" s="16"/>
      <c r="UJL72" s="16"/>
      <c r="UJM72" s="16"/>
      <c r="UJN72" s="16"/>
      <c r="UJO72" s="16"/>
      <c r="UJP72" s="16"/>
      <c r="UJQ72" s="16"/>
      <c r="UJR72" s="16"/>
      <c r="UJS72" s="16"/>
      <c r="UJT72" s="16"/>
      <c r="UJU72" s="16"/>
      <c r="UJV72" s="16"/>
      <c r="UJW72" s="16"/>
      <c r="UJX72" s="16"/>
      <c r="UJY72" s="16"/>
      <c r="UJZ72" s="16"/>
      <c r="UKA72" s="16"/>
      <c r="UKB72" s="16"/>
      <c r="UKC72" s="16"/>
      <c r="UKD72" s="16"/>
      <c r="UKE72" s="16"/>
      <c r="UKF72" s="16"/>
      <c r="UKG72" s="16"/>
      <c r="UKH72" s="16"/>
      <c r="UKI72" s="16"/>
      <c r="UKJ72" s="16"/>
      <c r="UKK72" s="16"/>
      <c r="UKL72" s="16"/>
      <c r="UKM72" s="16"/>
      <c r="UKN72" s="16"/>
      <c r="UKO72" s="16"/>
      <c r="UKP72" s="16"/>
      <c r="UKQ72" s="16"/>
      <c r="UKR72" s="16"/>
      <c r="UKS72" s="16"/>
      <c r="UKT72" s="16"/>
      <c r="UKU72" s="16"/>
      <c r="UKV72" s="16"/>
      <c r="UKW72" s="16"/>
      <c r="UKX72" s="16"/>
      <c r="UKY72" s="16"/>
      <c r="UKZ72" s="16"/>
      <c r="ULA72" s="16"/>
      <c r="ULB72" s="16"/>
      <c r="ULC72" s="16"/>
      <c r="ULD72" s="16"/>
      <c r="ULE72" s="16"/>
      <c r="ULF72" s="16"/>
      <c r="ULG72" s="16"/>
      <c r="ULH72" s="16"/>
      <c r="ULI72" s="16"/>
      <c r="ULJ72" s="16"/>
      <c r="ULK72" s="16"/>
      <c r="ULL72" s="16"/>
      <c r="ULM72" s="16"/>
      <c r="ULN72" s="16"/>
      <c r="ULO72" s="16"/>
      <c r="ULP72" s="16"/>
      <c r="ULQ72" s="16"/>
      <c r="ULR72" s="16"/>
      <c r="ULS72" s="16"/>
      <c r="ULT72" s="16"/>
      <c r="ULU72" s="16"/>
      <c r="ULV72" s="16"/>
      <c r="ULW72" s="16"/>
      <c r="ULX72" s="16"/>
      <c r="ULY72" s="16"/>
      <c r="ULZ72" s="16"/>
      <c r="UMA72" s="16"/>
      <c r="UMB72" s="16"/>
      <c r="UMC72" s="16"/>
      <c r="UMD72" s="16"/>
      <c r="UME72" s="16"/>
      <c r="UMF72" s="16"/>
      <c r="UMG72" s="16"/>
      <c r="UMH72" s="16"/>
      <c r="UMI72" s="16"/>
      <c r="UMJ72" s="16"/>
      <c r="UMK72" s="16"/>
      <c r="UML72" s="16"/>
      <c r="UMM72" s="16"/>
      <c r="UMN72" s="16"/>
      <c r="UMO72" s="16"/>
      <c r="UMP72" s="16"/>
      <c r="UMQ72" s="16"/>
      <c r="UMR72" s="16"/>
      <c r="UMS72" s="16"/>
      <c r="UMT72" s="16"/>
      <c r="UMU72" s="16"/>
      <c r="UMV72" s="16"/>
      <c r="UMW72" s="16"/>
      <c r="UMX72" s="16"/>
      <c r="UMY72" s="16"/>
      <c r="UMZ72" s="16"/>
      <c r="UNA72" s="16"/>
      <c r="UNB72" s="16"/>
      <c r="UNC72" s="16"/>
      <c r="UND72" s="16"/>
      <c r="UNE72" s="16"/>
      <c r="UNF72" s="16"/>
      <c r="UNG72" s="16"/>
      <c r="UNH72" s="16"/>
      <c r="UNI72" s="16"/>
      <c r="UNJ72" s="16"/>
      <c r="UNK72" s="16"/>
      <c r="UNL72" s="16"/>
      <c r="UNM72" s="16"/>
      <c r="UNN72" s="16"/>
      <c r="UNO72" s="16"/>
      <c r="UNP72" s="16"/>
      <c r="UNQ72" s="16"/>
      <c r="UNR72" s="16"/>
      <c r="UNS72" s="16"/>
      <c r="UNT72" s="16"/>
      <c r="UNU72" s="16"/>
      <c r="UNV72" s="16"/>
      <c r="UNW72" s="16"/>
      <c r="UNX72" s="16"/>
      <c r="UNY72" s="16"/>
      <c r="UNZ72" s="16"/>
      <c r="UOA72" s="16"/>
      <c r="UOB72" s="16"/>
      <c r="UOC72" s="16"/>
      <c r="UOD72" s="16"/>
      <c r="UOE72" s="16"/>
      <c r="UOF72" s="16"/>
      <c r="UOG72" s="16"/>
      <c r="UOH72" s="16"/>
      <c r="UOI72" s="16"/>
      <c r="UOJ72" s="16"/>
      <c r="UOK72" s="16"/>
      <c r="UOL72" s="16"/>
      <c r="UOM72" s="16"/>
      <c r="UON72" s="16"/>
      <c r="UOO72" s="16"/>
      <c r="UOP72" s="16"/>
      <c r="UOQ72" s="16"/>
      <c r="UOR72" s="16"/>
      <c r="UOS72" s="16"/>
      <c r="UOT72" s="16"/>
      <c r="UOU72" s="16"/>
      <c r="UOV72" s="16"/>
      <c r="UOW72" s="16"/>
      <c r="UOX72" s="16"/>
      <c r="UOY72" s="16"/>
      <c r="UOZ72" s="16"/>
      <c r="UPA72" s="16"/>
      <c r="UPB72" s="16"/>
      <c r="UPC72" s="16"/>
      <c r="UPD72" s="16"/>
      <c r="UPE72" s="16"/>
      <c r="UPF72" s="16"/>
      <c r="UPG72" s="16"/>
      <c r="UPH72" s="16"/>
      <c r="UPI72" s="16"/>
      <c r="UPJ72" s="16"/>
      <c r="UPK72" s="16"/>
      <c r="UPL72" s="16"/>
      <c r="UPM72" s="16"/>
      <c r="UPN72" s="16"/>
      <c r="UPO72" s="16"/>
      <c r="UPP72" s="16"/>
      <c r="UPQ72" s="16"/>
      <c r="UPR72" s="16"/>
      <c r="UPS72" s="16"/>
      <c r="UPT72" s="16"/>
      <c r="UPU72" s="16"/>
      <c r="UPV72" s="16"/>
      <c r="UPW72" s="16"/>
      <c r="UPX72" s="16"/>
      <c r="UPY72" s="16"/>
      <c r="UPZ72" s="16"/>
      <c r="UQA72" s="16"/>
      <c r="UQB72" s="16"/>
      <c r="UQC72" s="16"/>
      <c r="UQD72" s="16"/>
      <c r="UQE72" s="16"/>
      <c r="UQF72" s="16"/>
      <c r="UQG72" s="16"/>
      <c r="UQH72" s="16"/>
      <c r="UQI72" s="16"/>
      <c r="UQJ72" s="16"/>
      <c r="UQK72" s="16"/>
      <c r="UQL72" s="16"/>
      <c r="UQM72" s="16"/>
      <c r="UQN72" s="16"/>
      <c r="UQO72" s="16"/>
      <c r="UQP72" s="16"/>
      <c r="UQQ72" s="16"/>
      <c r="UQR72" s="16"/>
      <c r="UQS72" s="16"/>
      <c r="UQT72" s="16"/>
      <c r="UQU72" s="16"/>
      <c r="UQV72" s="16"/>
      <c r="UQW72" s="16"/>
      <c r="UQX72" s="16"/>
      <c r="UQY72" s="16"/>
      <c r="UQZ72" s="16"/>
      <c r="URA72" s="16"/>
      <c r="URB72" s="16"/>
      <c r="URC72" s="16"/>
      <c r="URD72" s="16"/>
      <c r="URE72" s="16"/>
      <c r="URF72" s="16"/>
      <c r="URG72" s="16"/>
      <c r="URH72" s="16"/>
      <c r="URI72" s="16"/>
      <c r="URJ72" s="16"/>
      <c r="URK72" s="16"/>
      <c r="URL72" s="16"/>
      <c r="URM72" s="16"/>
      <c r="URN72" s="16"/>
      <c r="URO72" s="16"/>
      <c r="URP72" s="16"/>
      <c r="URQ72" s="16"/>
      <c r="URR72" s="16"/>
      <c r="URS72" s="16"/>
      <c r="URT72" s="16"/>
      <c r="URU72" s="16"/>
      <c r="URV72" s="16"/>
      <c r="URW72" s="16"/>
      <c r="URX72" s="16"/>
      <c r="URY72" s="16"/>
      <c r="URZ72" s="16"/>
      <c r="USA72" s="16"/>
      <c r="USB72" s="16"/>
      <c r="USC72" s="16"/>
      <c r="USD72" s="16"/>
      <c r="USE72" s="16"/>
      <c r="USF72" s="16"/>
      <c r="USG72" s="16"/>
      <c r="USH72" s="16"/>
      <c r="USI72" s="16"/>
      <c r="USJ72" s="16"/>
      <c r="USK72" s="16"/>
      <c r="USL72" s="16"/>
      <c r="USM72" s="16"/>
      <c r="USN72" s="16"/>
      <c r="USO72" s="16"/>
      <c r="USP72" s="16"/>
      <c r="USQ72" s="16"/>
      <c r="USR72" s="16"/>
      <c r="USS72" s="16"/>
      <c r="UST72" s="16"/>
      <c r="USU72" s="16"/>
      <c r="USV72" s="16"/>
      <c r="USW72" s="16"/>
      <c r="USX72" s="16"/>
      <c r="USY72" s="16"/>
      <c r="USZ72" s="16"/>
      <c r="UTA72" s="16"/>
      <c r="UTB72" s="16"/>
      <c r="UTC72" s="16"/>
      <c r="UTD72" s="16"/>
      <c r="UTE72" s="16"/>
      <c r="UTF72" s="16"/>
      <c r="UTG72" s="16"/>
      <c r="UTH72" s="16"/>
      <c r="UTI72" s="16"/>
      <c r="UTJ72" s="16"/>
      <c r="UTK72" s="16"/>
      <c r="UTL72" s="16"/>
      <c r="UTM72" s="16"/>
      <c r="UTN72" s="16"/>
      <c r="UTO72" s="16"/>
      <c r="UTP72" s="16"/>
      <c r="UTQ72" s="16"/>
      <c r="UTR72" s="16"/>
      <c r="UTS72" s="16"/>
      <c r="UTT72" s="16"/>
      <c r="UTU72" s="16"/>
      <c r="UTV72" s="16"/>
      <c r="UTW72" s="16"/>
      <c r="UTX72" s="16"/>
      <c r="UTY72" s="16"/>
      <c r="UTZ72" s="16"/>
      <c r="UUA72" s="16"/>
      <c r="UUB72" s="16"/>
      <c r="UUC72" s="16"/>
      <c r="UUD72" s="16"/>
      <c r="UUE72" s="16"/>
      <c r="UUF72" s="16"/>
      <c r="UUG72" s="16"/>
      <c r="UUH72" s="16"/>
      <c r="UUI72" s="16"/>
      <c r="UUJ72" s="16"/>
      <c r="UUK72" s="16"/>
      <c r="UUL72" s="16"/>
      <c r="UUM72" s="16"/>
      <c r="UUN72" s="16"/>
      <c r="UUO72" s="16"/>
      <c r="UUP72" s="16"/>
      <c r="UUQ72" s="16"/>
      <c r="UUR72" s="16"/>
      <c r="UUS72" s="16"/>
      <c r="UUT72" s="16"/>
      <c r="UUU72" s="16"/>
      <c r="UUV72" s="16"/>
      <c r="UUW72" s="16"/>
      <c r="UUX72" s="16"/>
      <c r="UUY72" s="16"/>
      <c r="UUZ72" s="16"/>
      <c r="UVA72" s="16"/>
      <c r="UVB72" s="16"/>
      <c r="UVC72" s="16"/>
      <c r="UVD72" s="16"/>
      <c r="UVE72" s="16"/>
      <c r="UVF72" s="16"/>
      <c r="UVG72" s="16"/>
      <c r="UVH72" s="16"/>
      <c r="UVI72" s="16"/>
      <c r="UVJ72" s="16"/>
      <c r="UVK72" s="16"/>
      <c r="UVL72" s="16"/>
      <c r="UVM72" s="16"/>
      <c r="UVN72" s="16"/>
      <c r="UVO72" s="16"/>
      <c r="UVP72" s="16"/>
      <c r="UVQ72" s="16"/>
      <c r="UVR72" s="16"/>
      <c r="UVS72" s="16"/>
      <c r="UVT72" s="16"/>
      <c r="UVU72" s="16"/>
      <c r="UVV72" s="16"/>
      <c r="UVW72" s="16"/>
      <c r="UVX72" s="16"/>
      <c r="UVY72" s="16"/>
      <c r="UVZ72" s="16"/>
      <c r="UWA72" s="16"/>
      <c r="UWB72" s="16"/>
      <c r="UWC72" s="16"/>
      <c r="UWD72" s="16"/>
      <c r="UWE72" s="16"/>
      <c r="UWF72" s="16"/>
      <c r="UWG72" s="16"/>
      <c r="UWH72" s="16"/>
      <c r="UWI72" s="16"/>
      <c r="UWJ72" s="16"/>
      <c r="UWK72" s="16"/>
      <c r="UWL72" s="16"/>
      <c r="UWM72" s="16"/>
      <c r="UWN72" s="16"/>
      <c r="UWO72" s="16"/>
      <c r="UWP72" s="16"/>
      <c r="UWQ72" s="16"/>
      <c r="UWR72" s="16"/>
      <c r="UWS72" s="16"/>
      <c r="UWT72" s="16"/>
      <c r="UWU72" s="16"/>
      <c r="UWV72" s="16"/>
      <c r="UWW72" s="16"/>
      <c r="UWX72" s="16"/>
      <c r="UWY72" s="16"/>
      <c r="UWZ72" s="16"/>
      <c r="UXA72" s="16"/>
      <c r="UXB72" s="16"/>
      <c r="UXC72" s="16"/>
      <c r="UXD72" s="16"/>
      <c r="UXE72" s="16"/>
      <c r="UXF72" s="16"/>
      <c r="UXG72" s="16"/>
      <c r="UXH72" s="16"/>
      <c r="UXI72" s="16"/>
      <c r="UXJ72" s="16"/>
      <c r="UXK72" s="16"/>
      <c r="UXL72" s="16"/>
      <c r="UXM72" s="16"/>
      <c r="UXN72" s="16"/>
      <c r="UXO72" s="16"/>
      <c r="UXP72" s="16"/>
      <c r="UXQ72" s="16"/>
      <c r="UXR72" s="16"/>
      <c r="UXS72" s="16"/>
      <c r="UXT72" s="16"/>
      <c r="UXU72" s="16"/>
      <c r="UXV72" s="16"/>
      <c r="UXW72" s="16"/>
      <c r="UXX72" s="16"/>
      <c r="UXY72" s="16"/>
      <c r="UXZ72" s="16"/>
      <c r="UYA72" s="16"/>
      <c r="UYB72" s="16"/>
      <c r="UYC72" s="16"/>
      <c r="UYD72" s="16"/>
      <c r="UYE72" s="16"/>
      <c r="UYF72" s="16"/>
      <c r="UYG72" s="16"/>
      <c r="UYH72" s="16"/>
      <c r="UYI72" s="16"/>
      <c r="UYJ72" s="16"/>
      <c r="UYK72" s="16"/>
      <c r="UYL72" s="16"/>
      <c r="UYM72" s="16"/>
      <c r="UYN72" s="16"/>
      <c r="UYO72" s="16"/>
      <c r="UYP72" s="16"/>
      <c r="UYQ72" s="16"/>
      <c r="UYR72" s="16"/>
      <c r="UYS72" s="16"/>
      <c r="UYT72" s="16"/>
      <c r="UYU72" s="16"/>
      <c r="UYV72" s="16"/>
      <c r="UYW72" s="16"/>
      <c r="UYX72" s="16"/>
      <c r="UYY72" s="16"/>
      <c r="UYZ72" s="16"/>
      <c r="UZA72" s="16"/>
      <c r="UZB72" s="16"/>
      <c r="UZC72" s="16"/>
      <c r="UZD72" s="16"/>
      <c r="UZE72" s="16"/>
      <c r="UZF72" s="16"/>
      <c r="UZG72" s="16"/>
      <c r="UZH72" s="16"/>
      <c r="UZI72" s="16"/>
      <c r="UZJ72" s="16"/>
      <c r="UZK72" s="16"/>
      <c r="UZL72" s="16"/>
      <c r="UZM72" s="16"/>
      <c r="UZN72" s="16"/>
      <c r="UZO72" s="16"/>
      <c r="UZP72" s="16"/>
      <c r="UZQ72" s="16"/>
      <c r="UZR72" s="16"/>
      <c r="UZS72" s="16"/>
      <c r="UZT72" s="16"/>
      <c r="UZU72" s="16"/>
      <c r="UZV72" s="16"/>
      <c r="UZW72" s="16"/>
      <c r="UZX72" s="16"/>
      <c r="UZY72" s="16"/>
      <c r="UZZ72" s="16"/>
      <c r="VAA72" s="16"/>
      <c r="VAB72" s="16"/>
      <c r="VAC72" s="16"/>
      <c r="VAD72" s="16"/>
      <c r="VAE72" s="16"/>
      <c r="VAF72" s="16"/>
      <c r="VAG72" s="16"/>
      <c r="VAH72" s="16"/>
      <c r="VAI72" s="16"/>
      <c r="VAJ72" s="16"/>
      <c r="VAK72" s="16"/>
      <c r="VAL72" s="16"/>
      <c r="VAM72" s="16"/>
      <c r="VAN72" s="16"/>
      <c r="VAO72" s="16"/>
      <c r="VAP72" s="16"/>
      <c r="VAQ72" s="16"/>
      <c r="VAR72" s="16"/>
      <c r="VAS72" s="16"/>
      <c r="VAT72" s="16"/>
      <c r="VAU72" s="16"/>
      <c r="VAV72" s="16"/>
      <c r="VAW72" s="16"/>
      <c r="VAX72" s="16"/>
      <c r="VAY72" s="16"/>
      <c r="VAZ72" s="16"/>
      <c r="VBA72" s="16"/>
      <c r="VBB72" s="16"/>
      <c r="VBC72" s="16"/>
      <c r="VBD72" s="16"/>
      <c r="VBE72" s="16"/>
      <c r="VBF72" s="16"/>
      <c r="VBG72" s="16"/>
      <c r="VBH72" s="16"/>
      <c r="VBI72" s="16"/>
      <c r="VBJ72" s="16"/>
      <c r="VBK72" s="16"/>
      <c r="VBL72" s="16"/>
      <c r="VBM72" s="16"/>
      <c r="VBN72" s="16"/>
      <c r="VBO72" s="16"/>
      <c r="VBP72" s="16"/>
      <c r="VBQ72" s="16"/>
      <c r="VBR72" s="16"/>
      <c r="VBS72" s="16"/>
      <c r="VBT72" s="16"/>
      <c r="VBU72" s="16"/>
      <c r="VBV72" s="16"/>
      <c r="VBW72" s="16"/>
      <c r="VBX72" s="16"/>
      <c r="VBY72" s="16"/>
      <c r="VBZ72" s="16"/>
      <c r="VCA72" s="16"/>
      <c r="VCB72" s="16"/>
      <c r="VCC72" s="16"/>
      <c r="VCD72" s="16"/>
      <c r="VCE72" s="16"/>
      <c r="VCF72" s="16"/>
      <c r="VCG72" s="16"/>
      <c r="VCH72" s="16"/>
      <c r="VCI72" s="16"/>
      <c r="VCJ72" s="16"/>
      <c r="VCK72" s="16"/>
      <c r="VCL72" s="16"/>
      <c r="VCM72" s="16"/>
      <c r="VCN72" s="16"/>
      <c r="VCO72" s="16"/>
      <c r="VCP72" s="16"/>
      <c r="VCQ72" s="16"/>
      <c r="VCR72" s="16"/>
      <c r="VCS72" s="16"/>
      <c r="VCT72" s="16"/>
      <c r="VCU72" s="16"/>
      <c r="VCV72" s="16"/>
      <c r="VCW72" s="16"/>
      <c r="VCX72" s="16"/>
      <c r="VCY72" s="16"/>
      <c r="VCZ72" s="16"/>
      <c r="VDA72" s="16"/>
      <c r="VDB72" s="16"/>
      <c r="VDC72" s="16"/>
      <c r="VDD72" s="16"/>
      <c r="VDE72" s="16"/>
      <c r="VDF72" s="16"/>
      <c r="VDG72" s="16"/>
      <c r="VDH72" s="16"/>
      <c r="VDI72" s="16"/>
      <c r="VDJ72" s="16"/>
      <c r="VDK72" s="16"/>
      <c r="VDL72" s="16"/>
      <c r="VDM72" s="16"/>
      <c r="VDN72" s="16"/>
      <c r="VDO72" s="16"/>
      <c r="VDP72" s="16"/>
      <c r="VDQ72" s="16"/>
      <c r="VDR72" s="16"/>
      <c r="VDS72" s="16"/>
      <c r="VDT72" s="16"/>
      <c r="VDU72" s="16"/>
      <c r="VDV72" s="16"/>
      <c r="VDW72" s="16"/>
      <c r="VDX72" s="16"/>
      <c r="VDY72" s="16"/>
      <c r="VDZ72" s="16"/>
      <c r="VEA72" s="16"/>
      <c r="VEB72" s="16"/>
      <c r="VEC72" s="16"/>
      <c r="VED72" s="16"/>
      <c r="VEE72" s="16"/>
      <c r="VEF72" s="16"/>
      <c r="VEG72" s="16"/>
      <c r="VEH72" s="16"/>
      <c r="VEI72" s="16"/>
      <c r="VEJ72" s="16"/>
      <c r="VEK72" s="16"/>
      <c r="VEL72" s="16"/>
      <c r="VEM72" s="16"/>
      <c r="VEN72" s="16"/>
      <c r="VEO72" s="16"/>
      <c r="VEP72" s="16"/>
      <c r="VEQ72" s="16"/>
      <c r="VER72" s="16"/>
      <c r="VES72" s="16"/>
      <c r="VET72" s="16"/>
      <c r="VEU72" s="16"/>
      <c r="VEV72" s="16"/>
      <c r="VEW72" s="16"/>
      <c r="VEX72" s="16"/>
      <c r="VEY72" s="16"/>
      <c r="VEZ72" s="16"/>
      <c r="VFA72" s="16"/>
      <c r="VFB72" s="16"/>
      <c r="VFC72" s="16"/>
      <c r="VFD72" s="16"/>
      <c r="VFE72" s="16"/>
      <c r="VFF72" s="16"/>
      <c r="VFG72" s="16"/>
      <c r="VFH72" s="16"/>
      <c r="VFI72" s="16"/>
      <c r="VFJ72" s="16"/>
      <c r="VFK72" s="16"/>
      <c r="VFL72" s="16"/>
      <c r="VFM72" s="16"/>
      <c r="VFN72" s="16"/>
      <c r="VFO72" s="16"/>
      <c r="VFP72" s="16"/>
      <c r="VFQ72" s="16"/>
      <c r="VFR72" s="16"/>
      <c r="VFS72" s="16"/>
      <c r="VFT72" s="16"/>
      <c r="VFU72" s="16"/>
      <c r="VFV72" s="16"/>
      <c r="VFW72" s="16"/>
      <c r="VFX72" s="16"/>
      <c r="VFY72" s="16"/>
      <c r="VFZ72" s="16"/>
      <c r="VGA72" s="16"/>
      <c r="VGB72" s="16"/>
      <c r="VGC72" s="16"/>
      <c r="VGD72" s="16"/>
      <c r="VGE72" s="16"/>
      <c r="VGF72" s="16"/>
      <c r="VGG72" s="16"/>
      <c r="VGH72" s="16"/>
      <c r="VGI72" s="16"/>
      <c r="VGJ72" s="16"/>
      <c r="VGK72" s="16"/>
      <c r="VGL72" s="16"/>
      <c r="VGM72" s="16"/>
      <c r="VGN72" s="16"/>
      <c r="VGO72" s="16"/>
      <c r="VGP72" s="16"/>
      <c r="VGQ72" s="16"/>
      <c r="VGR72" s="16"/>
      <c r="VGS72" s="16"/>
      <c r="VGT72" s="16"/>
      <c r="VGU72" s="16"/>
      <c r="VGV72" s="16"/>
      <c r="VGW72" s="16"/>
      <c r="VGX72" s="16"/>
      <c r="VGY72" s="16"/>
      <c r="VGZ72" s="16"/>
      <c r="VHA72" s="16"/>
      <c r="VHB72" s="16"/>
      <c r="VHC72" s="16"/>
      <c r="VHD72" s="16"/>
      <c r="VHE72" s="16"/>
      <c r="VHF72" s="16"/>
      <c r="VHG72" s="16"/>
      <c r="VHH72" s="16"/>
      <c r="VHI72" s="16"/>
      <c r="VHJ72" s="16"/>
      <c r="VHK72" s="16"/>
      <c r="VHL72" s="16"/>
      <c r="VHM72" s="16"/>
      <c r="VHN72" s="16"/>
      <c r="VHO72" s="16"/>
      <c r="VHP72" s="16"/>
      <c r="VHQ72" s="16"/>
      <c r="VHR72" s="16"/>
      <c r="VHS72" s="16"/>
      <c r="VHT72" s="16"/>
      <c r="VHU72" s="16"/>
      <c r="VHV72" s="16"/>
      <c r="VHW72" s="16"/>
      <c r="VHX72" s="16"/>
      <c r="VHY72" s="16"/>
      <c r="VHZ72" s="16"/>
      <c r="VIA72" s="16"/>
      <c r="VIB72" s="16"/>
      <c r="VIC72" s="16"/>
      <c r="VID72" s="16"/>
      <c r="VIE72" s="16"/>
      <c r="VIF72" s="16"/>
      <c r="VIG72" s="16"/>
      <c r="VIH72" s="16"/>
      <c r="VII72" s="16"/>
      <c r="VIJ72" s="16"/>
      <c r="VIK72" s="16"/>
      <c r="VIL72" s="16"/>
      <c r="VIM72" s="16"/>
      <c r="VIN72" s="16"/>
      <c r="VIO72" s="16"/>
      <c r="VIP72" s="16"/>
      <c r="VIQ72" s="16"/>
      <c r="VIR72" s="16"/>
      <c r="VIS72" s="16"/>
      <c r="VIT72" s="16"/>
      <c r="VIU72" s="16"/>
      <c r="VIV72" s="16"/>
      <c r="VIW72" s="16"/>
      <c r="VIX72" s="16"/>
      <c r="VIY72" s="16"/>
      <c r="VIZ72" s="16"/>
      <c r="VJA72" s="16"/>
      <c r="VJB72" s="16"/>
      <c r="VJC72" s="16"/>
      <c r="VJD72" s="16"/>
      <c r="VJE72" s="16"/>
      <c r="VJF72" s="16"/>
      <c r="VJG72" s="16"/>
      <c r="VJH72" s="16"/>
      <c r="VJI72" s="16"/>
      <c r="VJJ72" s="16"/>
      <c r="VJK72" s="16"/>
      <c r="VJL72" s="16"/>
      <c r="VJM72" s="16"/>
      <c r="VJN72" s="16"/>
      <c r="VJO72" s="16"/>
      <c r="VJP72" s="16"/>
      <c r="VJQ72" s="16"/>
      <c r="VJR72" s="16"/>
      <c r="VJS72" s="16"/>
      <c r="VJT72" s="16"/>
      <c r="VJU72" s="16"/>
      <c r="VJV72" s="16"/>
      <c r="VJW72" s="16"/>
      <c r="VJX72" s="16"/>
      <c r="VJY72" s="16"/>
      <c r="VJZ72" s="16"/>
      <c r="VKA72" s="16"/>
      <c r="VKB72" s="16"/>
      <c r="VKC72" s="16"/>
      <c r="VKD72" s="16"/>
      <c r="VKE72" s="16"/>
      <c r="VKF72" s="16"/>
      <c r="VKG72" s="16"/>
      <c r="VKH72" s="16"/>
      <c r="VKI72" s="16"/>
      <c r="VKJ72" s="16"/>
      <c r="VKK72" s="16"/>
      <c r="VKL72" s="16"/>
      <c r="VKM72" s="16"/>
      <c r="VKN72" s="16"/>
      <c r="VKO72" s="16"/>
      <c r="VKP72" s="16"/>
      <c r="VKQ72" s="16"/>
      <c r="VKR72" s="16"/>
      <c r="VKS72" s="16"/>
      <c r="VKT72" s="16"/>
      <c r="VKU72" s="16"/>
      <c r="VKV72" s="16"/>
      <c r="VKW72" s="16"/>
      <c r="VKX72" s="16"/>
      <c r="VKY72" s="16"/>
      <c r="VKZ72" s="16"/>
      <c r="VLA72" s="16"/>
      <c r="VLB72" s="16"/>
      <c r="VLC72" s="16"/>
      <c r="VLD72" s="16"/>
      <c r="VLE72" s="16"/>
      <c r="VLF72" s="16"/>
      <c r="VLG72" s="16"/>
      <c r="VLH72" s="16"/>
      <c r="VLI72" s="16"/>
      <c r="VLJ72" s="16"/>
      <c r="VLK72" s="16"/>
      <c r="VLL72" s="16"/>
      <c r="VLM72" s="16"/>
      <c r="VLN72" s="16"/>
      <c r="VLO72" s="16"/>
      <c r="VLP72" s="16"/>
      <c r="VLQ72" s="16"/>
      <c r="VLR72" s="16"/>
      <c r="VLS72" s="16"/>
      <c r="VLT72" s="16"/>
      <c r="VLU72" s="16"/>
      <c r="VLV72" s="16"/>
      <c r="VLW72" s="16"/>
      <c r="VLX72" s="16"/>
      <c r="VLY72" s="16"/>
      <c r="VLZ72" s="16"/>
      <c r="VMA72" s="16"/>
      <c r="VMB72" s="16"/>
      <c r="VMC72" s="16"/>
      <c r="VMD72" s="16"/>
      <c r="VME72" s="16"/>
      <c r="VMF72" s="16"/>
      <c r="VMG72" s="16"/>
      <c r="VMH72" s="16"/>
      <c r="VMI72" s="16"/>
      <c r="VMJ72" s="16"/>
      <c r="VMK72" s="16"/>
      <c r="VML72" s="16"/>
      <c r="VMM72" s="16"/>
      <c r="VMN72" s="16"/>
      <c r="VMO72" s="16"/>
      <c r="VMP72" s="16"/>
      <c r="VMQ72" s="16"/>
      <c r="VMR72" s="16"/>
      <c r="VMS72" s="16"/>
      <c r="VMT72" s="16"/>
      <c r="VMU72" s="16"/>
      <c r="VMV72" s="16"/>
      <c r="VMW72" s="16"/>
      <c r="VMX72" s="16"/>
      <c r="VMY72" s="16"/>
      <c r="VMZ72" s="16"/>
      <c r="VNA72" s="16"/>
      <c r="VNB72" s="16"/>
      <c r="VNC72" s="16"/>
      <c r="VND72" s="16"/>
      <c r="VNE72" s="16"/>
      <c r="VNF72" s="16"/>
      <c r="VNG72" s="16"/>
      <c r="VNH72" s="16"/>
      <c r="VNI72" s="16"/>
      <c r="VNJ72" s="16"/>
      <c r="VNK72" s="16"/>
      <c r="VNL72" s="16"/>
      <c r="VNM72" s="16"/>
      <c r="VNN72" s="16"/>
      <c r="VNO72" s="16"/>
      <c r="VNP72" s="16"/>
      <c r="VNQ72" s="16"/>
      <c r="VNR72" s="16"/>
      <c r="VNS72" s="16"/>
      <c r="VNT72" s="16"/>
      <c r="VNU72" s="16"/>
      <c r="VNV72" s="16"/>
      <c r="VNW72" s="16"/>
      <c r="VNX72" s="16"/>
      <c r="VNY72" s="16"/>
      <c r="VNZ72" s="16"/>
      <c r="VOA72" s="16"/>
      <c r="VOB72" s="16"/>
      <c r="VOC72" s="16"/>
      <c r="VOD72" s="16"/>
      <c r="VOE72" s="16"/>
      <c r="VOF72" s="16"/>
      <c r="VOG72" s="16"/>
      <c r="VOH72" s="16"/>
      <c r="VOI72" s="16"/>
      <c r="VOJ72" s="16"/>
      <c r="VOK72" s="16"/>
      <c r="VOL72" s="16"/>
      <c r="VOM72" s="16"/>
      <c r="VON72" s="16"/>
      <c r="VOO72" s="16"/>
      <c r="VOP72" s="16"/>
      <c r="VOQ72" s="16"/>
      <c r="VOR72" s="16"/>
      <c r="VOS72" s="16"/>
      <c r="VOT72" s="16"/>
      <c r="VOU72" s="16"/>
      <c r="VOV72" s="16"/>
      <c r="VOW72" s="16"/>
      <c r="VOX72" s="16"/>
      <c r="VOY72" s="16"/>
      <c r="VOZ72" s="16"/>
      <c r="VPA72" s="16"/>
      <c r="VPB72" s="16"/>
      <c r="VPC72" s="16"/>
      <c r="VPD72" s="16"/>
      <c r="VPE72" s="16"/>
      <c r="VPF72" s="16"/>
      <c r="VPG72" s="16"/>
      <c r="VPH72" s="16"/>
      <c r="VPI72" s="16"/>
      <c r="VPJ72" s="16"/>
      <c r="VPK72" s="16"/>
      <c r="VPL72" s="16"/>
      <c r="VPM72" s="16"/>
      <c r="VPN72" s="16"/>
      <c r="VPO72" s="16"/>
      <c r="VPP72" s="16"/>
      <c r="VPQ72" s="16"/>
      <c r="VPR72" s="16"/>
      <c r="VPS72" s="16"/>
      <c r="VPT72" s="16"/>
      <c r="VPU72" s="16"/>
      <c r="VPV72" s="16"/>
      <c r="VPW72" s="16"/>
      <c r="VPX72" s="16"/>
      <c r="VPY72" s="16"/>
      <c r="VPZ72" s="16"/>
      <c r="VQA72" s="16"/>
      <c r="VQB72" s="16"/>
      <c r="VQC72" s="16"/>
      <c r="VQD72" s="16"/>
      <c r="VQE72" s="16"/>
      <c r="VQF72" s="16"/>
      <c r="VQG72" s="16"/>
      <c r="VQH72" s="16"/>
      <c r="VQI72" s="16"/>
      <c r="VQJ72" s="16"/>
      <c r="VQK72" s="16"/>
      <c r="VQL72" s="16"/>
      <c r="VQM72" s="16"/>
      <c r="VQN72" s="16"/>
      <c r="VQO72" s="16"/>
      <c r="VQP72" s="16"/>
      <c r="VQQ72" s="16"/>
      <c r="VQR72" s="16"/>
      <c r="VQS72" s="16"/>
      <c r="VQT72" s="16"/>
      <c r="VQU72" s="16"/>
      <c r="VQV72" s="16"/>
      <c r="VQW72" s="16"/>
      <c r="VQX72" s="16"/>
      <c r="VQY72" s="16"/>
      <c r="VQZ72" s="16"/>
      <c r="VRA72" s="16"/>
      <c r="VRB72" s="16"/>
      <c r="VRC72" s="16"/>
      <c r="VRD72" s="16"/>
      <c r="VRE72" s="16"/>
      <c r="VRF72" s="16"/>
      <c r="VRG72" s="16"/>
      <c r="VRH72" s="16"/>
      <c r="VRI72" s="16"/>
      <c r="VRJ72" s="16"/>
      <c r="VRK72" s="16"/>
      <c r="VRL72" s="16"/>
      <c r="VRM72" s="16"/>
      <c r="VRN72" s="16"/>
      <c r="VRO72" s="16"/>
      <c r="VRP72" s="16"/>
      <c r="VRQ72" s="16"/>
      <c r="VRR72" s="16"/>
      <c r="VRS72" s="16"/>
      <c r="VRT72" s="16"/>
      <c r="VRU72" s="16"/>
      <c r="VRV72" s="16"/>
      <c r="VRW72" s="16"/>
      <c r="VRX72" s="16"/>
      <c r="VRY72" s="16"/>
      <c r="VRZ72" s="16"/>
      <c r="VSA72" s="16"/>
      <c r="VSB72" s="16"/>
      <c r="VSC72" s="16"/>
      <c r="VSD72" s="16"/>
      <c r="VSE72" s="16"/>
      <c r="VSF72" s="16"/>
      <c r="VSG72" s="16"/>
      <c r="VSH72" s="16"/>
      <c r="VSI72" s="16"/>
      <c r="VSJ72" s="16"/>
      <c r="VSK72" s="16"/>
      <c r="VSL72" s="16"/>
      <c r="VSM72" s="16"/>
      <c r="VSN72" s="16"/>
      <c r="VSO72" s="16"/>
      <c r="VSP72" s="16"/>
      <c r="VSQ72" s="16"/>
      <c r="VSR72" s="16"/>
      <c r="VSS72" s="16"/>
      <c r="VST72" s="16"/>
      <c r="VSU72" s="16"/>
      <c r="VSV72" s="16"/>
      <c r="VSW72" s="16"/>
      <c r="VSX72" s="16"/>
      <c r="VSY72" s="16"/>
      <c r="VSZ72" s="16"/>
      <c r="VTA72" s="16"/>
      <c r="VTB72" s="16"/>
      <c r="VTC72" s="16"/>
      <c r="VTD72" s="16"/>
      <c r="VTE72" s="16"/>
      <c r="VTF72" s="16"/>
      <c r="VTG72" s="16"/>
      <c r="VTH72" s="16"/>
      <c r="VTI72" s="16"/>
      <c r="VTJ72" s="16"/>
      <c r="VTK72" s="16"/>
      <c r="VTL72" s="16"/>
      <c r="VTM72" s="16"/>
      <c r="VTN72" s="16"/>
      <c r="VTO72" s="16"/>
      <c r="VTP72" s="16"/>
      <c r="VTQ72" s="16"/>
      <c r="VTR72" s="16"/>
      <c r="VTS72" s="16"/>
      <c r="VTT72" s="16"/>
      <c r="VTU72" s="16"/>
      <c r="VTV72" s="16"/>
      <c r="VTW72" s="16"/>
      <c r="VTX72" s="16"/>
      <c r="VTY72" s="16"/>
      <c r="VTZ72" s="16"/>
      <c r="VUA72" s="16"/>
      <c r="VUB72" s="16"/>
      <c r="VUC72" s="16"/>
      <c r="VUD72" s="16"/>
      <c r="VUE72" s="16"/>
      <c r="VUF72" s="16"/>
      <c r="VUG72" s="16"/>
      <c r="VUH72" s="16"/>
      <c r="VUI72" s="16"/>
      <c r="VUJ72" s="16"/>
      <c r="VUK72" s="16"/>
      <c r="VUL72" s="16"/>
      <c r="VUM72" s="16"/>
      <c r="VUN72" s="16"/>
      <c r="VUO72" s="16"/>
      <c r="VUP72" s="16"/>
      <c r="VUQ72" s="16"/>
      <c r="VUR72" s="16"/>
      <c r="VUS72" s="16"/>
      <c r="VUT72" s="16"/>
      <c r="VUU72" s="16"/>
      <c r="VUV72" s="16"/>
      <c r="VUW72" s="16"/>
      <c r="VUX72" s="16"/>
      <c r="VUY72" s="16"/>
      <c r="VUZ72" s="16"/>
      <c r="VVA72" s="16"/>
      <c r="VVB72" s="16"/>
      <c r="VVC72" s="16"/>
      <c r="VVD72" s="16"/>
      <c r="VVE72" s="16"/>
      <c r="VVF72" s="16"/>
      <c r="VVG72" s="16"/>
      <c r="VVH72" s="16"/>
      <c r="VVI72" s="16"/>
      <c r="VVJ72" s="16"/>
      <c r="VVK72" s="16"/>
      <c r="VVL72" s="16"/>
      <c r="VVM72" s="16"/>
      <c r="VVN72" s="16"/>
      <c r="VVO72" s="16"/>
      <c r="VVP72" s="16"/>
      <c r="VVQ72" s="16"/>
      <c r="VVR72" s="16"/>
      <c r="VVS72" s="16"/>
      <c r="VVT72" s="16"/>
      <c r="VVU72" s="16"/>
      <c r="VVV72" s="16"/>
      <c r="VVW72" s="16"/>
      <c r="VVX72" s="16"/>
      <c r="VVY72" s="16"/>
      <c r="VVZ72" s="16"/>
      <c r="VWA72" s="16"/>
      <c r="VWB72" s="16"/>
      <c r="VWC72" s="16"/>
      <c r="VWD72" s="16"/>
      <c r="VWE72" s="16"/>
      <c r="VWF72" s="16"/>
      <c r="VWG72" s="16"/>
      <c r="VWH72" s="16"/>
      <c r="VWI72" s="16"/>
      <c r="VWJ72" s="16"/>
      <c r="VWK72" s="16"/>
      <c r="VWL72" s="16"/>
      <c r="VWM72" s="16"/>
      <c r="VWN72" s="16"/>
      <c r="VWO72" s="16"/>
      <c r="VWP72" s="16"/>
      <c r="VWQ72" s="16"/>
      <c r="VWR72" s="16"/>
      <c r="VWS72" s="16"/>
      <c r="VWT72" s="16"/>
      <c r="VWU72" s="16"/>
      <c r="VWV72" s="16"/>
      <c r="VWW72" s="16"/>
      <c r="VWX72" s="16"/>
      <c r="VWY72" s="16"/>
      <c r="VWZ72" s="16"/>
      <c r="VXA72" s="16"/>
      <c r="VXB72" s="16"/>
      <c r="VXC72" s="16"/>
      <c r="VXD72" s="16"/>
      <c r="VXE72" s="16"/>
      <c r="VXF72" s="16"/>
      <c r="VXG72" s="16"/>
      <c r="VXH72" s="16"/>
      <c r="VXI72" s="16"/>
      <c r="VXJ72" s="16"/>
      <c r="VXK72" s="16"/>
      <c r="VXL72" s="16"/>
      <c r="VXM72" s="16"/>
      <c r="VXN72" s="16"/>
      <c r="VXO72" s="16"/>
      <c r="VXP72" s="16"/>
      <c r="VXQ72" s="16"/>
      <c r="VXR72" s="16"/>
      <c r="VXS72" s="16"/>
      <c r="VXT72" s="16"/>
      <c r="VXU72" s="16"/>
      <c r="VXV72" s="16"/>
      <c r="VXW72" s="16"/>
      <c r="VXX72" s="16"/>
      <c r="VXY72" s="16"/>
      <c r="VXZ72" s="16"/>
      <c r="VYA72" s="16"/>
      <c r="VYB72" s="16"/>
      <c r="VYC72" s="16"/>
      <c r="VYD72" s="16"/>
      <c r="VYE72" s="16"/>
      <c r="VYF72" s="16"/>
      <c r="VYG72" s="16"/>
      <c r="VYH72" s="16"/>
      <c r="VYI72" s="16"/>
      <c r="VYJ72" s="16"/>
      <c r="VYK72" s="16"/>
      <c r="VYL72" s="16"/>
      <c r="VYM72" s="16"/>
      <c r="VYN72" s="16"/>
      <c r="VYO72" s="16"/>
      <c r="VYP72" s="16"/>
      <c r="VYQ72" s="16"/>
      <c r="VYR72" s="16"/>
      <c r="VYS72" s="16"/>
      <c r="VYT72" s="16"/>
      <c r="VYU72" s="16"/>
      <c r="VYV72" s="16"/>
      <c r="VYW72" s="16"/>
      <c r="VYX72" s="16"/>
      <c r="VYY72" s="16"/>
      <c r="VYZ72" s="16"/>
      <c r="VZA72" s="16"/>
      <c r="VZB72" s="16"/>
      <c r="VZC72" s="16"/>
      <c r="VZD72" s="16"/>
      <c r="VZE72" s="16"/>
      <c r="VZF72" s="16"/>
      <c r="VZG72" s="16"/>
      <c r="VZH72" s="16"/>
      <c r="VZI72" s="16"/>
      <c r="VZJ72" s="16"/>
      <c r="VZK72" s="16"/>
      <c r="VZL72" s="16"/>
      <c r="VZM72" s="16"/>
      <c r="VZN72" s="16"/>
      <c r="VZO72" s="16"/>
      <c r="VZP72" s="16"/>
      <c r="VZQ72" s="16"/>
      <c r="VZR72" s="16"/>
      <c r="VZS72" s="16"/>
      <c r="VZT72" s="16"/>
      <c r="VZU72" s="16"/>
      <c r="VZV72" s="16"/>
      <c r="VZW72" s="16"/>
      <c r="VZX72" s="16"/>
      <c r="VZY72" s="16"/>
      <c r="VZZ72" s="16"/>
      <c r="WAA72" s="16"/>
      <c r="WAB72" s="16"/>
      <c r="WAC72" s="16"/>
      <c r="WAD72" s="16"/>
      <c r="WAE72" s="16"/>
      <c r="WAF72" s="16"/>
      <c r="WAG72" s="16"/>
      <c r="WAH72" s="16"/>
      <c r="WAI72" s="16"/>
      <c r="WAJ72" s="16"/>
      <c r="WAK72" s="16"/>
      <c r="WAL72" s="16"/>
      <c r="WAM72" s="16"/>
      <c r="WAN72" s="16"/>
      <c r="WAO72" s="16"/>
      <c r="WAP72" s="16"/>
      <c r="WAQ72" s="16"/>
      <c r="WAR72" s="16"/>
      <c r="WAS72" s="16"/>
      <c r="WAT72" s="16"/>
      <c r="WAU72" s="16"/>
      <c r="WAV72" s="16"/>
      <c r="WAW72" s="16"/>
      <c r="WAX72" s="16"/>
      <c r="WAY72" s="16"/>
      <c r="WAZ72" s="16"/>
      <c r="WBA72" s="16"/>
      <c r="WBB72" s="16"/>
      <c r="WBC72" s="16"/>
      <c r="WBD72" s="16"/>
      <c r="WBE72" s="16"/>
      <c r="WBF72" s="16"/>
      <c r="WBG72" s="16"/>
      <c r="WBH72" s="16"/>
      <c r="WBI72" s="16"/>
      <c r="WBJ72" s="16"/>
      <c r="WBK72" s="16"/>
      <c r="WBL72" s="16"/>
      <c r="WBM72" s="16"/>
      <c r="WBN72" s="16"/>
      <c r="WBO72" s="16"/>
      <c r="WBP72" s="16"/>
      <c r="WBQ72" s="16"/>
      <c r="WBR72" s="16"/>
      <c r="WBS72" s="16"/>
      <c r="WBT72" s="16"/>
      <c r="WBU72" s="16"/>
      <c r="WBV72" s="16"/>
      <c r="WBW72" s="16"/>
      <c r="WBX72" s="16"/>
      <c r="WBY72" s="16"/>
      <c r="WBZ72" s="16"/>
      <c r="WCA72" s="16"/>
      <c r="WCB72" s="16"/>
      <c r="WCC72" s="16"/>
      <c r="WCD72" s="16"/>
      <c r="WCE72" s="16"/>
      <c r="WCF72" s="16"/>
      <c r="WCG72" s="16"/>
      <c r="WCH72" s="16"/>
      <c r="WCI72" s="16"/>
      <c r="WCJ72" s="16"/>
      <c r="WCK72" s="16"/>
      <c r="WCL72" s="16"/>
      <c r="WCM72" s="16"/>
      <c r="WCN72" s="16"/>
      <c r="WCO72" s="16"/>
      <c r="WCP72" s="16"/>
      <c r="WCQ72" s="16"/>
      <c r="WCR72" s="16"/>
      <c r="WCS72" s="16"/>
      <c r="WCT72" s="16"/>
      <c r="WCU72" s="16"/>
      <c r="WCV72" s="16"/>
      <c r="WCW72" s="16"/>
      <c r="WCX72" s="16"/>
      <c r="WCY72" s="16"/>
      <c r="WCZ72" s="16"/>
      <c r="WDA72" s="16"/>
      <c r="WDB72" s="16"/>
      <c r="WDC72" s="16"/>
      <c r="WDD72" s="16"/>
      <c r="WDE72" s="16"/>
      <c r="WDF72" s="16"/>
      <c r="WDG72" s="16"/>
      <c r="WDH72" s="16"/>
      <c r="WDI72" s="16"/>
      <c r="WDJ72" s="16"/>
      <c r="WDK72" s="16"/>
      <c r="WDL72" s="16"/>
      <c r="WDM72" s="16"/>
      <c r="WDN72" s="16"/>
      <c r="WDO72" s="16"/>
      <c r="WDP72" s="16"/>
      <c r="WDQ72" s="16"/>
      <c r="WDR72" s="16"/>
      <c r="WDS72" s="16"/>
      <c r="WDT72" s="16"/>
      <c r="WDU72" s="16"/>
      <c r="WDV72" s="16"/>
      <c r="WDW72" s="16"/>
      <c r="WDX72" s="16"/>
      <c r="WDY72" s="16"/>
      <c r="WDZ72" s="16"/>
      <c r="WEA72" s="16"/>
      <c r="WEB72" s="16"/>
      <c r="WEC72" s="16"/>
      <c r="WED72" s="16"/>
      <c r="WEE72" s="16"/>
      <c r="WEF72" s="16"/>
      <c r="WEG72" s="16"/>
      <c r="WEH72" s="16"/>
      <c r="WEI72" s="16"/>
      <c r="WEJ72" s="16"/>
      <c r="WEK72" s="16"/>
      <c r="WEL72" s="16"/>
      <c r="WEM72" s="16"/>
      <c r="WEN72" s="16"/>
      <c r="WEO72" s="16"/>
      <c r="WEP72" s="16"/>
      <c r="WEQ72" s="16"/>
      <c r="WER72" s="16"/>
      <c r="WES72" s="16"/>
      <c r="WET72" s="16"/>
      <c r="WEU72" s="16"/>
      <c r="WEV72" s="16"/>
      <c r="WEW72" s="16"/>
      <c r="WEX72" s="16"/>
      <c r="WEY72" s="16"/>
      <c r="WEZ72" s="16"/>
      <c r="WFA72" s="16"/>
      <c r="WFB72" s="16"/>
      <c r="WFC72" s="16"/>
      <c r="WFD72" s="16"/>
      <c r="WFE72" s="16"/>
      <c r="WFF72" s="16"/>
      <c r="WFG72" s="16"/>
      <c r="WFH72" s="16"/>
      <c r="WFI72" s="16"/>
      <c r="WFJ72" s="16"/>
      <c r="WFK72" s="16"/>
      <c r="WFL72" s="16"/>
      <c r="WFM72" s="16"/>
      <c r="WFN72" s="16"/>
      <c r="WFO72" s="16"/>
      <c r="WFP72" s="16"/>
      <c r="WFQ72" s="16"/>
      <c r="WFR72" s="16"/>
      <c r="WFS72" s="16"/>
      <c r="WFT72" s="16"/>
      <c r="WFU72" s="16"/>
      <c r="WFV72" s="16"/>
      <c r="WFW72" s="16"/>
      <c r="WFX72" s="16"/>
      <c r="WFY72" s="16"/>
      <c r="WFZ72" s="16"/>
      <c r="WGA72" s="16"/>
      <c r="WGB72" s="16"/>
      <c r="WGC72" s="16"/>
      <c r="WGD72" s="16"/>
      <c r="WGE72" s="16"/>
      <c r="WGF72" s="16"/>
      <c r="WGG72" s="16"/>
      <c r="WGH72" s="16"/>
      <c r="WGI72" s="16"/>
      <c r="WGJ72" s="16"/>
      <c r="WGK72" s="16"/>
      <c r="WGL72" s="16"/>
      <c r="WGM72" s="16"/>
      <c r="WGN72" s="16"/>
      <c r="WGO72" s="16"/>
      <c r="WGP72" s="16"/>
      <c r="WGQ72" s="16"/>
      <c r="WGR72" s="16"/>
      <c r="WGS72" s="16"/>
      <c r="WGT72" s="16"/>
      <c r="WGU72" s="16"/>
      <c r="WGV72" s="16"/>
      <c r="WGW72" s="16"/>
      <c r="WGX72" s="16"/>
      <c r="WGY72" s="16"/>
      <c r="WGZ72" s="16"/>
      <c r="WHA72" s="16"/>
      <c r="WHB72" s="16"/>
      <c r="WHC72" s="16"/>
      <c r="WHD72" s="16"/>
      <c r="WHE72" s="16"/>
      <c r="WHF72" s="16"/>
      <c r="WHG72" s="16"/>
      <c r="WHH72" s="16"/>
      <c r="WHI72" s="16"/>
      <c r="WHJ72" s="16"/>
      <c r="WHK72" s="16"/>
      <c r="WHL72" s="16"/>
      <c r="WHM72" s="16"/>
      <c r="WHN72" s="16"/>
      <c r="WHO72" s="16"/>
      <c r="WHP72" s="16"/>
      <c r="WHQ72" s="16"/>
      <c r="WHR72" s="16"/>
      <c r="WHS72" s="16"/>
      <c r="WHT72" s="16"/>
      <c r="WHU72" s="16"/>
      <c r="WHV72" s="16"/>
      <c r="WHW72" s="16"/>
      <c r="WHX72" s="16"/>
      <c r="WHY72" s="16"/>
      <c r="WHZ72" s="16"/>
      <c r="WIA72" s="16"/>
      <c r="WIB72" s="16"/>
      <c r="WIC72" s="16"/>
      <c r="WID72" s="16"/>
      <c r="WIE72" s="16"/>
      <c r="WIF72" s="16"/>
      <c r="WIG72" s="16"/>
      <c r="WIH72" s="16"/>
      <c r="WII72" s="16"/>
      <c r="WIJ72" s="16"/>
      <c r="WIK72" s="16"/>
      <c r="WIL72" s="16"/>
      <c r="WIM72" s="16"/>
      <c r="WIN72" s="16"/>
      <c r="WIO72" s="16"/>
      <c r="WIP72" s="16"/>
      <c r="WIQ72" s="16"/>
      <c r="WIR72" s="16"/>
      <c r="WIS72" s="16"/>
      <c r="WIT72" s="16"/>
      <c r="WIU72" s="16"/>
      <c r="WIV72" s="16"/>
      <c r="WIW72" s="16"/>
      <c r="WIX72" s="16"/>
      <c r="WIY72" s="16"/>
      <c r="WIZ72" s="16"/>
      <c r="WJA72" s="16"/>
      <c r="WJB72" s="16"/>
      <c r="WJC72" s="16"/>
      <c r="WJD72" s="16"/>
      <c r="WJE72" s="16"/>
      <c r="WJF72" s="16"/>
      <c r="WJG72" s="16"/>
      <c r="WJH72" s="16"/>
      <c r="WJI72" s="16"/>
      <c r="WJJ72" s="16"/>
      <c r="WJK72" s="16"/>
      <c r="WJL72" s="16"/>
      <c r="WJM72" s="16"/>
      <c r="WJN72" s="16"/>
      <c r="WJO72" s="16"/>
      <c r="WJP72" s="16"/>
      <c r="WJQ72" s="16"/>
      <c r="WJR72" s="16"/>
      <c r="WJS72" s="16"/>
      <c r="WJT72" s="16"/>
      <c r="WJU72" s="16"/>
      <c r="WJV72" s="16"/>
      <c r="WJW72" s="16"/>
      <c r="WJX72" s="16"/>
      <c r="WJY72" s="16"/>
      <c r="WJZ72" s="16"/>
      <c r="WKA72" s="16"/>
      <c r="WKB72" s="16"/>
      <c r="WKC72" s="16"/>
      <c r="WKD72" s="16"/>
      <c r="WKE72" s="16"/>
      <c r="WKF72" s="16"/>
      <c r="WKG72" s="16"/>
      <c r="WKH72" s="16"/>
      <c r="WKI72" s="16"/>
      <c r="WKJ72" s="16"/>
      <c r="WKK72" s="16"/>
      <c r="WKL72" s="16"/>
      <c r="WKM72" s="16"/>
      <c r="WKN72" s="16"/>
      <c r="WKO72" s="16"/>
      <c r="WKP72" s="16"/>
      <c r="WKQ72" s="16"/>
      <c r="WKR72" s="16"/>
      <c r="WKS72" s="16"/>
      <c r="WKT72" s="16"/>
      <c r="WKU72" s="16"/>
      <c r="WKV72" s="16"/>
      <c r="WKW72" s="16"/>
      <c r="WKX72" s="16"/>
      <c r="WKY72" s="16"/>
      <c r="WKZ72" s="16"/>
      <c r="WLA72" s="16"/>
      <c r="WLB72" s="16"/>
      <c r="WLC72" s="16"/>
      <c r="WLD72" s="16"/>
      <c r="WLE72" s="16"/>
      <c r="WLF72" s="16"/>
      <c r="WLG72" s="16"/>
      <c r="WLH72" s="16"/>
      <c r="WLI72" s="16"/>
      <c r="WLJ72" s="16"/>
      <c r="WLK72" s="16"/>
      <c r="WLL72" s="16"/>
      <c r="WLM72" s="16"/>
      <c r="WLN72" s="16"/>
      <c r="WLO72" s="16"/>
      <c r="WLP72" s="16"/>
      <c r="WLQ72" s="16"/>
      <c r="WLR72" s="16"/>
      <c r="WLS72" s="16"/>
      <c r="WLT72" s="16"/>
      <c r="WLU72" s="16"/>
      <c r="WLV72" s="16"/>
      <c r="WLW72" s="16"/>
      <c r="WLX72" s="16"/>
      <c r="WLY72" s="16"/>
      <c r="WLZ72" s="16"/>
      <c r="WMA72" s="16"/>
      <c r="WMB72" s="16"/>
      <c r="WMC72" s="16"/>
      <c r="WMD72" s="16"/>
      <c r="WME72" s="16"/>
      <c r="WMF72" s="16"/>
      <c r="WMG72" s="16"/>
      <c r="WMH72" s="16"/>
      <c r="WMI72" s="16"/>
      <c r="WMJ72" s="16"/>
      <c r="WMK72" s="16"/>
      <c r="WML72" s="16"/>
      <c r="WMM72" s="16"/>
      <c r="WMN72" s="16"/>
      <c r="WMO72" s="16"/>
      <c r="WMP72" s="16"/>
      <c r="WMQ72" s="16"/>
      <c r="WMR72" s="16"/>
      <c r="WMS72" s="16"/>
      <c r="WMT72" s="16"/>
      <c r="WMU72" s="16"/>
      <c r="WMV72" s="16"/>
      <c r="WMW72" s="16"/>
      <c r="WMX72" s="16"/>
      <c r="WMY72" s="16"/>
      <c r="WMZ72" s="16"/>
      <c r="WNA72" s="16"/>
      <c r="WNB72" s="16"/>
      <c r="WNC72" s="16"/>
      <c r="WND72" s="16"/>
      <c r="WNE72" s="16"/>
      <c r="WNF72" s="16"/>
      <c r="WNG72" s="16"/>
      <c r="WNH72" s="16"/>
      <c r="WNI72" s="16"/>
      <c r="WNJ72" s="16"/>
      <c r="WNK72" s="16"/>
      <c r="WNL72" s="16"/>
      <c r="WNM72" s="16"/>
      <c r="WNN72" s="16"/>
      <c r="WNO72" s="16"/>
      <c r="WNP72" s="16"/>
      <c r="WNQ72" s="16"/>
      <c r="WNR72" s="16"/>
      <c r="WNS72" s="16"/>
      <c r="WNT72" s="16"/>
      <c r="WNU72" s="16"/>
      <c r="WNV72" s="16"/>
      <c r="WNW72" s="16"/>
      <c r="WNX72" s="16"/>
      <c r="WNY72" s="16"/>
      <c r="WNZ72" s="16"/>
      <c r="WOA72" s="16"/>
      <c r="WOB72" s="16"/>
      <c r="WOC72" s="16"/>
      <c r="WOD72" s="16"/>
      <c r="WOE72" s="16"/>
      <c r="WOF72" s="16"/>
      <c r="WOG72" s="16"/>
      <c r="WOH72" s="16"/>
      <c r="WOI72" s="16"/>
      <c r="WOJ72" s="16"/>
      <c r="WOK72" s="16"/>
      <c r="WOL72" s="16"/>
      <c r="WOM72" s="16"/>
      <c r="WON72" s="16"/>
      <c r="WOO72" s="16"/>
      <c r="WOP72" s="16"/>
      <c r="WOQ72" s="16"/>
      <c r="WOR72" s="16"/>
      <c r="WOS72" s="16"/>
      <c r="WOT72" s="16"/>
      <c r="WOU72" s="16"/>
      <c r="WOV72" s="16"/>
      <c r="WOW72" s="16"/>
      <c r="WOX72" s="16"/>
      <c r="WOY72" s="16"/>
      <c r="WOZ72" s="16"/>
      <c r="WPA72" s="16"/>
      <c r="WPB72" s="16"/>
      <c r="WPC72" s="16"/>
      <c r="WPD72" s="16"/>
      <c r="WPE72" s="16"/>
      <c r="WPF72" s="16"/>
      <c r="WPG72" s="16"/>
      <c r="WPH72" s="16"/>
      <c r="WPI72" s="16"/>
      <c r="WPJ72" s="16"/>
      <c r="WPK72" s="16"/>
      <c r="WPL72" s="16"/>
      <c r="WPM72" s="16"/>
      <c r="WPN72" s="16"/>
      <c r="WPO72" s="16"/>
      <c r="WPP72" s="16"/>
      <c r="WPQ72" s="16"/>
      <c r="WPR72" s="16"/>
      <c r="WPS72" s="16"/>
      <c r="WPT72" s="16"/>
      <c r="WPU72" s="16"/>
      <c r="WPV72" s="16"/>
      <c r="WPW72" s="16"/>
      <c r="WPX72" s="16"/>
      <c r="WPY72" s="16"/>
      <c r="WPZ72" s="16"/>
      <c r="WQA72" s="16"/>
      <c r="WQB72" s="16"/>
      <c r="WQC72" s="16"/>
      <c r="WQD72" s="16"/>
      <c r="WQE72" s="16"/>
      <c r="WQF72" s="16"/>
      <c r="WQG72" s="16"/>
      <c r="WQH72" s="16"/>
      <c r="WQI72" s="16"/>
      <c r="WQJ72" s="16"/>
      <c r="WQK72" s="16"/>
      <c r="WQL72" s="16"/>
      <c r="WQM72" s="16"/>
      <c r="WQN72" s="16"/>
      <c r="WQO72" s="16"/>
      <c r="WQP72" s="16"/>
      <c r="WQQ72" s="16"/>
      <c r="WQR72" s="16"/>
      <c r="WQS72" s="16"/>
      <c r="WQT72" s="16"/>
      <c r="WQU72" s="16"/>
      <c r="WQV72" s="16"/>
      <c r="WQW72" s="16"/>
      <c r="WQX72" s="16"/>
      <c r="WQY72" s="16"/>
      <c r="WQZ72" s="16"/>
      <c r="WRA72" s="16"/>
      <c r="WRB72" s="16"/>
      <c r="WRC72" s="16"/>
      <c r="WRD72" s="16"/>
      <c r="WRE72" s="16"/>
      <c r="WRF72" s="16"/>
      <c r="WRG72" s="16"/>
      <c r="WRH72" s="16"/>
      <c r="WRI72" s="16"/>
      <c r="WRJ72" s="16"/>
      <c r="WRK72" s="16"/>
      <c r="WRL72" s="16"/>
      <c r="WRM72" s="16"/>
      <c r="WRN72" s="16"/>
      <c r="WRO72" s="16"/>
      <c r="WRP72" s="16"/>
      <c r="WRQ72" s="16"/>
      <c r="WRR72" s="16"/>
      <c r="WRS72" s="16"/>
      <c r="WRT72" s="16"/>
      <c r="WRU72" s="16"/>
      <c r="WRV72" s="16"/>
      <c r="WRW72" s="16"/>
      <c r="WRX72" s="16"/>
      <c r="WRY72" s="16"/>
      <c r="WRZ72" s="16"/>
      <c r="WSA72" s="16"/>
      <c r="WSB72" s="16"/>
      <c r="WSC72" s="16"/>
      <c r="WSD72" s="16"/>
      <c r="WSE72" s="16"/>
      <c r="WSF72" s="16"/>
      <c r="WSG72" s="16"/>
      <c r="WSH72" s="16"/>
      <c r="WSI72" s="16"/>
      <c r="WSJ72" s="16"/>
      <c r="WSK72" s="16"/>
      <c r="WSL72" s="16"/>
      <c r="WSM72" s="16"/>
      <c r="WSN72" s="16"/>
      <c r="WSO72" s="16"/>
      <c r="WSP72" s="16"/>
      <c r="WSQ72" s="16"/>
      <c r="WSR72" s="16"/>
      <c r="WSS72" s="16"/>
      <c r="WST72" s="16"/>
      <c r="WSU72" s="16"/>
      <c r="WSV72" s="16"/>
      <c r="WSW72" s="16"/>
      <c r="WSX72" s="16"/>
      <c r="WSY72" s="16"/>
      <c r="WSZ72" s="16"/>
      <c r="WTA72" s="16"/>
      <c r="WTB72" s="16"/>
      <c r="WTC72" s="16"/>
      <c r="WTD72" s="16"/>
      <c r="WTE72" s="16"/>
      <c r="WTF72" s="16"/>
      <c r="WTG72" s="16"/>
      <c r="WTH72" s="16"/>
      <c r="WTI72" s="16"/>
      <c r="WTJ72" s="16"/>
      <c r="WTK72" s="16"/>
      <c r="WTL72" s="16"/>
      <c r="WTM72" s="16"/>
      <c r="WTN72" s="16"/>
      <c r="WTO72" s="16"/>
      <c r="WTP72" s="16"/>
      <c r="WTQ72" s="16"/>
      <c r="WTR72" s="16"/>
      <c r="WTS72" s="16"/>
      <c r="WTT72" s="16"/>
      <c r="WTU72" s="16"/>
      <c r="WTV72" s="16"/>
      <c r="WTW72" s="16"/>
      <c r="WTX72" s="16"/>
      <c r="WTY72" s="16"/>
      <c r="WTZ72" s="16"/>
      <c r="WUA72" s="16"/>
      <c r="WUB72" s="16"/>
      <c r="WUC72" s="16"/>
      <c r="WUD72" s="16"/>
      <c r="WUE72" s="16"/>
      <c r="WUF72" s="16"/>
      <c r="WUG72" s="16"/>
      <c r="WUH72" s="16"/>
      <c r="WUI72" s="16"/>
      <c r="WUJ72" s="16"/>
      <c r="WUK72" s="16"/>
      <c r="WUL72" s="16"/>
      <c r="WUM72" s="16"/>
      <c r="WUN72" s="16"/>
      <c r="WUO72" s="16"/>
      <c r="WUP72" s="16"/>
      <c r="WUQ72" s="16"/>
      <c r="WUR72" s="16"/>
      <c r="WUS72" s="16"/>
      <c r="WUT72" s="16"/>
      <c r="WUU72" s="16"/>
      <c r="WUV72" s="16"/>
      <c r="WUW72" s="16"/>
      <c r="WUX72" s="16"/>
      <c r="WUY72" s="16"/>
      <c r="WUZ72" s="16"/>
      <c r="WVA72" s="16"/>
      <c r="WVB72" s="16"/>
      <c r="WVC72" s="16"/>
      <c r="WVD72" s="16"/>
      <c r="WVE72" s="16"/>
      <c r="WVF72" s="16"/>
      <c r="WVG72" s="16"/>
      <c r="WVH72" s="16"/>
      <c r="WVI72" s="16"/>
      <c r="WVJ72" s="16"/>
      <c r="WVK72" s="16"/>
      <c r="WVL72" s="16"/>
      <c r="WVM72" s="16"/>
      <c r="WVN72" s="16"/>
      <c r="WVO72" s="16"/>
      <c r="WVP72" s="16"/>
      <c r="WVQ72" s="16"/>
      <c r="WVR72" s="16"/>
      <c r="WVS72" s="16"/>
      <c r="WVT72" s="16"/>
      <c r="WVU72" s="16"/>
      <c r="WVV72" s="16"/>
      <c r="WVW72" s="16"/>
      <c r="WVX72" s="16"/>
      <c r="WVY72" s="16"/>
      <c r="WVZ72" s="16"/>
      <c r="WWA72" s="16"/>
      <c r="WWB72" s="16"/>
      <c r="WWC72" s="16"/>
      <c r="WWD72" s="16"/>
      <c r="WWE72" s="16"/>
      <c r="WWF72" s="16"/>
      <c r="WWG72" s="16"/>
      <c r="WWH72" s="16"/>
      <c r="WWI72" s="16"/>
      <c r="WWJ72" s="16"/>
    </row>
    <row r="73" spans="3:16156" x14ac:dyDescent="0.2">
      <c r="Y73" s="33">
        <v>112.92</v>
      </c>
      <c r="Z73" s="25">
        <f t="shared" si="5"/>
        <v>-924.04000000000008</v>
      </c>
    </row>
    <row r="74" spans="3:16156" x14ac:dyDescent="0.2">
      <c r="Y74" s="33">
        <v>180.57</v>
      </c>
      <c r="Z74" s="25">
        <f t="shared" si="5"/>
        <v>-743.47</v>
      </c>
    </row>
    <row r="75" spans="3:16156" x14ac:dyDescent="0.2">
      <c r="Y75" s="53">
        <f>SUM(Y71:Y74)</f>
        <v>566.53</v>
      </c>
    </row>
  </sheetData>
  <mergeCells count="1">
    <mergeCell ref="E6:F6"/>
  </mergeCells>
  <phoneticPr fontId="10" type="noConversion"/>
  <printOptions gridLines="1"/>
  <pageMargins left="0.5" right="0" top="0.75" bottom="0.5" header="0.3" footer="0.3"/>
  <pageSetup paperSize="8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D1DB6-5F7A-420C-A9EF-040FF5533184}">
  <dimension ref="A1:D13"/>
  <sheetViews>
    <sheetView workbookViewId="0">
      <selection activeCell="B17" sqref="B17"/>
    </sheetView>
  </sheetViews>
  <sheetFormatPr defaultRowHeight="12.75" x14ac:dyDescent="0.2"/>
  <sheetData>
    <row r="1" spans="1:4" x14ac:dyDescent="0.2">
      <c r="A1" t="s">
        <v>31</v>
      </c>
    </row>
    <row r="3" spans="1:4" x14ac:dyDescent="0.2">
      <c r="A3" t="s">
        <v>32</v>
      </c>
    </row>
    <row r="4" spans="1:4" x14ac:dyDescent="0.2">
      <c r="A4" t="s">
        <v>33</v>
      </c>
    </row>
    <row r="7" spans="1:4" x14ac:dyDescent="0.2">
      <c r="A7" t="s">
        <v>34</v>
      </c>
      <c r="C7" t="s">
        <v>35</v>
      </c>
      <c r="D7" t="s">
        <v>36</v>
      </c>
    </row>
    <row r="8" spans="1:4" x14ac:dyDescent="0.2">
      <c r="A8">
        <v>2021</v>
      </c>
      <c r="B8" t="s">
        <v>37</v>
      </c>
      <c r="C8">
        <v>1.3611</v>
      </c>
      <c r="D8">
        <v>21.04</v>
      </c>
    </row>
    <row r="9" spans="1:4" x14ac:dyDescent="0.2">
      <c r="B9" t="s">
        <v>38</v>
      </c>
      <c r="C9">
        <v>1.3444</v>
      </c>
      <c r="D9">
        <v>21.03</v>
      </c>
    </row>
    <row r="10" spans="1:4" x14ac:dyDescent="0.2">
      <c r="B10" t="s">
        <v>39</v>
      </c>
      <c r="C10">
        <v>1.3686</v>
      </c>
      <c r="D10">
        <v>21.48</v>
      </c>
    </row>
    <row r="12" spans="1:4" x14ac:dyDescent="0.2">
      <c r="A12" t="s">
        <v>40</v>
      </c>
    </row>
    <row r="13" spans="1:4" x14ac:dyDescent="0.2">
      <c r="A13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8AFDA-1004-4C17-8593-5057D5888ABA}">
  <dimension ref="A1:H19"/>
  <sheetViews>
    <sheetView workbookViewId="0">
      <selection activeCell="J18" sqref="J18"/>
    </sheetView>
  </sheetViews>
  <sheetFormatPr defaultRowHeight="12.75" x14ac:dyDescent="0.2"/>
  <cols>
    <col min="1" max="1" width="5.140625" customWidth="1"/>
    <col min="3" max="3" width="23" bestFit="1" customWidth="1"/>
    <col min="4" max="4" width="20.140625" customWidth="1"/>
    <col min="5" max="5" width="2.7109375" customWidth="1"/>
    <col min="6" max="6" width="10.28515625" bestFit="1" customWidth="1"/>
    <col min="7" max="7" width="2.7109375" customWidth="1"/>
    <col min="8" max="8" width="10.28515625" bestFit="1" customWidth="1"/>
  </cols>
  <sheetData>
    <row r="1" spans="1:8" x14ac:dyDescent="0.2">
      <c r="A1" s="17" t="s">
        <v>10</v>
      </c>
    </row>
    <row r="2" spans="1:8" x14ac:dyDescent="0.2">
      <c r="A2" s="43" t="s">
        <v>56</v>
      </c>
    </row>
    <row r="5" spans="1:8" x14ac:dyDescent="0.2">
      <c r="A5" s="43" t="s">
        <v>57</v>
      </c>
    </row>
    <row r="8" spans="1:8" s="16" customFormat="1" ht="14.1" customHeight="1" x14ac:dyDescent="0.2">
      <c r="A8" s="20"/>
      <c r="D8" s="18"/>
      <c r="E8" s="18"/>
      <c r="F8" s="44" t="s">
        <v>58</v>
      </c>
      <c r="G8" s="44"/>
      <c r="H8" s="44" t="s">
        <v>59</v>
      </c>
    </row>
    <row r="9" spans="1:8" s="16" customFormat="1" ht="14.1" customHeight="1" x14ac:dyDescent="0.2">
      <c r="A9" s="20"/>
      <c r="D9" s="18"/>
      <c r="E9" s="18"/>
      <c r="F9" s="18" t="s">
        <v>23</v>
      </c>
      <c r="G9" s="18"/>
      <c r="H9" s="18" t="s">
        <v>23</v>
      </c>
    </row>
    <row r="10" spans="1:8" s="16" customFormat="1" ht="14.1" customHeight="1" x14ac:dyDescent="0.2">
      <c r="A10" s="20"/>
      <c r="D10" s="18"/>
      <c r="E10" s="18"/>
    </row>
    <row r="11" spans="1:8" s="16" customFormat="1" ht="14.1" customHeight="1" x14ac:dyDescent="0.2">
      <c r="A11" s="45">
        <v>1</v>
      </c>
      <c r="B11" s="16" t="s">
        <v>66</v>
      </c>
      <c r="D11" s="18"/>
      <c r="E11" s="18"/>
      <c r="F11" s="46">
        <v>566.53</v>
      </c>
      <c r="G11" s="46"/>
      <c r="H11" s="46"/>
    </row>
    <row r="12" spans="1:8" s="16" customFormat="1" ht="14.1" customHeight="1" x14ac:dyDescent="0.2">
      <c r="A12" s="45"/>
      <c r="C12" s="16" t="s">
        <v>83</v>
      </c>
      <c r="D12" s="18"/>
      <c r="E12" s="18"/>
      <c r="F12" s="46"/>
      <c r="G12" s="46"/>
      <c r="H12" s="46">
        <f>F11</f>
        <v>566.53</v>
      </c>
    </row>
    <row r="13" spans="1:8" s="16" customFormat="1" ht="14.1" customHeight="1" x14ac:dyDescent="0.2">
      <c r="A13" s="45"/>
      <c r="D13" s="18"/>
      <c r="E13" s="18"/>
      <c r="F13" s="46"/>
      <c r="G13" s="46"/>
      <c r="H13" s="46"/>
    </row>
    <row r="14" spans="1:8" s="16" customFormat="1" ht="14.1" customHeight="1" x14ac:dyDescent="0.2">
      <c r="A14" s="45"/>
      <c r="B14" s="22" t="s">
        <v>71</v>
      </c>
      <c r="C14" s="22"/>
      <c r="D14" s="23"/>
      <c r="E14" s="18"/>
      <c r="F14" s="47"/>
      <c r="G14" s="47"/>
      <c r="H14" s="47"/>
    </row>
    <row r="15" spans="1:8" s="16" customFormat="1" ht="14.1" customHeight="1" x14ac:dyDescent="0.2">
      <c r="A15" s="45"/>
      <c r="D15" s="18"/>
      <c r="E15" s="18"/>
    </row>
    <row r="16" spans="1:8" s="16" customFormat="1" ht="14.1" customHeight="1" x14ac:dyDescent="0.2">
      <c r="A16" s="45">
        <v>2</v>
      </c>
      <c r="B16" s="16" t="s">
        <v>64</v>
      </c>
      <c r="D16" s="18"/>
      <c r="E16" s="18"/>
      <c r="F16" s="48">
        <v>216</v>
      </c>
      <c r="G16" s="48"/>
      <c r="H16" s="48"/>
    </row>
    <row r="17" spans="1:8" s="16" customFormat="1" ht="14.1" customHeight="1" x14ac:dyDescent="0.2">
      <c r="A17" s="45"/>
      <c r="C17" s="16" t="s">
        <v>85</v>
      </c>
      <c r="D17" s="18"/>
      <c r="E17" s="18"/>
      <c r="F17" s="48"/>
      <c r="G17" s="48"/>
      <c r="H17" s="48">
        <f>F16</f>
        <v>216</v>
      </c>
    </row>
    <row r="18" spans="1:8" s="16" customFormat="1" ht="14.1" customHeight="1" x14ac:dyDescent="0.2">
      <c r="A18" s="45"/>
      <c r="D18" s="18"/>
      <c r="E18" s="18"/>
      <c r="F18" s="48"/>
      <c r="G18" s="48"/>
      <c r="H18" s="48"/>
    </row>
    <row r="19" spans="1:8" s="16" customFormat="1" ht="14.1" customHeight="1" x14ac:dyDescent="0.2">
      <c r="A19" s="45"/>
      <c r="B19" s="22" t="s">
        <v>86</v>
      </c>
      <c r="C19" s="22"/>
      <c r="D19" s="49"/>
      <c r="E19" s="50"/>
      <c r="F19" s="50"/>
      <c r="G19" s="48"/>
      <c r="H19" s="48"/>
    </row>
  </sheetData>
  <pageMargins left="1" right="0.5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DB2BD-6A46-4194-B53C-DCA0AB51B947}">
  <dimension ref="A1:J25"/>
  <sheetViews>
    <sheetView workbookViewId="0">
      <selection activeCell="M22" sqref="M22"/>
    </sheetView>
  </sheetViews>
  <sheetFormatPr defaultRowHeight="14.25" x14ac:dyDescent="0.2"/>
  <cols>
    <col min="1" max="1" width="18.85546875" style="3" customWidth="1"/>
    <col min="2" max="2" width="2.28515625" style="3" customWidth="1"/>
    <col min="3" max="3" width="13.7109375" style="3" customWidth="1"/>
    <col min="4" max="4" width="14.28515625" style="3" customWidth="1"/>
    <col min="5" max="5" width="2.85546875" style="3" customWidth="1"/>
    <col min="6" max="6" width="12.42578125" style="3" customWidth="1"/>
    <col min="7" max="7" width="11.5703125" style="3" customWidth="1"/>
    <col min="8" max="8" width="12.85546875" style="3" customWidth="1"/>
    <col min="9" max="9" width="11" style="3" customWidth="1"/>
    <col min="10" max="10" width="6.5703125" style="3" bestFit="1" customWidth="1"/>
    <col min="11" max="256" width="9.140625" style="3"/>
    <col min="257" max="257" width="2.5703125" style="3" bestFit="1" customWidth="1"/>
    <col min="258" max="258" width="11.42578125" style="3" customWidth="1"/>
    <col min="259" max="259" width="11.5703125" style="3" customWidth="1"/>
    <col min="260" max="260" width="14.28515625" style="3" customWidth="1"/>
    <col min="261" max="261" width="12.42578125" style="3" customWidth="1"/>
    <col min="262" max="262" width="11.5703125" style="3" customWidth="1"/>
    <col min="263" max="263" width="11" style="3" customWidth="1"/>
    <col min="264" max="264" width="11.140625" style="3" customWidth="1"/>
    <col min="265" max="265" width="11" style="3" customWidth="1"/>
    <col min="266" max="266" width="6.5703125" style="3" bestFit="1" customWidth="1"/>
    <col min="267" max="512" width="9.140625" style="3"/>
    <col min="513" max="513" width="2.5703125" style="3" bestFit="1" customWidth="1"/>
    <col min="514" max="514" width="11.42578125" style="3" customWidth="1"/>
    <col min="515" max="515" width="11.5703125" style="3" customWidth="1"/>
    <col min="516" max="516" width="14.28515625" style="3" customWidth="1"/>
    <col min="517" max="517" width="12.42578125" style="3" customWidth="1"/>
    <col min="518" max="518" width="11.5703125" style="3" customWidth="1"/>
    <col min="519" max="519" width="11" style="3" customWidth="1"/>
    <col min="520" max="520" width="11.140625" style="3" customWidth="1"/>
    <col min="521" max="521" width="11" style="3" customWidth="1"/>
    <col min="522" max="522" width="6.5703125" style="3" bestFit="1" customWidth="1"/>
    <col min="523" max="768" width="9.140625" style="3"/>
    <col min="769" max="769" width="2.5703125" style="3" bestFit="1" customWidth="1"/>
    <col min="770" max="770" width="11.42578125" style="3" customWidth="1"/>
    <col min="771" max="771" width="11.5703125" style="3" customWidth="1"/>
    <col min="772" max="772" width="14.28515625" style="3" customWidth="1"/>
    <col min="773" max="773" width="12.42578125" style="3" customWidth="1"/>
    <col min="774" max="774" width="11.5703125" style="3" customWidth="1"/>
    <col min="775" max="775" width="11" style="3" customWidth="1"/>
    <col min="776" max="776" width="11.140625" style="3" customWidth="1"/>
    <col min="777" max="777" width="11" style="3" customWidth="1"/>
    <col min="778" max="778" width="6.5703125" style="3" bestFit="1" customWidth="1"/>
    <col min="779" max="1024" width="9.140625" style="3"/>
    <col min="1025" max="1025" width="2.5703125" style="3" bestFit="1" customWidth="1"/>
    <col min="1026" max="1026" width="11.42578125" style="3" customWidth="1"/>
    <col min="1027" max="1027" width="11.5703125" style="3" customWidth="1"/>
    <col min="1028" max="1028" width="14.28515625" style="3" customWidth="1"/>
    <col min="1029" max="1029" width="12.42578125" style="3" customWidth="1"/>
    <col min="1030" max="1030" width="11.5703125" style="3" customWidth="1"/>
    <col min="1031" max="1031" width="11" style="3" customWidth="1"/>
    <col min="1032" max="1032" width="11.140625" style="3" customWidth="1"/>
    <col min="1033" max="1033" width="11" style="3" customWidth="1"/>
    <col min="1034" max="1034" width="6.5703125" style="3" bestFit="1" customWidth="1"/>
    <col min="1035" max="1280" width="9.140625" style="3"/>
    <col min="1281" max="1281" width="2.5703125" style="3" bestFit="1" customWidth="1"/>
    <col min="1282" max="1282" width="11.42578125" style="3" customWidth="1"/>
    <col min="1283" max="1283" width="11.5703125" style="3" customWidth="1"/>
    <col min="1284" max="1284" width="14.28515625" style="3" customWidth="1"/>
    <col min="1285" max="1285" width="12.42578125" style="3" customWidth="1"/>
    <col min="1286" max="1286" width="11.5703125" style="3" customWidth="1"/>
    <col min="1287" max="1287" width="11" style="3" customWidth="1"/>
    <col min="1288" max="1288" width="11.140625" style="3" customWidth="1"/>
    <col min="1289" max="1289" width="11" style="3" customWidth="1"/>
    <col min="1290" max="1290" width="6.5703125" style="3" bestFit="1" customWidth="1"/>
    <col min="1291" max="1536" width="9.140625" style="3"/>
    <col min="1537" max="1537" width="2.5703125" style="3" bestFit="1" customWidth="1"/>
    <col min="1538" max="1538" width="11.42578125" style="3" customWidth="1"/>
    <col min="1539" max="1539" width="11.5703125" style="3" customWidth="1"/>
    <col min="1540" max="1540" width="14.28515625" style="3" customWidth="1"/>
    <col min="1541" max="1541" width="12.42578125" style="3" customWidth="1"/>
    <col min="1542" max="1542" width="11.5703125" style="3" customWidth="1"/>
    <col min="1543" max="1543" width="11" style="3" customWidth="1"/>
    <col min="1544" max="1544" width="11.140625" style="3" customWidth="1"/>
    <col min="1545" max="1545" width="11" style="3" customWidth="1"/>
    <col min="1546" max="1546" width="6.5703125" style="3" bestFit="1" customWidth="1"/>
    <col min="1547" max="1792" width="9.140625" style="3"/>
    <col min="1793" max="1793" width="2.5703125" style="3" bestFit="1" customWidth="1"/>
    <col min="1794" max="1794" width="11.42578125" style="3" customWidth="1"/>
    <col min="1795" max="1795" width="11.5703125" style="3" customWidth="1"/>
    <col min="1796" max="1796" width="14.28515625" style="3" customWidth="1"/>
    <col min="1797" max="1797" width="12.42578125" style="3" customWidth="1"/>
    <col min="1798" max="1798" width="11.5703125" style="3" customWidth="1"/>
    <col min="1799" max="1799" width="11" style="3" customWidth="1"/>
    <col min="1800" max="1800" width="11.140625" style="3" customWidth="1"/>
    <col min="1801" max="1801" width="11" style="3" customWidth="1"/>
    <col min="1802" max="1802" width="6.5703125" style="3" bestFit="1" customWidth="1"/>
    <col min="1803" max="2048" width="9.140625" style="3"/>
    <col min="2049" max="2049" width="2.5703125" style="3" bestFit="1" customWidth="1"/>
    <col min="2050" max="2050" width="11.42578125" style="3" customWidth="1"/>
    <col min="2051" max="2051" width="11.5703125" style="3" customWidth="1"/>
    <col min="2052" max="2052" width="14.28515625" style="3" customWidth="1"/>
    <col min="2053" max="2053" width="12.42578125" style="3" customWidth="1"/>
    <col min="2054" max="2054" width="11.5703125" style="3" customWidth="1"/>
    <col min="2055" max="2055" width="11" style="3" customWidth="1"/>
    <col min="2056" max="2056" width="11.140625" style="3" customWidth="1"/>
    <col min="2057" max="2057" width="11" style="3" customWidth="1"/>
    <col min="2058" max="2058" width="6.5703125" style="3" bestFit="1" customWidth="1"/>
    <col min="2059" max="2304" width="9.140625" style="3"/>
    <col min="2305" max="2305" width="2.5703125" style="3" bestFit="1" customWidth="1"/>
    <col min="2306" max="2306" width="11.42578125" style="3" customWidth="1"/>
    <col min="2307" max="2307" width="11.5703125" style="3" customWidth="1"/>
    <col min="2308" max="2308" width="14.28515625" style="3" customWidth="1"/>
    <col min="2309" max="2309" width="12.42578125" style="3" customWidth="1"/>
    <col min="2310" max="2310" width="11.5703125" style="3" customWidth="1"/>
    <col min="2311" max="2311" width="11" style="3" customWidth="1"/>
    <col min="2312" max="2312" width="11.140625" style="3" customWidth="1"/>
    <col min="2313" max="2313" width="11" style="3" customWidth="1"/>
    <col min="2314" max="2314" width="6.5703125" style="3" bestFit="1" customWidth="1"/>
    <col min="2315" max="2560" width="9.140625" style="3"/>
    <col min="2561" max="2561" width="2.5703125" style="3" bestFit="1" customWidth="1"/>
    <col min="2562" max="2562" width="11.42578125" style="3" customWidth="1"/>
    <col min="2563" max="2563" width="11.5703125" style="3" customWidth="1"/>
    <col min="2564" max="2564" width="14.28515625" style="3" customWidth="1"/>
    <col min="2565" max="2565" width="12.42578125" style="3" customWidth="1"/>
    <col min="2566" max="2566" width="11.5703125" style="3" customWidth="1"/>
    <col min="2567" max="2567" width="11" style="3" customWidth="1"/>
    <col min="2568" max="2568" width="11.140625" style="3" customWidth="1"/>
    <col min="2569" max="2569" width="11" style="3" customWidth="1"/>
    <col min="2570" max="2570" width="6.5703125" style="3" bestFit="1" customWidth="1"/>
    <col min="2571" max="2816" width="9.140625" style="3"/>
    <col min="2817" max="2817" width="2.5703125" style="3" bestFit="1" customWidth="1"/>
    <col min="2818" max="2818" width="11.42578125" style="3" customWidth="1"/>
    <col min="2819" max="2819" width="11.5703125" style="3" customWidth="1"/>
    <col min="2820" max="2820" width="14.28515625" style="3" customWidth="1"/>
    <col min="2821" max="2821" width="12.42578125" style="3" customWidth="1"/>
    <col min="2822" max="2822" width="11.5703125" style="3" customWidth="1"/>
    <col min="2823" max="2823" width="11" style="3" customWidth="1"/>
    <col min="2824" max="2824" width="11.140625" style="3" customWidth="1"/>
    <col min="2825" max="2825" width="11" style="3" customWidth="1"/>
    <col min="2826" max="2826" width="6.5703125" style="3" bestFit="1" customWidth="1"/>
    <col min="2827" max="3072" width="9.140625" style="3"/>
    <col min="3073" max="3073" width="2.5703125" style="3" bestFit="1" customWidth="1"/>
    <col min="3074" max="3074" width="11.42578125" style="3" customWidth="1"/>
    <col min="3075" max="3075" width="11.5703125" style="3" customWidth="1"/>
    <col min="3076" max="3076" width="14.28515625" style="3" customWidth="1"/>
    <col min="3077" max="3077" width="12.42578125" style="3" customWidth="1"/>
    <col min="3078" max="3078" width="11.5703125" style="3" customWidth="1"/>
    <col min="3079" max="3079" width="11" style="3" customWidth="1"/>
    <col min="3080" max="3080" width="11.140625" style="3" customWidth="1"/>
    <col min="3081" max="3081" width="11" style="3" customWidth="1"/>
    <col min="3082" max="3082" width="6.5703125" style="3" bestFit="1" customWidth="1"/>
    <col min="3083" max="3328" width="9.140625" style="3"/>
    <col min="3329" max="3329" width="2.5703125" style="3" bestFit="1" customWidth="1"/>
    <col min="3330" max="3330" width="11.42578125" style="3" customWidth="1"/>
    <col min="3331" max="3331" width="11.5703125" style="3" customWidth="1"/>
    <col min="3332" max="3332" width="14.28515625" style="3" customWidth="1"/>
    <col min="3333" max="3333" width="12.42578125" style="3" customWidth="1"/>
    <col min="3334" max="3334" width="11.5703125" style="3" customWidth="1"/>
    <col min="3335" max="3335" width="11" style="3" customWidth="1"/>
    <col min="3336" max="3336" width="11.140625" style="3" customWidth="1"/>
    <col min="3337" max="3337" width="11" style="3" customWidth="1"/>
    <col min="3338" max="3338" width="6.5703125" style="3" bestFit="1" customWidth="1"/>
    <col min="3339" max="3584" width="9.140625" style="3"/>
    <col min="3585" max="3585" width="2.5703125" style="3" bestFit="1" customWidth="1"/>
    <col min="3586" max="3586" width="11.42578125" style="3" customWidth="1"/>
    <col min="3587" max="3587" width="11.5703125" style="3" customWidth="1"/>
    <col min="3588" max="3588" width="14.28515625" style="3" customWidth="1"/>
    <col min="3589" max="3589" width="12.42578125" style="3" customWidth="1"/>
    <col min="3590" max="3590" width="11.5703125" style="3" customWidth="1"/>
    <col min="3591" max="3591" width="11" style="3" customWidth="1"/>
    <col min="3592" max="3592" width="11.140625" style="3" customWidth="1"/>
    <col min="3593" max="3593" width="11" style="3" customWidth="1"/>
    <col min="3594" max="3594" width="6.5703125" style="3" bestFit="1" customWidth="1"/>
    <col min="3595" max="3840" width="9.140625" style="3"/>
    <col min="3841" max="3841" width="2.5703125" style="3" bestFit="1" customWidth="1"/>
    <col min="3842" max="3842" width="11.42578125" style="3" customWidth="1"/>
    <col min="3843" max="3843" width="11.5703125" style="3" customWidth="1"/>
    <col min="3844" max="3844" width="14.28515625" style="3" customWidth="1"/>
    <col min="3845" max="3845" width="12.42578125" style="3" customWidth="1"/>
    <col min="3846" max="3846" width="11.5703125" style="3" customWidth="1"/>
    <col min="3847" max="3847" width="11" style="3" customWidth="1"/>
    <col min="3848" max="3848" width="11.140625" style="3" customWidth="1"/>
    <col min="3849" max="3849" width="11" style="3" customWidth="1"/>
    <col min="3850" max="3850" width="6.5703125" style="3" bestFit="1" customWidth="1"/>
    <col min="3851" max="4096" width="9.140625" style="3"/>
    <col min="4097" max="4097" width="2.5703125" style="3" bestFit="1" customWidth="1"/>
    <col min="4098" max="4098" width="11.42578125" style="3" customWidth="1"/>
    <col min="4099" max="4099" width="11.5703125" style="3" customWidth="1"/>
    <col min="4100" max="4100" width="14.28515625" style="3" customWidth="1"/>
    <col min="4101" max="4101" width="12.42578125" style="3" customWidth="1"/>
    <col min="4102" max="4102" width="11.5703125" style="3" customWidth="1"/>
    <col min="4103" max="4103" width="11" style="3" customWidth="1"/>
    <col min="4104" max="4104" width="11.140625" style="3" customWidth="1"/>
    <col min="4105" max="4105" width="11" style="3" customWidth="1"/>
    <col min="4106" max="4106" width="6.5703125" style="3" bestFit="1" customWidth="1"/>
    <col min="4107" max="4352" width="9.140625" style="3"/>
    <col min="4353" max="4353" width="2.5703125" style="3" bestFit="1" customWidth="1"/>
    <col min="4354" max="4354" width="11.42578125" style="3" customWidth="1"/>
    <col min="4355" max="4355" width="11.5703125" style="3" customWidth="1"/>
    <col min="4356" max="4356" width="14.28515625" style="3" customWidth="1"/>
    <col min="4357" max="4357" width="12.42578125" style="3" customWidth="1"/>
    <col min="4358" max="4358" width="11.5703125" style="3" customWidth="1"/>
    <col min="4359" max="4359" width="11" style="3" customWidth="1"/>
    <col min="4360" max="4360" width="11.140625" style="3" customWidth="1"/>
    <col min="4361" max="4361" width="11" style="3" customWidth="1"/>
    <col min="4362" max="4362" width="6.5703125" style="3" bestFit="1" customWidth="1"/>
    <col min="4363" max="4608" width="9.140625" style="3"/>
    <col min="4609" max="4609" width="2.5703125" style="3" bestFit="1" customWidth="1"/>
    <col min="4610" max="4610" width="11.42578125" style="3" customWidth="1"/>
    <col min="4611" max="4611" width="11.5703125" style="3" customWidth="1"/>
    <col min="4612" max="4612" width="14.28515625" style="3" customWidth="1"/>
    <col min="4613" max="4613" width="12.42578125" style="3" customWidth="1"/>
    <col min="4614" max="4614" width="11.5703125" style="3" customWidth="1"/>
    <col min="4615" max="4615" width="11" style="3" customWidth="1"/>
    <col min="4616" max="4616" width="11.140625" style="3" customWidth="1"/>
    <col min="4617" max="4617" width="11" style="3" customWidth="1"/>
    <col min="4618" max="4618" width="6.5703125" style="3" bestFit="1" customWidth="1"/>
    <col min="4619" max="4864" width="9.140625" style="3"/>
    <col min="4865" max="4865" width="2.5703125" style="3" bestFit="1" customWidth="1"/>
    <col min="4866" max="4866" width="11.42578125" style="3" customWidth="1"/>
    <col min="4867" max="4867" width="11.5703125" style="3" customWidth="1"/>
    <col min="4868" max="4868" width="14.28515625" style="3" customWidth="1"/>
    <col min="4869" max="4869" width="12.42578125" style="3" customWidth="1"/>
    <col min="4870" max="4870" width="11.5703125" style="3" customWidth="1"/>
    <col min="4871" max="4871" width="11" style="3" customWidth="1"/>
    <col min="4872" max="4872" width="11.140625" style="3" customWidth="1"/>
    <col min="4873" max="4873" width="11" style="3" customWidth="1"/>
    <col min="4874" max="4874" width="6.5703125" style="3" bestFit="1" customWidth="1"/>
    <col min="4875" max="5120" width="9.140625" style="3"/>
    <col min="5121" max="5121" width="2.5703125" style="3" bestFit="1" customWidth="1"/>
    <col min="5122" max="5122" width="11.42578125" style="3" customWidth="1"/>
    <col min="5123" max="5123" width="11.5703125" style="3" customWidth="1"/>
    <col min="5124" max="5124" width="14.28515625" style="3" customWidth="1"/>
    <col min="5125" max="5125" width="12.42578125" style="3" customWidth="1"/>
    <col min="5126" max="5126" width="11.5703125" style="3" customWidth="1"/>
    <col min="5127" max="5127" width="11" style="3" customWidth="1"/>
    <col min="5128" max="5128" width="11.140625" style="3" customWidth="1"/>
    <col min="5129" max="5129" width="11" style="3" customWidth="1"/>
    <col min="5130" max="5130" width="6.5703125" style="3" bestFit="1" customWidth="1"/>
    <col min="5131" max="5376" width="9.140625" style="3"/>
    <col min="5377" max="5377" width="2.5703125" style="3" bestFit="1" customWidth="1"/>
    <col min="5378" max="5378" width="11.42578125" style="3" customWidth="1"/>
    <col min="5379" max="5379" width="11.5703125" style="3" customWidth="1"/>
    <col min="5380" max="5380" width="14.28515625" style="3" customWidth="1"/>
    <col min="5381" max="5381" width="12.42578125" style="3" customWidth="1"/>
    <col min="5382" max="5382" width="11.5703125" style="3" customWidth="1"/>
    <col min="5383" max="5383" width="11" style="3" customWidth="1"/>
    <col min="5384" max="5384" width="11.140625" style="3" customWidth="1"/>
    <col min="5385" max="5385" width="11" style="3" customWidth="1"/>
    <col min="5386" max="5386" width="6.5703125" style="3" bestFit="1" customWidth="1"/>
    <col min="5387" max="5632" width="9.140625" style="3"/>
    <col min="5633" max="5633" width="2.5703125" style="3" bestFit="1" customWidth="1"/>
    <col min="5634" max="5634" width="11.42578125" style="3" customWidth="1"/>
    <col min="5635" max="5635" width="11.5703125" style="3" customWidth="1"/>
    <col min="5636" max="5636" width="14.28515625" style="3" customWidth="1"/>
    <col min="5637" max="5637" width="12.42578125" style="3" customWidth="1"/>
    <col min="5638" max="5638" width="11.5703125" style="3" customWidth="1"/>
    <col min="5639" max="5639" width="11" style="3" customWidth="1"/>
    <col min="5640" max="5640" width="11.140625" style="3" customWidth="1"/>
    <col min="5641" max="5641" width="11" style="3" customWidth="1"/>
    <col min="5642" max="5642" width="6.5703125" style="3" bestFit="1" customWidth="1"/>
    <col min="5643" max="5888" width="9.140625" style="3"/>
    <col min="5889" max="5889" width="2.5703125" style="3" bestFit="1" customWidth="1"/>
    <col min="5890" max="5890" width="11.42578125" style="3" customWidth="1"/>
    <col min="5891" max="5891" width="11.5703125" style="3" customWidth="1"/>
    <col min="5892" max="5892" width="14.28515625" style="3" customWidth="1"/>
    <col min="5893" max="5893" width="12.42578125" style="3" customWidth="1"/>
    <col min="5894" max="5894" width="11.5703125" style="3" customWidth="1"/>
    <col min="5895" max="5895" width="11" style="3" customWidth="1"/>
    <col min="5896" max="5896" width="11.140625" style="3" customWidth="1"/>
    <col min="5897" max="5897" width="11" style="3" customWidth="1"/>
    <col min="5898" max="5898" width="6.5703125" style="3" bestFit="1" customWidth="1"/>
    <col min="5899" max="6144" width="9.140625" style="3"/>
    <col min="6145" max="6145" width="2.5703125" style="3" bestFit="1" customWidth="1"/>
    <col min="6146" max="6146" width="11.42578125" style="3" customWidth="1"/>
    <col min="6147" max="6147" width="11.5703125" style="3" customWidth="1"/>
    <col min="6148" max="6148" width="14.28515625" style="3" customWidth="1"/>
    <col min="6149" max="6149" width="12.42578125" style="3" customWidth="1"/>
    <col min="6150" max="6150" width="11.5703125" style="3" customWidth="1"/>
    <col min="6151" max="6151" width="11" style="3" customWidth="1"/>
    <col min="6152" max="6152" width="11.140625" style="3" customWidth="1"/>
    <col min="6153" max="6153" width="11" style="3" customWidth="1"/>
    <col min="6154" max="6154" width="6.5703125" style="3" bestFit="1" customWidth="1"/>
    <col min="6155" max="6400" width="9.140625" style="3"/>
    <col min="6401" max="6401" width="2.5703125" style="3" bestFit="1" customWidth="1"/>
    <col min="6402" max="6402" width="11.42578125" style="3" customWidth="1"/>
    <col min="6403" max="6403" width="11.5703125" style="3" customWidth="1"/>
    <col min="6404" max="6404" width="14.28515625" style="3" customWidth="1"/>
    <col min="6405" max="6405" width="12.42578125" style="3" customWidth="1"/>
    <col min="6406" max="6406" width="11.5703125" style="3" customWidth="1"/>
    <col min="6407" max="6407" width="11" style="3" customWidth="1"/>
    <col min="6408" max="6408" width="11.140625" style="3" customWidth="1"/>
    <col min="6409" max="6409" width="11" style="3" customWidth="1"/>
    <col min="6410" max="6410" width="6.5703125" style="3" bestFit="1" customWidth="1"/>
    <col min="6411" max="6656" width="9.140625" style="3"/>
    <col min="6657" max="6657" width="2.5703125" style="3" bestFit="1" customWidth="1"/>
    <col min="6658" max="6658" width="11.42578125" style="3" customWidth="1"/>
    <col min="6659" max="6659" width="11.5703125" style="3" customWidth="1"/>
    <col min="6660" max="6660" width="14.28515625" style="3" customWidth="1"/>
    <col min="6661" max="6661" width="12.42578125" style="3" customWidth="1"/>
    <col min="6662" max="6662" width="11.5703125" style="3" customWidth="1"/>
    <col min="6663" max="6663" width="11" style="3" customWidth="1"/>
    <col min="6664" max="6664" width="11.140625" style="3" customWidth="1"/>
    <col min="6665" max="6665" width="11" style="3" customWidth="1"/>
    <col min="6666" max="6666" width="6.5703125" style="3" bestFit="1" customWidth="1"/>
    <col min="6667" max="6912" width="9.140625" style="3"/>
    <col min="6913" max="6913" width="2.5703125" style="3" bestFit="1" customWidth="1"/>
    <col min="6914" max="6914" width="11.42578125" style="3" customWidth="1"/>
    <col min="6915" max="6915" width="11.5703125" style="3" customWidth="1"/>
    <col min="6916" max="6916" width="14.28515625" style="3" customWidth="1"/>
    <col min="6917" max="6917" width="12.42578125" style="3" customWidth="1"/>
    <col min="6918" max="6918" width="11.5703125" style="3" customWidth="1"/>
    <col min="6919" max="6919" width="11" style="3" customWidth="1"/>
    <col min="6920" max="6920" width="11.140625" style="3" customWidth="1"/>
    <col min="6921" max="6921" width="11" style="3" customWidth="1"/>
    <col min="6922" max="6922" width="6.5703125" style="3" bestFit="1" customWidth="1"/>
    <col min="6923" max="7168" width="9.140625" style="3"/>
    <col min="7169" max="7169" width="2.5703125" style="3" bestFit="1" customWidth="1"/>
    <col min="7170" max="7170" width="11.42578125" style="3" customWidth="1"/>
    <col min="7171" max="7171" width="11.5703125" style="3" customWidth="1"/>
    <col min="7172" max="7172" width="14.28515625" style="3" customWidth="1"/>
    <col min="7173" max="7173" width="12.42578125" style="3" customWidth="1"/>
    <col min="7174" max="7174" width="11.5703125" style="3" customWidth="1"/>
    <col min="7175" max="7175" width="11" style="3" customWidth="1"/>
    <col min="7176" max="7176" width="11.140625" style="3" customWidth="1"/>
    <col min="7177" max="7177" width="11" style="3" customWidth="1"/>
    <col min="7178" max="7178" width="6.5703125" style="3" bestFit="1" customWidth="1"/>
    <col min="7179" max="7424" width="9.140625" style="3"/>
    <col min="7425" max="7425" width="2.5703125" style="3" bestFit="1" customWidth="1"/>
    <col min="7426" max="7426" width="11.42578125" style="3" customWidth="1"/>
    <col min="7427" max="7427" width="11.5703125" style="3" customWidth="1"/>
    <col min="7428" max="7428" width="14.28515625" style="3" customWidth="1"/>
    <col min="7429" max="7429" width="12.42578125" style="3" customWidth="1"/>
    <col min="7430" max="7430" width="11.5703125" style="3" customWidth="1"/>
    <col min="7431" max="7431" width="11" style="3" customWidth="1"/>
    <col min="7432" max="7432" width="11.140625" style="3" customWidth="1"/>
    <col min="7433" max="7433" width="11" style="3" customWidth="1"/>
    <col min="7434" max="7434" width="6.5703125" style="3" bestFit="1" customWidth="1"/>
    <col min="7435" max="7680" width="9.140625" style="3"/>
    <col min="7681" max="7681" width="2.5703125" style="3" bestFit="1" customWidth="1"/>
    <col min="7682" max="7682" width="11.42578125" style="3" customWidth="1"/>
    <col min="7683" max="7683" width="11.5703125" style="3" customWidth="1"/>
    <col min="7684" max="7684" width="14.28515625" style="3" customWidth="1"/>
    <col min="7685" max="7685" width="12.42578125" style="3" customWidth="1"/>
    <col min="7686" max="7686" width="11.5703125" style="3" customWidth="1"/>
    <col min="7687" max="7687" width="11" style="3" customWidth="1"/>
    <col min="7688" max="7688" width="11.140625" style="3" customWidth="1"/>
    <col min="7689" max="7689" width="11" style="3" customWidth="1"/>
    <col min="7690" max="7690" width="6.5703125" style="3" bestFit="1" customWidth="1"/>
    <col min="7691" max="7936" width="9.140625" style="3"/>
    <col min="7937" max="7937" width="2.5703125" style="3" bestFit="1" customWidth="1"/>
    <col min="7938" max="7938" width="11.42578125" style="3" customWidth="1"/>
    <col min="7939" max="7939" width="11.5703125" style="3" customWidth="1"/>
    <col min="7940" max="7940" width="14.28515625" style="3" customWidth="1"/>
    <col min="7941" max="7941" width="12.42578125" style="3" customWidth="1"/>
    <col min="7942" max="7942" width="11.5703125" style="3" customWidth="1"/>
    <col min="7943" max="7943" width="11" style="3" customWidth="1"/>
    <col min="7944" max="7944" width="11.140625" style="3" customWidth="1"/>
    <col min="7945" max="7945" width="11" style="3" customWidth="1"/>
    <col min="7946" max="7946" width="6.5703125" style="3" bestFit="1" customWidth="1"/>
    <col min="7947" max="8192" width="9.140625" style="3"/>
    <col min="8193" max="8193" width="2.5703125" style="3" bestFit="1" customWidth="1"/>
    <col min="8194" max="8194" width="11.42578125" style="3" customWidth="1"/>
    <col min="8195" max="8195" width="11.5703125" style="3" customWidth="1"/>
    <col min="8196" max="8196" width="14.28515625" style="3" customWidth="1"/>
    <col min="8197" max="8197" width="12.42578125" style="3" customWidth="1"/>
    <col min="8198" max="8198" width="11.5703125" style="3" customWidth="1"/>
    <col min="8199" max="8199" width="11" style="3" customWidth="1"/>
    <col min="8200" max="8200" width="11.140625" style="3" customWidth="1"/>
    <col min="8201" max="8201" width="11" style="3" customWidth="1"/>
    <col min="8202" max="8202" width="6.5703125" style="3" bestFit="1" customWidth="1"/>
    <col min="8203" max="8448" width="9.140625" style="3"/>
    <col min="8449" max="8449" width="2.5703125" style="3" bestFit="1" customWidth="1"/>
    <col min="8450" max="8450" width="11.42578125" style="3" customWidth="1"/>
    <col min="8451" max="8451" width="11.5703125" style="3" customWidth="1"/>
    <col min="8452" max="8452" width="14.28515625" style="3" customWidth="1"/>
    <col min="8453" max="8453" width="12.42578125" style="3" customWidth="1"/>
    <col min="8454" max="8454" width="11.5703125" style="3" customWidth="1"/>
    <col min="8455" max="8455" width="11" style="3" customWidth="1"/>
    <col min="8456" max="8456" width="11.140625" style="3" customWidth="1"/>
    <col min="8457" max="8457" width="11" style="3" customWidth="1"/>
    <col min="8458" max="8458" width="6.5703125" style="3" bestFit="1" customWidth="1"/>
    <col min="8459" max="8704" width="9.140625" style="3"/>
    <col min="8705" max="8705" width="2.5703125" style="3" bestFit="1" customWidth="1"/>
    <col min="8706" max="8706" width="11.42578125" style="3" customWidth="1"/>
    <col min="8707" max="8707" width="11.5703125" style="3" customWidth="1"/>
    <col min="8708" max="8708" width="14.28515625" style="3" customWidth="1"/>
    <col min="8709" max="8709" width="12.42578125" style="3" customWidth="1"/>
    <col min="8710" max="8710" width="11.5703125" style="3" customWidth="1"/>
    <col min="8711" max="8711" width="11" style="3" customWidth="1"/>
    <col min="8712" max="8712" width="11.140625" style="3" customWidth="1"/>
    <col min="8713" max="8713" width="11" style="3" customWidth="1"/>
    <col min="8714" max="8714" width="6.5703125" style="3" bestFit="1" customWidth="1"/>
    <col min="8715" max="8960" width="9.140625" style="3"/>
    <col min="8961" max="8961" width="2.5703125" style="3" bestFit="1" customWidth="1"/>
    <col min="8962" max="8962" width="11.42578125" style="3" customWidth="1"/>
    <col min="8963" max="8963" width="11.5703125" style="3" customWidth="1"/>
    <col min="8964" max="8964" width="14.28515625" style="3" customWidth="1"/>
    <col min="8965" max="8965" width="12.42578125" style="3" customWidth="1"/>
    <col min="8966" max="8966" width="11.5703125" style="3" customWidth="1"/>
    <col min="8967" max="8967" width="11" style="3" customWidth="1"/>
    <col min="8968" max="8968" width="11.140625" style="3" customWidth="1"/>
    <col min="8969" max="8969" width="11" style="3" customWidth="1"/>
    <col min="8970" max="8970" width="6.5703125" style="3" bestFit="1" customWidth="1"/>
    <col min="8971" max="9216" width="9.140625" style="3"/>
    <col min="9217" max="9217" width="2.5703125" style="3" bestFit="1" customWidth="1"/>
    <col min="9218" max="9218" width="11.42578125" style="3" customWidth="1"/>
    <col min="9219" max="9219" width="11.5703125" style="3" customWidth="1"/>
    <col min="9220" max="9220" width="14.28515625" style="3" customWidth="1"/>
    <col min="9221" max="9221" width="12.42578125" style="3" customWidth="1"/>
    <col min="9222" max="9222" width="11.5703125" style="3" customWidth="1"/>
    <col min="9223" max="9223" width="11" style="3" customWidth="1"/>
    <col min="9224" max="9224" width="11.140625" style="3" customWidth="1"/>
    <col min="9225" max="9225" width="11" style="3" customWidth="1"/>
    <col min="9226" max="9226" width="6.5703125" style="3" bestFit="1" customWidth="1"/>
    <col min="9227" max="9472" width="9.140625" style="3"/>
    <col min="9473" max="9473" width="2.5703125" style="3" bestFit="1" customWidth="1"/>
    <col min="9474" max="9474" width="11.42578125" style="3" customWidth="1"/>
    <col min="9475" max="9475" width="11.5703125" style="3" customWidth="1"/>
    <col min="9476" max="9476" width="14.28515625" style="3" customWidth="1"/>
    <col min="9477" max="9477" width="12.42578125" style="3" customWidth="1"/>
    <col min="9478" max="9478" width="11.5703125" style="3" customWidth="1"/>
    <col min="9479" max="9479" width="11" style="3" customWidth="1"/>
    <col min="9480" max="9480" width="11.140625" style="3" customWidth="1"/>
    <col min="9481" max="9481" width="11" style="3" customWidth="1"/>
    <col min="9482" max="9482" width="6.5703125" style="3" bestFit="1" customWidth="1"/>
    <col min="9483" max="9728" width="9.140625" style="3"/>
    <col min="9729" max="9729" width="2.5703125" style="3" bestFit="1" customWidth="1"/>
    <col min="9730" max="9730" width="11.42578125" style="3" customWidth="1"/>
    <col min="9731" max="9731" width="11.5703125" style="3" customWidth="1"/>
    <col min="9732" max="9732" width="14.28515625" style="3" customWidth="1"/>
    <col min="9733" max="9733" width="12.42578125" style="3" customWidth="1"/>
    <col min="9734" max="9734" width="11.5703125" style="3" customWidth="1"/>
    <col min="9735" max="9735" width="11" style="3" customWidth="1"/>
    <col min="9736" max="9736" width="11.140625" style="3" customWidth="1"/>
    <col min="9737" max="9737" width="11" style="3" customWidth="1"/>
    <col min="9738" max="9738" width="6.5703125" style="3" bestFit="1" customWidth="1"/>
    <col min="9739" max="9984" width="9.140625" style="3"/>
    <col min="9985" max="9985" width="2.5703125" style="3" bestFit="1" customWidth="1"/>
    <col min="9986" max="9986" width="11.42578125" style="3" customWidth="1"/>
    <col min="9987" max="9987" width="11.5703125" style="3" customWidth="1"/>
    <col min="9988" max="9988" width="14.28515625" style="3" customWidth="1"/>
    <col min="9989" max="9989" width="12.42578125" style="3" customWidth="1"/>
    <col min="9990" max="9990" width="11.5703125" style="3" customWidth="1"/>
    <col min="9991" max="9991" width="11" style="3" customWidth="1"/>
    <col min="9992" max="9992" width="11.140625" style="3" customWidth="1"/>
    <col min="9993" max="9993" width="11" style="3" customWidth="1"/>
    <col min="9994" max="9994" width="6.5703125" style="3" bestFit="1" customWidth="1"/>
    <col min="9995" max="10240" width="9.140625" style="3"/>
    <col min="10241" max="10241" width="2.5703125" style="3" bestFit="1" customWidth="1"/>
    <col min="10242" max="10242" width="11.42578125" style="3" customWidth="1"/>
    <col min="10243" max="10243" width="11.5703125" style="3" customWidth="1"/>
    <col min="10244" max="10244" width="14.28515625" style="3" customWidth="1"/>
    <col min="10245" max="10245" width="12.42578125" style="3" customWidth="1"/>
    <col min="10246" max="10246" width="11.5703125" style="3" customWidth="1"/>
    <col min="10247" max="10247" width="11" style="3" customWidth="1"/>
    <col min="10248" max="10248" width="11.140625" style="3" customWidth="1"/>
    <col min="10249" max="10249" width="11" style="3" customWidth="1"/>
    <col min="10250" max="10250" width="6.5703125" style="3" bestFit="1" customWidth="1"/>
    <col min="10251" max="10496" width="9.140625" style="3"/>
    <col min="10497" max="10497" width="2.5703125" style="3" bestFit="1" customWidth="1"/>
    <col min="10498" max="10498" width="11.42578125" style="3" customWidth="1"/>
    <col min="10499" max="10499" width="11.5703125" style="3" customWidth="1"/>
    <col min="10500" max="10500" width="14.28515625" style="3" customWidth="1"/>
    <col min="10501" max="10501" width="12.42578125" style="3" customWidth="1"/>
    <col min="10502" max="10502" width="11.5703125" style="3" customWidth="1"/>
    <col min="10503" max="10503" width="11" style="3" customWidth="1"/>
    <col min="10504" max="10504" width="11.140625" style="3" customWidth="1"/>
    <col min="10505" max="10505" width="11" style="3" customWidth="1"/>
    <col min="10506" max="10506" width="6.5703125" style="3" bestFit="1" customWidth="1"/>
    <col min="10507" max="10752" width="9.140625" style="3"/>
    <col min="10753" max="10753" width="2.5703125" style="3" bestFit="1" customWidth="1"/>
    <col min="10754" max="10754" width="11.42578125" style="3" customWidth="1"/>
    <col min="10755" max="10755" width="11.5703125" style="3" customWidth="1"/>
    <col min="10756" max="10756" width="14.28515625" style="3" customWidth="1"/>
    <col min="10757" max="10757" width="12.42578125" style="3" customWidth="1"/>
    <col min="10758" max="10758" width="11.5703125" style="3" customWidth="1"/>
    <col min="10759" max="10759" width="11" style="3" customWidth="1"/>
    <col min="10760" max="10760" width="11.140625" style="3" customWidth="1"/>
    <col min="10761" max="10761" width="11" style="3" customWidth="1"/>
    <col min="10762" max="10762" width="6.5703125" style="3" bestFit="1" customWidth="1"/>
    <col min="10763" max="11008" width="9.140625" style="3"/>
    <col min="11009" max="11009" width="2.5703125" style="3" bestFit="1" customWidth="1"/>
    <col min="11010" max="11010" width="11.42578125" style="3" customWidth="1"/>
    <col min="11011" max="11011" width="11.5703125" style="3" customWidth="1"/>
    <col min="11012" max="11012" width="14.28515625" style="3" customWidth="1"/>
    <col min="11013" max="11013" width="12.42578125" style="3" customWidth="1"/>
    <col min="11014" max="11014" width="11.5703125" style="3" customWidth="1"/>
    <col min="11015" max="11015" width="11" style="3" customWidth="1"/>
    <col min="11016" max="11016" width="11.140625" style="3" customWidth="1"/>
    <col min="11017" max="11017" width="11" style="3" customWidth="1"/>
    <col min="11018" max="11018" width="6.5703125" style="3" bestFit="1" customWidth="1"/>
    <col min="11019" max="11264" width="9.140625" style="3"/>
    <col min="11265" max="11265" width="2.5703125" style="3" bestFit="1" customWidth="1"/>
    <col min="11266" max="11266" width="11.42578125" style="3" customWidth="1"/>
    <col min="11267" max="11267" width="11.5703125" style="3" customWidth="1"/>
    <col min="11268" max="11268" width="14.28515625" style="3" customWidth="1"/>
    <col min="11269" max="11269" width="12.42578125" style="3" customWidth="1"/>
    <col min="11270" max="11270" width="11.5703125" style="3" customWidth="1"/>
    <col min="11271" max="11271" width="11" style="3" customWidth="1"/>
    <col min="11272" max="11272" width="11.140625" style="3" customWidth="1"/>
    <col min="11273" max="11273" width="11" style="3" customWidth="1"/>
    <col min="11274" max="11274" width="6.5703125" style="3" bestFit="1" customWidth="1"/>
    <col min="11275" max="11520" width="9.140625" style="3"/>
    <col min="11521" max="11521" width="2.5703125" style="3" bestFit="1" customWidth="1"/>
    <col min="11522" max="11522" width="11.42578125" style="3" customWidth="1"/>
    <col min="11523" max="11523" width="11.5703125" style="3" customWidth="1"/>
    <col min="11524" max="11524" width="14.28515625" style="3" customWidth="1"/>
    <col min="11525" max="11525" width="12.42578125" style="3" customWidth="1"/>
    <col min="11526" max="11526" width="11.5703125" style="3" customWidth="1"/>
    <col min="11527" max="11527" width="11" style="3" customWidth="1"/>
    <col min="11528" max="11528" width="11.140625" style="3" customWidth="1"/>
    <col min="11529" max="11529" width="11" style="3" customWidth="1"/>
    <col min="11530" max="11530" width="6.5703125" style="3" bestFit="1" customWidth="1"/>
    <col min="11531" max="11776" width="9.140625" style="3"/>
    <col min="11777" max="11777" width="2.5703125" style="3" bestFit="1" customWidth="1"/>
    <col min="11778" max="11778" width="11.42578125" style="3" customWidth="1"/>
    <col min="11779" max="11779" width="11.5703125" style="3" customWidth="1"/>
    <col min="11780" max="11780" width="14.28515625" style="3" customWidth="1"/>
    <col min="11781" max="11781" width="12.42578125" style="3" customWidth="1"/>
    <col min="11782" max="11782" width="11.5703125" style="3" customWidth="1"/>
    <col min="11783" max="11783" width="11" style="3" customWidth="1"/>
    <col min="11784" max="11784" width="11.140625" style="3" customWidth="1"/>
    <col min="11785" max="11785" width="11" style="3" customWidth="1"/>
    <col min="11786" max="11786" width="6.5703125" style="3" bestFit="1" customWidth="1"/>
    <col min="11787" max="12032" width="9.140625" style="3"/>
    <col min="12033" max="12033" width="2.5703125" style="3" bestFit="1" customWidth="1"/>
    <col min="12034" max="12034" width="11.42578125" style="3" customWidth="1"/>
    <col min="12035" max="12035" width="11.5703125" style="3" customWidth="1"/>
    <col min="12036" max="12036" width="14.28515625" style="3" customWidth="1"/>
    <col min="12037" max="12037" width="12.42578125" style="3" customWidth="1"/>
    <col min="12038" max="12038" width="11.5703125" style="3" customWidth="1"/>
    <col min="12039" max="12039" width="11" style="3" customWidth="1"/>
    <col min="12040" max="12040" width="11.140625" style="3" customWidth="1"/>
    <col min="12041" max="12041" width="11" style="3" customWidth="1"/>
    <col min="12042" max="12042" width="6.5703125" style="3" bestFit="1" customWidth="1"/>
    <col min="12043" max="12288" width="9.140625" style="3"/>
    <col min="12289" max="12289" width="2.5703125" style="3" bestFit="1" customWidth="1"/>
    <col min="12290" max="12290" width="11.42578125" style="3" customWidth="1"/>
    <col min="12291" max="12291" width="11.5703125" style="3" customWidth="1"/>
    <col min="12292" max="12292" width="14.28515625" style="3" customWidth="1"/>
    <col min="12293" max="12293" width="12.42578125" style="3" customWidth="1"/>
    <col min="12294" max="12294" width="11.5703125" style="3" customWidth="1"/>
    <col min="12295" max="12295" width="11" style="3" customWidth="1"/>
    <col min="12296" max="12296" width="11.140625" style="3" customWidth="1"/>
    <col min="12297" max="12297" width="11" style="3" customWidth="1"/>
    <col min="12298" max="12298" width="6.5703125" style="3" bestFit="1" customWidth="1"/>
    <col min="12299" max="12544" width="9.140625" style="3"/>
    <col min="12545" max="12545" width="2.5703125" style="3" bestFit="1" customWidth="1"/>
    <col min="12546" max="12546" width="11.42578125" style="3" customWidth="1"/>
    <col min="12547" max="12547" width="11.5703125" style="3" customWidth="1"/>
    <col min="12548" max="12548" width="14.28515625" style="3" customWidth="1"/>
    <col min="12549" max="12549" width="12.42578125" style="3" customWidth="1"/>
    <col min="12550" max="12550" width="11.5703125" style="3" customWidth="1"/>
    <col min="12551" max="12551" width="11" style="3" customWidth="1"/>
    <col min="12552" max="12552" width="11.140625" style="3" customWidth="1"/>
    <col min="12553" max="12553" width="11" style="3" customWidth="1"/>
    <col min="12554" max="12554" width="6.5703125" style="3" bestFit="1" customWidth="1"/>
    <col min="12555" max="12800" width="9.140625" style="3"/>
    <col min="12801" max="12801" width="2.5703125" style="3" bestFit="1" customWidth="1"/>
    <col min="12802" max="12802" width="11.42578125" style="3" customWidth="1"/>
    <col min="12803" max="12803" width="11.5703125" style="3" customWidth="1"/>
    <col min="12804" max="12804" width="14.28515625" style="3" customWidth="1"/>
    <col min="12805" max="12805" width="12.42578125" style="3" customWidth="1"/>
    <col min="12806" max="12806" width="11.5703125" style="3" customWidth="1"/>
    <col min="12807" max="12807" width="11" style="3" customWidth="1"/>
    <col min="12808" max="12808" width="11.140625" style="3" customWidth="1"/>
    <col min="12809" max="12809" width="11" style="3" customWidth="1"/>
    <col min="12810" max="12810" width="6.5703125" style="3" bestFit="1" customWidth="1"/>
    <col min="12811" max="13056" width="9.140625" style="3"/>
    <col min="13057" max="13057" width="2.5703125" style="3" bestFit="1" customWidth="1"/>
    <col min="13058" max="13058" width="11.42578125" style="3" customWidth="1"/>
    <col min="13059" max="13059" width="11.5703125" style="3" customWidth="1"/>
    <col min="13060" max="13060" width="14.28515625" style="3" customWidth="1"/>
    <col min="13061" max="13061" width="12.42578125" style="3" customWidth="1"/>
    <col min="13062" max="13062" width="11.5703125" style="3" customWidth="1"/>
    <col min="13063" max="13063" width="11" style="3" customWidth="1"/>
    <col min="13064" max="13064" width="11.140625" style="3" customWidth="1"/>
    <col min="13065" max="13065" width="11" style="3" customWidth="1"/>
    <col min="13066" max="13066" width="6.5703125" style="3" bestFit="1" customWidth="1"/>
    <col min="13067" max="13312" width="9.140625" style="3"/>
    <col min="13313" max="13313" width="2.5703125" style="3" bestFit="1" customWidth="1"/>
    <col min="13314" max="13314" width="11.42578125" style="3" customWidth="1"/>
    <col min="13315" max="13315" width="11.5703125" style="3" customWidth="1"/>
    <col min="13316" max="13316" width="14.28515625" style="3" customWidth="1"/>
    <col min="13317" max="13317" width="12.42578125" style="3" customWidth="1"/>
    <col min="13318" max="13318" width="11.5703125" style="3" customWidth="1"/>
    <col min="13319" max="13319" width="11" style="3" customWidth="1"/>
    <col min="13320" max="13320" width="11.140625" style="3" customWidth="1"/>
    <col min="13321" max="13321" width="11" style="3" customWidth="1"/>
    <col min="13322" max="13322" width="6.5703125" style="3" bestFit="1" customWidth="1"/>
    <col min="13323" max="13568" width="9.140625" style="3"/>
    <col min="13569" max="13569" width="2.5703125" style="3" bestFit="1" customWidth="1"/>
    <col min="13570" max="13570" width="11.42578125" style="3" customWidth="1"/>
    <col min="13571" max="13571" width="11.5703125" style="3" customWidth="1"/>
    <col min="13572" max="13572" width="14.28515625" style="3" customWidth="1"/>
    <col min="13573" max="13573" width="12.42578125" style="3" customWidth="1"/>
    <col min="13574" max="13574" width="11.5703125" style="3" customWidth="1"/>
    <col min="13575" max="13575" width="11" style="3" customWidth="1"/>
    <col min="13576" max="13576" width="11.140625" style="3" customWidth="1"/>
    <col min="13577" max="13577" width="11" style="3" customWidth="1"/>
    <col min="13578" max="13578" width="6.5703125" style="3" bestFit="1" customWidth="1"/>
    <col min="13579" max="13824" width="9.140625" style="3"/>
    <col min="13825" max="13825" width="2.5703125" style="3" bestFit="1" customWidth="1"/>
    <col min="13826" max="13826" width="11.42578125" style="3" customWidth="1"/>
    <col min="13827" max="13827" width="11.5703125" style="3" customWidth="1"/>
    <col min="13828" max="13828" width="14.28515625" style="3" customWidth="1"/>
    <col min="13829" max="13829" width="12.42578125" style="3" customWidth="1"/>
    <col min="13830" max="13830" width="11.5703125" style="3" customWidth="1"/>
    <col min="13831" max="13831" width="11" style="3" customWidth="1"/>
    <col min="13832" max="13832" width="11.140625" style="3" customWidth="1"/>
    <col min="13833" max="13833" width="11" style="3" customWidth="1"/>
    <col min="13834" max="13834" width="6.5703125" style="3" bestFit="1" customWidth="1"/>
    <col min="13835" max="14080" width="9.140625" style="3"/>
    <col min="14081" max="14081" width="2.5703125" style="3" bestFit="1" customWidth="1"/>
    <col min="14082" max="14082" width="11.42578125" style="3" customWidth="1"/>
    <col min="14083" max="14083" width="11.5703125" style="3" customWidth="1"/>
    <col min="14084" max="14084" width="14.28515625" style="3" customWidth="1"/>
    <col min="14085" max="14085" width="12.42578125" style="3" customWidth="1"/>
    <col min="14086" max="14086" width="11.5703125" style="3" customWidth="1"/>
    <col min="14087" max="14087" width="11" style="3" customWidth="1"/>
    <col min="14088" max="14088" width="11.140625" style="3" customWidth="1"/>
    <col min="14089" max="14089" width="11" style="3" customWidth="1"/>
    <col min="14090" max="14090" width="6.5703125" style="3" bestFit="1" customWidth="1"/>
    <col min="14091" max="14336" width="9.140625" style="3"/>
    <col min="14337" max="14337" width="2.5703125" style="3" bestFit="1" customWidth="1"/>
    <col min="14338" max="14338" width="11.42578125" style="3" customWidth="1"/>
    <col min="14339" max="14339" width="11.5703125" style="3" customWidth="1"/>
    <col min="14340" max="14340" width="14.28515625" style="3" customWidth="1"/>
    <col min="14341" max="14341" width="12.42578125" style="3" customWidth="1"/>
    <col min="14342" max="14342" width="11.5703125" style="3" customWidth="1"/>
    <col min="14343" max="14343" width="11" style="3" customWidth="1"/>
    <col min="14344" max="14344" width="11.140625" style="3" customWidth="1"/>
    <col min="14345" max="14345" width="11" style="3" customWidth="1"/>
    <col min="14346" max="14346" width="6.5703125" style="3" bestFit="1" customWidth="1"/>
    <col min="14347" max="14592" width="9.140625" style="3"/>
    <col min="14593" max="14593" width="2.5703125" style="3" bestFit="1" customWidth="1"/>
    <col min="14594" max="14594" width="11.42578125" style="3" customWidth="1"/>
    <col min="14595" max="14595" width="11.5703125" style="3" customWidth="1"/>
    <col min="14596" max="14596" width="14.28515625" style="3" customWidth="1"/>
    <col min="14597" max="14597" width="12.42578125" style="3" customWidth="1"/>
    <col min="14598" max="14598" width="11.5703125" style="3" customWidth="1"/>
    <col min="14599" max="14599" width="11" style="3" customWidth="1"/>
    <col min="14600" max="14600" width="11.140625" style="3" customWidth="1"/>
    <col min="14601" max="14601" width="11" style="3" customWidth="1"/>
    <col min="14602" max="14602" width="6.5703125" style="3" bestFit="1" customWidth="1"/>
    <col min="14603" max="14848" width="9.140625" style="3"/>
    <col min="14849" max="14849" width="2.5703125" style="3" bestFit="1" customWidth="1"/>
    <col min="14850" max="14850" width="11.42578125" style="3" customWidth="1"/>
    <col min="14851" max="14851" width="11.5703125" style="3" customWidth="1"/>
    <col min="14852" max="14852" width="14.28515625" style="3" customWidth="1"/>
    <col min="14853" max="14853" width="12.42578125" style="3" customWidth="1"/>
    <col min="14854" max="14854" width="11.5703125" style="3" customWidth="1"/>
    <col min="14855" max="14855" width="11" style="3" customWidth="1"/>
    <col min="14856" max="14856" width="11.140625" style="3" customWidth="1"/>
    <col min="14857" max="14857" width="11" style="3" customWidth="1"/>
    <col min="14858" max="14858" width="6.5703125" style="3" bestFit="1" customWidth="1"/>
    <col min="14859" max="15104" width="9.140625" style="3"/>
    <col min="15105" max="15105" width="2.5703125" style="3" bestFit="1" customWidth="1"/>
    <col min="15106" max="15106" width="11.42578125" style="3" customWidth="1"/>
    <col min="15107" max="15107" width="11.5703125" style="3" customWidth="1"/>
    <col min="15108" max="15108" width="14.28515625" style="3" customWidth="1"/>
    <col min="15109" max="15109" width="12.42578125" style="3" customWidth="1"/>
    <col min="15110" max="15110" width="11.5703125" style="3" customWidth="1"/>
    <col min="15111" max="15111" width="11" style="3" customWidth="1"/>
    <col min="15112" max="15112" width="11.140625" style="3" customWidth="1"/>
    <col min="15113" max="15113" width="11" style="3" customWidth="1"/>
    <col min="15114" max="15114" width="6.5703125" style="3" bestFit="1" customWidth="1"/>
    <col min="15115" max="15360" width="9.140625" style="3"/>
    <col min="15361" max="15361" width="2.5703125" style="3" bestFit="1" customWidth="1"/>
    <col min="15362" max="15362" width="11.42578125" style="3" customWidth="1"/>
    <col min="15363" max="15363" width="11.5703125" style="3" customWidth="1"/>
    <col min="15364" max="15364" width="14.28515625" style="3" customWidth="1"/>
    <col min="15365" max="15365" width="12.42578125" style="3" customWidth="1"/>
    <col min="15366" max="15366" width="11.5703125" style="3" customWidth="1"/>
    <col min="15367" max="15367" width="11" style="3" customWidth="1"/>
    <col min="15368" max="15368" width="11.140625" style="3" customWidth="1"/>
    <col min="15369" max="15369" width="11" style="3" customWidth="1"/>
    <col min="15370" max="15370" width="6.5703125" style="3" bestFit="1" customWidth="1"/>
    <col min="15371" max="15616" width="9.140625" style="3"/>
    <col min="15617" max="15617" width="2.5703125" style="3" bestFit="1" customWidth="1"/>
    <col min="15618" max="15618" width="11.42578125" style="3" customWidth="1"/>
    <col min="15619" max="15619" width="11.5703125" style="3" customWidth="1"/>
    <col min="15620" max="15620" width="14.28515625" style="3" customWidth="1"/>
    <col min="15621" max="15621" width="12.42578125" style="3" customWidth="1"/>
    <col min="15622" max="15622" width="11.5703125" style="3" customWidth="1"/>
    <col min="15623" max="15623" width="11" style="3" customWidth="1"/>
    <col min="15624" max="15624" width="11.140625" style="3" customWidth="1"/>
    <col min="15625" max="15625" width="11" style="3" customWidth="1"/>
    <col min="15626" max="15626" width="6.5703125" style="3" bestFit="1" customWidth="1"/>
    <col min="15627" max="15872" width="9.140625" style="3"/>
    <col min="15873" max="15873" width="2.5703125" style="3" bestFit="1" customWidth="1"/>
    <col min="15874" max="15874" width="11.42578125" style="3" customWidth="1"/>
    <col min="15875" max="15875" width="11.5703125" style="3" customWidth="1"/>
    <col min="15876" max="15876" width="14.28515625" style="3" customWidth="1"/>
    <col min="15877" max="15877" width="12.42578125" style="3" customWidth="1"/>
    <col min="15878" max="15878" width="11.5703125" style="3" customWidth="1"/>
    <col min="15879" max="15879" width="11" style="3" customWidth="1"/>
    <col min="15880" max="15880" width="11.140625" style="3" customWidth="1"/>
    <col min="15881" max="15881" width="11" style="3" customWidth="1"/>
    <col min="15882" max="15882" width="6.5703125" style="3" bestFit="1" customWidth="1"/>
    <col min="15883" max="16128" width="9.140625" style="3"/>
    <col min="16129" max="16129" width="2.5703125" style="3" bestFit="1" customWidth="1"/>
    <col min="16130" max="16130" width="11.42578125" style="3" customWidth="1"/>
    <col min="16131" max="16131" width="11.5703125" style="3" customWidth="1"/>
    <col min="16132" max="16132" width="14.28515625" style="3" customWidth="1"/>
    <col min="16133" max="16133" width="12.42578125" style="3" customWidth="1"/>
    <col min="16134" max="16134" width="11.5703125" style="3" customWidth="1"/>
    <col min="16135" max="16135" width="11" style="3" customWidth="1"/>
    <col min="16136" max="16136" width="11.140625" style="3" customWidth="1"/>
    <col min="16137" max="16137" width="11" style="3" customWidth="1"/>
    <col min="16138" max="16138" width="6.5703125" style="3" bestFit="1" customWidth="1"/>
    <col min="16139" max="16384" width="9.140625" style="3"/>
  </cols>
  <sheetData>
    <row r="1" spans="1:10" ht="12.75" customHeight="1" x14ac:dyDescent="0.2">
      <c r="A1" s="1" t="s">
        <v>10</v>
      </c>
      <c r="B1" s="2"/>
      <c r="C1" s="2"/>
      <c r="D1" s="2"/>
      <c r="E1" s="2"/>
      <c r="F1" s="2"/>
      <c r="G1" s="2"/>
      <c r="H1" s="2"/>
      <c r="I1" s="2"/>
      <c r="J1" s="2"/>
    </row>
    <row r="2" spans="1:10" ht="12.75" customHeight="1" x14ac:dyDescent="0.2">
      <c r="A2" s="1"/>
      <c r="B2" s="2"/>
      <c r="C2" s="2"/>
      <c r="D2" s="2"/>
      <c r="E2" s="2"/>
      <c r="F2" s="2"/>
      <c r="G2" s="2"/>
      <c r="H2" s="2"/>
      <c r="I2" s="2"/>
      <c r="J2" s="2"/>
    </row>
    <row r="3" spans="1:10" ht="12.75" customHeight="1" x14ac:dyDescent="0.2">
      <c r="A3" s="1"/>
      <c r="B3" s="2"/>
      <c r="C3" s="2"/>
      <c r="D3" s="2"/>
      <c r="E3" s="2"/>
      <c r="F3" s="2"/>
      <c r="G3" s="2"/>
      <c r="H3" s="2"/>
      <c r="I3" s="2"/>
      <c r="J3" s="2"/>
    </row>
    <row r="4" spans="1:10" ht="12.75" customHeight="1" x14ac:dyDescent="0.2">
      <c r="A4" s="4" t="s">
        <v>0</v>
      </c>
      <c r="B4" s="5" t="s">
        <v>1</v>
      </c>
      <c r="C4" s="87" t="s">
        <v>12</v>
      </c>
      <c r="D4" s="87"/>
      <c r="E4" s="6"/>
      <c r="F4" s="2"/>
      <c r="G4" s="2"/>
      <c r="H4" s="2"/>
      <c r="I4" s="2"/>
      <c r="J4" s="2"/>
    </row>
    <row r="5" spans="1:10" ht="12.75" customHeight="1" x14ac:dyDescent="0.2">
      <c r="A5" s="4"/>
      <c r="B5" s="5"/>
      <c r="C5" s="6"/>
      <c r="D5" s="6"/>
      <c r="E5" s="6"/>
      <c r="F5" s="2"/>
      <c r="G5" s="2"/>
      <c r="H5" s="2"/>
      <c r="I5" s="2"/>
      <c r="J5" s="2"/>
    </row>
    <row r="6" spans="1:10" ht="12.75" customHeight="1" x14ac:dyDescent="0.2">
      <c r="A6" s="4" t="s">
        <v>2</v>
      </c>
      <c r="B6" s="5" t="s">
        <v>1</v>
      </c>
      <c r="C6" s="7" t="s">
        <v>13</v>
      </c>
      <c r="D6" s="2"/>
      <c r="E6" s="2"/>
      <c r="F6" s="2"/>
      <c r="G6" s="2"/>
      <c r="H6" s="2"/>
      <c r="I6" s="2"/>
      <c r="J6" s="2"/>
    </row>
    <row r="7" spans="1:10" ht="12.75" customHeight="1" x14ac:dyDescent="0.2">
      <c r="A7" s="4"/>
      <c r="B7" s="5"/>
      <c r="C7" s="7"/>
      <c r="D7" s="2"/>
      <c r="E7" s="2"/>
      <c r="F7" s="2"/>
      <c r="G7" s="2"/>
      <c r="H7" s="2"/>
      <c r="I7" s="2"/>
      <c r="J7" s="2"/>
    </row>
    <row r="8" spans="1:10" ht="12.75" customHeight="1" x14ac:dyDescent="0.2">
      <c r="A8" s="4" t="s">
        <v>3</v>
      </c>
      <c r="B8" s="5" t="s">
        <v>1</v>
      </c>
      <c r="C8" s="8" t="s">
        <v>14</v>
      </c>
      <c r="D8" s="8"/>
      <c r="E8" s="8"/>
      <c r="F8" s="2"/>
      <c r="G8" s="2"/>
      <c r="H8" s="2"/>
      <c r="I8" s="2"/>
      <c r="J8" s="2"/>
    </row>
    <row r="9" spans="1:10" ht="12.75" customHeight="1" x14ac:dyDescent="0.2">
      <c r="A9" s="4"/>
      <c r="B9" s="5"/>
      <c r="C9" s="6"/>
      <c r="D9" s="6"/>
      <c r="E9" s="6"/>
      <c r="F9" s="2"/>
      <c r="G9" s="2"/>
      <c r="H9" s="2"/>
      <c r="I9" s="2"/>
      <c r="J9" s="2"/>
    </row>
    <row r="10" spans="1:10" ht="12.75" customHeight="1" x14ac:dyDescent="0.2">
      <c r="A10" s="4" t="s">
        <v>4</v>
      </c>
      <c r="B10" s="5" t="s">
        <v>1</v>
      </c>
      <c r="C10" s="5" t="s">
        <v>11</v>
      </c>
      <c r="D10" s="2"/>
      <c r="E10" s="2"/>
      <c r="F10" s="2"/>
      <c r="G10" s="2"/>
      <c r="H10" s="2"/>
      <c r="I10" s="2"/>
      <c r="J10" s="2"/>
    </row>
    <row r="11" spans="1:10" ht="12.75" customHeight="1" x14ac:dyDescent="0.2">
      <c r="A11" s="4"/>
      <c r="B11" s="5"/>
      <c r="C11" s="5"/>
      <c r="D11" s="2"/>
      <c r="E11" s="2"/>
      <c r="F11" s="2"/>
      <c r="G11" s="2"/>
      <c r="H11" s="2"/>
      <c r="I11" s="2"/>
      <c r="J11" s="2"/>
    </row>
    <row r="12" spans="1:10" ht="12.75" customHeight="1" x14ac:dyDescent="0.2">
      <c r="A12" s="4" t="s">
        <v>5</v>
      </c>
      <c r="B12" s="5" t="s">
        <v>1</v>
      </c>
      <c r="C12" s="5" t="s">
        <v>6</v>
      </c>
      <c r="D12" s="2"/>
      <c r="E12" s="2"/>
      <c r="F12" s="2"/>
      <c r="G12" s="2"/>
      <c r="H12" s="2"/>
      <c r="I12" s="2"/>
      <c r="J12" s="2"/>
    </row>
    <row r="13" spans="1:10" ht="12.75" customHeight="1" x14ac:dyDescent="0.2">
      <c r="A13" s="4"/>
      <c r="B13" s="5"/>
      <c r="C13" s="5"/>
      <c r="D13" s="2"/>
      <c r="E13" s="2"/>
      <c r="F13" s="2"/>
      <c r="G13" s="2"/>
      <c r="H13" s="2"/>
      <c r="I13" s="2"/>
      <c r="J13" s="2"/>
    </row>
    <row r="14" spans="1:10" ht="12.75" customHeight="1" x14ac:dyDescent="0.2">
      <c r="A14" s="4" t="s">
        <v>7</v>
      </c>
      <c r="B14" s="5" t="s">
        <v>1</v>
      </c>
      <c r="C14" s="5" t="s">
        <v>8</v>
      </c>
      <c r="D14" s="2"/>
      <c r="E14" s="2"/>
      <c r="F14" s="2"/>
      <c r="G14" s="2"/>
      <c r="H14" s="2"/>
      <c r="I14" s="2"/>
      <c r="J14" s="2"/>
    </row>
    <row r="15" spans="1:10" ht="12.75" customHeight="1" x14ac:dyDescent="0.2">
      <c r="A15" s="4"/>
      <c r="B15" s="5"/>
      <c r="C15" s="5" t="s">
        <v>9</v>
      </c>
      <c r="D15" s="2"/>
      <c r="E15" s="2"/>
      <c r="F15" s="2"/>
      <c r="G15" s="2"/>
      <c r="H15" s="2"/>
      <c r="I15" s="2"/>
      <c r="J15" s="2"/>
    </row>
    <row r="16" spans="1:10" ht="12.75" customHeight="1" x14ac:dyDescent="0.2">
      <c r="A16" s="4"/>
      <c r="B16" s="5"/>
      <c r="C16" s="5"/>
      <c r="D16" s="2"/>
      <c r="E16" s="2"/>
      <c r="F16" s="2"/>
      <c r="G16" s="2"/>
      <c r="H16" s="2"/>
      <c r="I16" s="2"/>
      <c r="J16" s="2"/>
    </row>
    <row r="17" spans="1:10" ht="12.75" customHeight="1" x14ac:dyDescent="0.2">
      <c r="A17" s="4" t="s">
        <v>15</v>
      </c>
      <c r="B17" s="5"/>
      <c r="C17" s="5"/>
      <c r="D17" s="2"/>
      <c r="E17" s="2"/>
      <c r="F17" s="2"/>
      <c r="G17" s="2"/>
      <c r="H17" s="2"/>
      <c r="I17" s="2"/>
      <c r="J17" s="2"/>
    </row>
    <row r="18" spans="1:10" ht="12.75" customHeight="1" x14ac:dyDescent="0.2"/>
    <row r="19" spans="1:10" x14ac:dyDescent="0.2">
      <c r="D19" s="9" t="s">
        <v>19</v>
      </c>
      <c r="E19" s="9"/>
      <c r="F19" s="9" t="s">
        <v>20</v>
      </c>
    </row>
    <row r="20" spans="1:10" x14ac:dyDescent="0.2">
      <c r="C20" s="3" t="s">
        <v>6</v>
      </c>
      <c r="D20" s="10">
        <v>4211</v>
      </c>
      <c r="E20" s="14"/>
      <c r="F20" s="12">
        <f>D20/10000</f>
        <v>0.42109999999999997</v>
      </c>
    </row>
    <row r="21" spans="1:10" x14ac:dyDescent="0.2">
      <c r="C21" s="3" t="s">
        <v>16</v>
      </c>
      <c r="D21" s="10">
        <v>1228</v>
      </c>
      <c r="E21" s="14"/>
      <c r="F21" s="12">
        <f t="shared" ref="F21:F23" si="0">D21/10000</f>
        <v>0.12280000000000001</v>
      </c>
    </row>
    <row r="22" spans="1:10" x14ac:dyDescent="0.2">
      <c r="C22" s="3" t="s">
        <v>17</v>
      </c>
      <c r="D22" s="10">
        <v>2807</v>
      </c>
      <c r="E22" s="14"/>
      <c r="F22" s="12">
        <f t="shared" si="0"/>
        <v>0.28070000000000001</v>
      </c>
    </row>
    <row r="23" spans="1:10" x14ac:dyDescent="0.2">
      <c r="C23" s="3" t="s">
        <v>18</v>
      </c>
      <c r="D23" s="10">
        <v>1754</v>
      </c>
      <c r="E23" s="14"/>
      <c r="F23" s="12">
        <f t="shared" si="0"/>
        <v>0.1754</v>
      </c>
    </row>
    <row r="24" spans="1:10" ht="15" thickBot="1" x14ac:dyDescent="0.25">
      <c r="D24" s="11">
        <f>SUM(D20:D23)</f>
        <v>10000</v>
      </c>
      <c r="E24" s="14"/>
      <c r="F24" s="13">
        <f>SUM(F20:F23)</f>
        <v>1</v>
      </c>
    </row>
    <row r="25" spans="1:10" ht="15" thickTop="1" x14ac:dyDescent="0.2"/>
  </sheetData>
  <mergeCells count="1">
    <mergeCell ref="C4:D4"/>
  </mergeCells>
  <pageMargins left="0.78740157480314965" right="0.70866141732283472" top="0.74803149606299213" bottom="0.74803149606299213" header="0.31496062992125984" footer="0.31496062992125984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TB</vt:lpstr>
      <vt:lpstr>总帐</vt:lpstr>
      <vt:lpstr>Exchange.rate</vt:lpstr>
      <vt:lpstr>Journal</vt:lpstr>
      <vt:lpstr>Company profile</vt:lpstr>
      <vt:lpstr>总帐!Print_Area</vt:lpstr>
      <vt:lpstr>TB!Print_Titles</vt:lpstr>
      <vt:lpstr>总帐!Print_Titles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 Teoh</dc:creator>
  <cp:lastModifiedBy>Admin</cp:lastModifiedBy>
  <cp:lastPrinted>2022-06-19T09:24:49Z</cp:lastPrinted>
  <dcterms:created xsi:type="dcterms:W3CDTF">2021-11-19T06:18:48Z</dcterms:created>
  <dcterms:modified xsi:type="dcterms:W3CDTF">2024-07-18T13:14:08Z</dcterms:modified>
</cp:coreProperties>
</file>