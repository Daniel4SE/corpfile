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dkiopto-my.sharepoint.com/personal/admin_mdkiopto_com/Documents/Desktop/Account/YWX/YWX 31.5.2024/"/>
    </mc:Choice>
  </mc:AlternateContent>
  <xr:revisionPtr revIDLastSave="32" documentId="13_ncr:1_{C3AB7A62-563E-433F-9C29-C01CC6AEA949}" xr6:coauthVersionLast="47" xr6:coauthVersionMax="47" xr10:uidLastSave="{A494B187-B317-4F4B-93B0-1851E865BD7E}"/>
  <bookViews>
    <workbookView xWindow="-120" yWindow="-120" windowWidth="20730" windowHeight="11160" tabRatio="694" activeTab="1" xr2:uid="{C00D70F3-C20C-4C4C-B8A3-4BE80DFD8540}"/>
  </bookViews>
  <sheets>
    <sheet name="TB" sheetId="5" r:id="rId1"/>
    <sheet name="总帐" sheetId="2" r:id="rId2"/>
    <sheet name="Exchange.rate" sheetId="3" r:id="rId3"/>
    <sheet name="Journal" sheetId="4" r:id="rId4"/>
    <sheet name="Utilities" sheetId="6" r:id="rId5"/>
    <sheet name="Company profile" sheetId="1" r:id="rId6"/>
  </sheets>
  <externalReferences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</externalReferences>
  <definedNames>
    <definedName name="\_JUNK">#N/A</definedName>
    <definedName name="\0">#N/A</definedName>
    <definedName name="\a">'[1]FF-21(a)'!#REF!</definedName>
    <definedName name="\c">'[1]FF-21(a)'!#REF!</definedName>
    <definedName name="\d">#N/A</definedName>
    <definedName name="\h">#N/A</definedName>
    <definedName name="\l">#N/A</definedName>
    <definedName name="\p">#N/A</definedName>
    <definedName name="_">"$#REF!.$A$6:$D$13"</definedName>
    <definedName name="_____a21420">#REF!</definedName>
    <definedName name="_____a21430">#REF!</definedName>
    <definedName name="_____a22220">#REF!</definedName>
    <definedName name="_____a22241">#REF!</definedName>
    <definedName name="_____a22242">#REF!</definedName>
    <definedName name="_____a22260">#REF!</definedName>
    <definedName name="_____a22270">#REF!</definedName>
    <definedName name="_____a24385">#REF!</definedName>
    <definedName name="_____a24391">#REF!</definedName>
    <definedName name="_____a24392">#REF!</definedName>
    <definedName name="_____a24393">#REF!</definedName>
    <definedName name="_____a24394">#REF!</definedName>
    <definedName name="_____a27120">#REF!</definedName>
    <definedName name="_____a27150">#REF!</definedName>
    <definedName name="_____a32320">#REF!</definedName>
    <definedName name="_____a32730">#REF!</definedName>
    <definedName name="_____a33130">#REF!</definedName>
    <definedName name="_____a33140">#REF!</definedName>
    <definedName name="_____a33160">#REF!</definedName>
    <definedName name="_____a33170">#REF!</definedName>
    <definedName name="_____a33190">#REF!</definedName>
    <definedName name="_____a33210">#REF!</definedName>
    <definedName name="_____a33230">#REF!</definedName>
    <definedName name="_____a33240">#REF!</definedName>
    <definedName name="_____a34010">#REF!</definedName>
    <definedName name="_____a41230">#REF!</definedName>
    <definedName name="_____a41240">#REF!</definedName>
    <definedName name="_____a42781">#REF!</definedName>
    <definedName name="_____a42782">#REF!</definedName>
    <definedName name="_____a42783">#REF!</definedName>
    <definedName name="_____A43220">#REF!</definedName>
    <definedName name="_____a43230">#REF!</definedName>
    <definedName name="_____a43260">#REF!</definedName>
    <definedName name="_____a43270">#REF!</definedName>
    <definedName name="_____a43320">#REF!</definedName>
    <definedName name="_____a43330">#REF!</definedName>
    <definedName name="_____a43360">#REF!</definedName>
    <definedName name="_____a43370">#REF!</definedName>
    <definedName name="_____a43530">#REF!</definedName>
    <definedName name="_____a43540">#REF!</definedName>
    <definedName name="_____a43560">#REF!</definedName>
    <definedName name="_____a43570">#REF!</definedName>
    <definedName name="_____a43630">#REF!</definedName>
    <definedName name="_____a43640">#REF!</definedName>
    <definedName name="_____a43660">#REF!</definedName>
    <definedName name="_____a43670">#REF!</definedName>
    <definedName name="_____a43730">#REF!</definedName>
    <definedName name="_____a43750">#REF!</definedName>
    <definedName name="_____a43760">#REF!</definedName>
    <definedName name="_____a43770">#REF!</definedName>
    <definedName name="_____a43780">#REF!</definedName>
    <definedName name="_____a48610">#REF!</definedName>
    <definedName name="_____a48611">#REF!</definedName>
    <definedName name="_____a48620">#REF!</definedName>
    <definedName name="_____a48621">#REF!</definedName>
    <definedName name="_____a48781">#REF!</definedName>
    <definedName name="_____a48782">#REF!</definedName>
    <definedName name="_____a48783">#REF!</definedName>
    <definedName name="_____a48784">#REF!</definedName>
    <definedName name="_____a51530">#REF!</definedName>
    <definedName name="_____a51560">#REF!</definedName>
    <definedName name="_____a51620">#REF!</definedName>
    <definedName name="_____a52010">#REF!</definedName>
    <definedName name="_____a53110">#REF!</definedName>
    <definedName name="_____a61430">#REF!</definedName>
    <definedName name="_____a61470">#REF!</definedName>
    <definedName name="_____a61620">#REF!</definedName>
    <definedName name="_____a63110">#REF!</definedName>
    <definedName name="_____a73310">#REF!</definedName>
    <definedName name="_____a83175">#REF!</definedName>
    <definedName name="_____a85160">#REF!</definedName>
    <definedName name="_____a85250">#REF!</definedName>
    <definedName name="_____a85510">#REF!</definedName>
    <definedName name="_____a85520">#REF!</definedName>
    <definedName name="_____a85530">#REF!</definedName>
    <definedName name="_____a85540">#REF!</definedName>
    <definedName name="_____a85550">#REF!</definedName>
    <definedName name="_____a85570">#REF!</definedName>
    <definedName name="_____a85580">#REF!</definedName>
    <definedName name="_____a85590">#REF!</definedName>
    <definedName name="_____a85611">#REF!</definedName>
    <definedName name="_____a85621">#REF!</definedName>
    <definedName name="_____a90300">#REF!</definedName>
    <definedName name="_____a90400">#REF!</definedName>
    <definedName name="_____a90510">#REF!</definedName>
    <definedName name="_____a90520">#REF!</definedName>
    <definedName name="_____a90530">#REF!</definedName>
    <definedName name="_____a90540">#REF!</definedName>
    <definedName name="_____a90610">#REF!</definedName>
    <definedName name="_____a90620">#REF!</definedName>
    <definedName name="_____a90630">#REF!</definedName>
    <definedName name="_____a90640">#REF!</definedName>
    <definedName name="_____a90710">#REF!</definedName>
    <definedName name="_____a90720">#REF!</definedName>
    <definedName name="_____a90730">#REF!</definedName>
    <definedName name="_____a90740">#REF!</definedName>
    <definedName name="_____a90810">#REF!</definedName>
    <definedName name="_____a90820">#REF!</definedName>
    <definedName name="_____a90830">#REF!</definedName>
    <definedName name="_____a90840">#REF!</definedName>
    <definedName name="_____a90910">#REF!</definedName>
    <definedName name="_____a90920">#REF!</definedName>
    <definedName name="_____a90930">#REF!</definedName>
    <definedName name="_____a90940">#REF!</definedName>
    <definedName name="_____a90950">#REF!</definedName>
    <definedName name="_____a91310">#REF!</definedName>
    <definedName name="_____a91320">#REF!</definedName>
    <definedName name="_____a91330">#REF!</definedName>
    <definedName name="_____a91340">#REF!</definedName>
    <definedName name="_____a91350">#REF!</definedName>
    <definedName name="_____a91710">#REF!</definedName>
    <definedName name="_____a91720">#REF!</definedName>
    <definedName name="_____a91730">#REF!</definedName>
    <definedName name="_____a91740">#REF!</definedName>
    <definedName name="_____a93100">#REF!</definedName>
    <definedName name="_____a93200">#REF!</definedName>
    <definedName name="_____a99340">#REF!</definedName>
    <definedName name="_____a99350">#REF!</definedName>
    <definedName name="_____ACT1">#REF!</definedName>
    <definedName name="_____ACT2">#REF!</definedName>
    <definedName name="_____ADJ1">#REF!</definedName>
    <definedName name="_____ADJ2">#REF!</definedName>
    <definedName name="_____ap110">#REF!</definedName>
    <definedName name="_____B1">#REF!</definedName>
    <definedName name="_____b90710">#REF!</definedName>
    <definedName name="_____b90720">#REF!</definedName>
    <definedName name="_____b90730">#REF!</definedName>
    <definedName name="_____b90740">#REF!</definedName>
    <definedName name="_____b95310">#REF!</definedName>
    <definedName name="_____b95320">#REF!</definedName>
    <definedName name="_____b95330">#REF!</definedName>
    <definedName name="_____b95340">#REF!</definedName>
    <definedName name="_____bs1">[2]Sheet3!$A$6:$I$46</definedName>
    <definedName name="_____MAN1">#REF!</definedName>
    <definedName name="_____OCT334">'[3]FF-3'!$1:$8</definedName>
    <definedName name="_____p2">[0]!_____p2</definedName>
    <definedName name="_____P3">[4]cashflowcomp!$C$1:$J$67</definedName>
    <definedName name="_____PL1">[2]NTFS_Taxation!$A$4:$I$30</definedName>
    <definedName name="_____PL2">[2]NTFS_Taxation!$A$7:$Q$29</definedName>
    <definedName name="_____PL3">[2]NTFS_Taxation!$A$57:$G$71</definedName>
    <definedName name="_____PL5">[2]NTFS_Taxation!$A$6:$S$34</definedName>
    <definedName name="____a21420">#REF!</definedName>
    <definedName name="____a21430">#REF!</definedName>
    <definedName name="____a22220">#REF!</definedName>
    <definedName name="____a22241">#REF!</definedName>
    <definedName name="____a22242">#REF!</definedName>
    <definedName name="____a22260">#REF!</definedName>
    <definedName name="____a22270">#REF!</definedName>
    <definedName name="____a24385">#REF!</definedName>
    <definedName name="____a24391">#REF!</definedName>
    <definedName name="____a24392">#REF!</definedName>
    <definedName name="____a24393">#REF!</definedName>
    <definedName name="____a24394">#REF!</definedName>
    <definedName name="____a27120">#REF!</definedName>
    <definedName name="____a27150">#REF!</definedName>
    <definedName name="____a32320">#REF!</definedName>
    <definedName name="____a32730">#REF!</definedName>
    <definedName name="____a33130">#REF!</definedName>
    <definedName name="____a33140">#REF!</definedName>
    <definedName name="____a33160">#REF!</definedName>
    <definedName name="____a33170">#REF!</definedName>
    <definedName name="____a33190">#REF!</definedName>
    <definedName name="____a33210">#REF!</definedName>
    <definedName name="____a33230">#REF!</definedName>
    <definedName name="____a33240">#REF!</definedName>
    <definedName name="____a34010">#REF!</definedName>
    <definedName name="____a41230">#REF!</definedName>
    <definedName name="____a41240">#REF!</definedName>
    <definedName name="____a42781">#REF!</definedName>
    <definedName name="____a42782">#REF!</definedName>
    <definedName name="____a42783">#REF!</definedName>
    <definedName name="____A43220">#REF!</definedName>
    <definedName name="____a43230">#REF!</definedName>
    <definedName name="____a43260">#REF!</definedName>
    <definedName name="____a43270">#REF!</definedName>
    <definedName name="____a43320">#REF!</definedName>
    <definedName name="____a43330">#REF!</definedName>
    <definedName name="____a43360">#REF!</definedName>
    <definedName name="____a43370">#REF!</definedName>
    <definedName name="____a43530">#REF!</definedName>
    <definedName name="____a43540">#REF!</definedName>
    <definedName name="____a43560">#REF!</definedName>
    <definedName name="____a43570">#REF!</definedName>
    <definedName name="____a43630">#REF!</definedName>
    <definedName name="____a43640">#REF!</definedName>
    <definedName name="____a43660">#REF!</definedName>
    <definedName name="____a43670">#REF!</definedName>
    <definedName name="____a43730">#REF!</definedName>
    <definedName name="____a43750">#REF!</definedName>
    <definedName name="____a43760">#REF!</definedName>
    <definedName name="____a43770">#REF!</definedName>
    <definedName name="____a43780">#REF!</definedName>
    <definedName name="____a48610">#REF!</definedName>
    <definedName name="____a48611">#REF!</definedName>
    <definedName name="____a48620">#REF!</definedName>
    <definedName name="____a48621">#REF!</definedName>
    <definedName name="____a48781">#REF!</definedName>
    <definedName name="____a48782">#REF!</definedName>
    <definedName name="____a48783">#REF!</definedName>
    <definedName name="____a48784">#REF!</definedName>
    <definedName name="____a51530">#REF!</definedName>
    <definedName name="____a51560">#REF!</definedName>
    <definedName name="____a51620">#REF!</definedName>
    <definedName name="____a52010">#REF!</definedName>
    <definedName name="____a53110">#REF!</definedName>
    <definedName name="____a61430">#REF!</definedName>
    <definedName name="____a61470">#REF!</definedName>
    <definedName name="____a61620">#REF!</definedName>
    <definedName name="____a63110">#REF!</definedName>
    <definedName name="____a73310">#REF!</definedName>
    <definedName name="____a83175">#REF!</definedName>
    <definedName name="____a85160">#REF!</definedName>
    <definedName name="____a85250">#REF!</definedName>
    <definedName name="____a85510">#REF!</definedName>
    <definedName name="____a85520">#REF!</definedName>
    <definedName name="____a85530">#REF!</definedName>
    <definedName name="____a85540">#REF!</definedName>
    <definedName name="____a85550">#REF!</definedName>
    <definedName name="____a85570">#REF!</definedName>
    <definedName name="____a85580">#REF!</definedName>
    <definedName name="____a85590">#REF!</definedName>
    <definedName name="____a85611">#REF!</definedName>
    <definedName name="____a85621">#REF!</definedName>
    <definedName name="____a90300">#REF!</definedName>
    <definedName name="____a90400">#REF!</definedName>
    <definedName name="____a90510">#REF!</definedName>
    <definedName name="____a90520">#REF!</definedName>
    <definedName name="____a90530">#REF!</definedName>
    <definedName name="____a90540">#REF!</definedName>
    <definedName name="____a90610">#REF!</definedName>
    <definedName name="____a90620">#REF!</definedName>
    <definedName name="____a90630">#REF!</definedName>
    <definedName name="____a90640">#REF!</definedName>
    <definedName name="____a90710">#REF!</definedName>
    <definedName name="____a90720">#REF!</definedName>
    <definedName name="____a90730">#REF!</definedName>
    <definedName name="____a90740">#REF!</definedName>
    <definedName name="____a90810">#REF!</definedName>
    <definedName name="____a90820">#REF!</definedName>
    <definedName name="____a90830">#REF!</definedName>
    <definedName name="____a90840">#REF!</definedName>
    <definedName name="____a90910">#REF!</definedName>
    <definedName name="____a90920">#REF!</definedName>
    <definedName name="____a90930">#REF!</definedName>
    <definedName name="____a90940">#REF!</definedName>
    <definedName name="____a90950">#REF!</definedName>
    <definedName name="____a91310">#REF!</definedName>
    <definedName name="____a91320">#REF!</definedName>
    <definedName name="____a91330">#REF!</definedName>
    <definedName name="____a91340">#REF!</definedName>
    <definedName name="____a91350">#REF!</definedName>
    <definedName name="____a91710">#REF!</definedName>
    <definedName name="____a91720">#REF!</definedName>
    <definedName name="____a91730">#REF!</definedName>
    <definedName name="____a91740">#REF!</definedName>
    <definedName name="____a93100">#REF!</definedName>
    <definedName name="____a93200">#REF!</definedName>
    <definedName name="____a99340">#REF!</definedName>
    <definedName name="____a99350">#REF!</definedName>
    <definedName name="____ACT1">#REF!</definedName>
    <definedName name="____ACT2">#REF!</definedName>
    <definedName name="____ADJ1">#REF!</definedName>
    <definedName name="____ADJ2">#REF!</definedName>
    <definedName name="____ap110">#REF!</definedName>
    <definedName name="____B1">#REF!</definedName>
    <definedName name="____b90710">#REF!</definedName>
    <definedName name="____b90720">#REF!</definedName>
    <definedName name="____b90730">#REF!</definedName>
    <definedName name="____b90740">#REF!</definedName>
    <definedName name="____b95310">#REF!</definedName>
    <definedName name="____b95320">#REF!</definedName>
    <definedName name="____b95330">#REF!</definedName>
    <definedName name="____b95340">#REF!</definedName>
    <definedName name="____bs1">[2]Sheet3!$A$6:$I$46</definedName>
    <definedName name="____MAN1">#REF!</definedName>
    <definedName name="____OCT334">'[3]FF-3'!$1:$8</definedName>
    <definedName name="____p2">'[5]osm (2)'!____p2</definedName>
    <definedName name="____P3">[4]cashflowcomp!$C$1:$J$67</definedName>
    <definedName name="____PL1">[2]NTFS_Taxation!$A$4:$I$30</definedName>
    <definedName name="____PL2">[2]NTFS_Taxation!$A$7:$Q$29</definedName>
    <definedName name="____PL3">[2]NTFS_Taxation!$A$57:$G$71</definedName>
    <definedName name="____PL5">[2]NTFS_Taxation!$A$6:$S$34</definedName>
    <definedName name="___a21420">#REF!</definedName>
    <definedName name="___a21430">#REF!</definedName>
    <definedName name="___a22220">#REF!</definedName>
    <definedName name="___a22241">#REF!</definedName>
    <definedName name="___a22242">#REF!</definedName>
    <definedName name="___a22260">#REF!</definedName>
    <definedName name="___a22270">#REF!</definedName>
    <definedName name="___a24385">#REF!</definedName>
    <definedName name="___a24391">#REF!</definedName>
    <definedName name="___a24392">#REF!</definedName>
    <definedName name="___a24393">#REF!</definedName>
    <definedName name="___a24394">#REF!</definedName>
    <definedName name="___a27120">#REF!</definedName>
    <definedName name="___a27150">#REF!</definedName>
    <definedName name="___a32320">#REF!</definedName>
    <definedName name="___a32730">#REF!</definedName>
    <definedName name="___a33130">#REF!</definedName>
    <definedName name="___a33140">#REF!</definedName>
    <definedName name="___a33160">#REF!</definedName>
    <definedName name="___a33170">#REF!</definedName>
    <definedName name="___a33190">#REF!</definedName>
    <definedName name="___a33210">#REF!</definedName>
    <definedName name="___a33230">#REF!</definedName>
    <definedName name="___a33240">#REF!</definedName>
    <definedName name="___a34010">#REF!</definedName>
    <definedName name="___a41230">#REF!</definedName>
    <definedName name="___a41240">#REF!</definedName>
    <definedName name="___a42781">#REF!</definedName>
    <definedName name="___a42782">#REF!</definedName>
    <definedName name="___a42783">#REF!</definedName>
    <definedName name="___A43220">#REF!</definedName>
    <definedName name="___a43230">#REF!</definedName>
    <definedName name="___a43260">#REF!</definedName>
    <definedName name="___a43270">#REF!</definedName>
    <definedName name="___a43320">#REF!</definedName>
    <definedName name="___a43330">#REF!</definedName>
    <definedName name="___a43360">#REF!</definedName>
    <definedName name="___a43370">#REF!</definedName>
    <definedName name="___a43530">#REF!</definedName>
    <definedName name="___a43540">#REF!</definedName>
    <definedName name="___a43560">#REF!</definedName>
    <definedName name="___a43570">#REF!</definedName>
    <definedName name="___a43630">#REF!</definedName>
    <definedName name="___a43640">#REF!</definedName>
    <definedName name="___a43660">#REF!</definedName>
    <definedName name="___a43670">#REF!</definedName>
    <definedName name="___a43730">#REF!</definedName>
    <definedName name="___a43750">#REF!</definedName>
    <definedName name="___a43760">#REF!</definedName>
    <definedName name="___a43770">#REF!</definedName>
    <definedName name="___a43780">#REF!</definedName>
    <definedName name="___a48610">#REF!</definedName>
    <definedName name="___a48611">#REF!</definedName>
    <definedName name="___a48620">#REF!</definedName>
    <definedName name="___a48621">#REF!</definedName>
    <definedName name="___a48781">#REF!</definedName>
    <definedName name="___a48782">#REF!</definedName>
    <definedName name="___a48783">#REF!</definedName>
    <definedName name="___a48784">#REF!</definedName>
    <definedName name="___a51530">#REF!</definedName>
    <definedName name="___a51560">#REF!</definedName>
    <definedName name="___a51620">#REF!</definedName>
    <definedName name="___a52010">#REF!</definedName>
    <definedName name="___a53110">#REF!</definedName>
    <definedName name="___a61430">#REF!</definedName>
    <definedName name="___a61470">#REF!</definedName>
    <definedName name="___a61620">#REF!</definedName>
    <definedName name="___a63110">#REF!</definedName>
    <definedName name="___a73310">#REF!</definedName>
    <definedName name="___a83175">#REF!</definedName>
    <definedName name="___a85160">#REF!</definedName>
    <definedName name="___a85250">#REF!</definedName>
    <definedName name="___a85510">#REF!</definedName>
    <definedName name="___a85520">#REF!</definedName>
    <definedName name="___a85530">#REF!</definedName>
    <definedName name="___a85540">#REF!</definedName>
    <definedName name="___a85550">#REF!</definedName>
    <definedName name="___a85570">#REF!</definedName>
    <definedName name="___a85580">#REF!</definedName>
    <definedName name="___a85590">#REF!</definedName>
    <definedName name="___a85611">#REF!</definedName>
    <definedName name="___a85621">#REF!</definedName>
    <definedName name="___a90300">#REF!</definedName>
    <definedName name="___a90400">#REF!</definedName>
    <definedName name="___a90510">#REF!</definedName>
    <definedName name="___a90520">#REF!</definedName>
    <definedName name="___a90530">#REF!</definedName>
    <definedName name="___a90540">#REF!</definedName>
    <definedName name="___a90610">#REF!</definedName>
    <definedName name="___a90620">#REF!</definedName>
    <definedName name="___a90630">#REF!</definedName>
    <definedName name="___a90640">#REF!</definedName>
    <definedName name="___a90710">#REF!</definedName>
    <definedName name="___a90720">#REF!</definedName>
    <definedName name="___a90730">#REF!</definedName>
    <definedName name="___a90740">#REF!</definedName>
    <definedName name="___a90810">#REF!</definedName>
    <definedName name="___a90820">#REF!</definedName>
    <definedName name="___a90830">#REF!</definedName>
    <definedName name="___a90840">#REF!</definedName>
    <definedName name="___a90910">#REF!</definedName>
    <definedName name="___a90920">#REF!</definedName>
    <definedName name="___a90930">#REF!</definedName>
    <definedName name="___a90940">#REF!</definedName>
    <definedName name="___a90950">#REF!</definedName>
    <definedName name="___a91310">#REF!</definedName>
    <definedName name="___a91320">#REF!</definedName>
    <definedName name="___a91330">#REF!</definedName>
    <definedName name="___a91340">#REF!</definedName>
    <definedName name="___a91350">#REF!</definedName>
    <definedName name="___a91710">#REF!</definedName>
    <definedName name="___a91720">#REF!</definedName>
    <definedName name="___a91730">#REF!</definedName>
    <definedName name="___a91740">#REF!</definedName>
    <definedName name="___a93100">#REF!</definedName>
    <definedName name="___a93200">#REF!</definedName>
    <definedName name="___a99340">#REF!</definedName>
    <definedName name="___a99350">#REF!</definedName>
    <definedName name="___ACT1">#REF!</definedName>
    <definedName name="___ACT2">#REF!</definedName>
    <definedName name="___ADJ1">#REF!</definedName>
    <definedName name="___ADJ2">#REF!</definedName>
    <definedName name="___ap110">#REF!</definedName>
    <definedName name="___B1">#REF!</definedName>
    <definedName name="___b90710">#REF!</definedName>
    <definedName name="___b90720">#REF!</definedName>
    <definedName name="___b90730">#REF!</definedName>
    <definedName name="___b90740">#REF!</definedName>
    <definedName name="___b95310">#REF!</definedName>
    <definedName name="___b95320">#REF!</definedName>
    <definedName name="___b95330">#REF!</definedName>
    <definedName name="___b95340">#REF!</definedName>
    <definedName name="___bs1">[6]Sheet3!$A$6:$I$46</definedName>
    <definedName name="___MAN1">#REF!</definedName>
    <definedName name="___OCT334">'[3]FF-3'!$1:$8</definedName>
    <definedName name="___p2">[0]!___p2</definedName>
    <definedName name="___P3">[4]cashflowcomp!$C$1:$J$67</definedName>
    <definedName name="___PL1">[6]NTFS_Taxation!$A$4:$I$30</definedName>
    <definedName name="___PL2">[6]NTFS_Taxation!$A$7:$Q$29</definedName>
    <definedName name="___PL3">[6]NTFS_Taxation!$A$57:$G$71</definedName>
    <definedName name="___PL5">[6]NTFS_Taxation!$A$6:$S$34</definedName>
    <definedName name="__a21420">#REF!</definedName>
    <definedName name="__a21430">#REF!</definedName>
    <definedName name="__a22220">#REF!</definedName>
    <definedName name="__a22241">#REF!</definedName>
    <definedName name="__a22242">#REF!</definedName>
    <definedName name="__a22260">#REF!</definedName>
    <definedName name="__a22270">#REF!</definedName>
    <definedName name="__a24385">#REF!</definedName>
    <definedName name="__a24391">#REF!</definedName>
    <definedName name="__a24392">#REF!</definedName>
    <definedName name="__a24393">#REF!</definedName>
    <definedName name="__a24394">#REF!</definedName>
    <definedName name="__a27120">#REF!</definedName>
    <definedName name="__a27150">#REF!</definedName>
    <definedName name="__a32320">#REF!</definedName>
    <definedName name="__a32730">#REF!</definedName>
    <definedName name="__a33130">#REF!</definedName>
    <definedName name="__a33140">#REF!</definedName>
    <definedName name="__a33160">#REF!</definedName>
    <definedName name="__a33170">#REF!</definedName>
    <definedName name="__a33190">#REF!</definedName>
    <definedName name="__a33210">#REF!</definedName>
    <definedName name="__a33230">#REF!</definedName>
    <definedName name="__a33240">#REF!</definedName>
    <definedName name="__a34010">#REF!</definedName>
    <definedName name="__a41230">#REF!</definedName>
    <definedName name="__a41240">#REF!</definedName>
    <definedName name="__a42781">#REF!</definedName>
    <definedName name="__a42782">#REF!</definedName>
    <definedName name="__a42783">#REF!</definedName>
    <definedName name="__A43220">#REF!</definedName>
    <definedName name="__a43230">#REF!</definedName>
    <definedName name="__a43260">#REF!</definedName>
    <definedName name="__a43270">#REF!</definedName>
    <definedName name="__a43320">#REF!</definedName>
    <definedName name="__a43330">#REF!</definedName>
    <definedName name="__a43360">#REF!</definedName>
    <definedName name="__a43370">#REF!</definedName>
    <definedName name="__a43530">#REF!</definedName>
    <definedName name="__a43540">#REF!</definedName>
    <definedName name="__a43560">#REF!</definedName>
    <definedName name="__a43570">#REF!</definedName>
    <definedName name="__a43630">#REF!</definedName>
    <definedName name="__a43640">#REF!</definedName>
    <definedName name="__a43660">#REF!</definedName>
    <definedName name="__a43670">#REF!</definedName>
    <definedName name="__a43730">#REF!</definedName>
    <definedName name="__a43750">#REF!</definedName>
    <definedName name="__a43760">#REF!</definedName>
    <definedName name="__a43770">#REF!</definedName>
    <definedName name="__a43780">#REF!</definedName>
    <definedName name="__a48610">#REF!</definedName>
    <definedName name="__a48611">#REF!</definedName>
    <definedName name="__a48620">#REF!</definedName>
    <definedName name="__a48621">#REF!</definedName>
    <definedName name="__a48781">#REF!</definedName>
    <definedName name="__a48782">#REF!</definedName>
    <definedName name="__a48783">#REF!</definedName>
    <definedName name="__a48784">#REF!</definedName>
    <definedName name="__a51530">#REF!</definedName>
    <definedName name="__a51560">#REF!</definedName>
    <definedName name="__a51620">#REF!</definedName>
    <definedName name="__a52010">#REF!</definedName>
    <definedName name="__a53110">#REF!</definedName>
    <definedName name="__a61430">#REF!</definedName>
    <definedName name="__a61470">#REF!</definedName>
    <definedName name="__a61620">#REF!</definedName>
    <definedName name="__a63110">#REF!</definedName>
    <definedName name="__a73310">#REF!</definedName>
    <definedName name="__a83175">#REF!</definedName>
    <definedName name="__a85160">#REF!</definedName>
    <definedName name="__a85250">#REF!</definedName>
    <definedName name="__a85510">#REF!</definedName>
    <definedName name="__a85520">#REF!</definedName>
    <definedName name="__a85530">#REF!</definedName>
    <definedName name="__a85540">#REF!</definedName>
    <definedName name="__a85550">#REF!</definedName>
    <definedName name="__a85570">#REF!</definedName>
    <definedName name="__a85580">#REF!</definedName>
    <definedName name="__a85590">#REF!</definedName>
    <definedName name="__a85611">#REF!</definedName>
    <definedName name="__a85621">#REF!</definedName>
    <definedName name="__a90300">#REF!</definedName>
    <definedName name="__a90400">#REF!</definedName>
    <definedName name="__a90510">#REF!</definedName>
    <definedName name="__a90520">#REF!</definedName>
    <definedName name="__a90530">#REF!</definedName>
    <definedName name="__a90540">#REF!</definedName>
    <definedName name="__a90610">#REF!</definedName>
    <definedName name="__a90620">#REF!</definedName>
    <definedName name="__a90630">#REF!</definedName>
    <definedName name="__a90640">#REF!</definedName>
    <definedName name="__a90710">#REF!</definedName>
    <definedName name="__a90720">#REF!</definedName>
    <definedName name="__a90730">#REF!</definedName>
    <definedName name="__a90740">#REF!</definedName>
    <definedName name="__a90810">#REF!</definedName>
    <definedName name="__a90820">#REF!</definedName>
    <definedName name="__a90830">#REF!</definedName>
    <definedName name="__a90840">#REF!</definedName>
    <definedName name="__a90910">#REF!</definedName>
    <definedName name="__a90920">#REF!</definedName>
    <definedName name="__a90930">#REF!</definedName>
    <definedName name="__a90940">#REF!</definedName>
    <definedName name="__a90950">#REF!</definedName>
    <definedName name="__a91310">#REF!</definedName>
    <definedName name="__a91320">#REF!</definedName>
    <definedName name="__a91330">#REF!</definedName>
    <definedName name="__a91340">#REF!</definedName>
    <definedName name="__a91350">#REF!</definedName>
    <definedName name="__a91710">#REF!</definedName>
    <definedName name="__a91720">#REF!</definedName>
    <definedName name="__a91730">#REF!</definedName>
    <definedName name="__a91740">#REF!</definedName>
    <definedName name="__a93100">#REF!</definedName>
    <definedName name="__a93200">#REF!</definedName>
    <definedName name="__a99340">#REF!</definedName>
    <definedName name="__a99350">#REF!</definedName>
    <definedName name="__ACT1">#REF!</definedName>
    <definedName name="__ACT2">#REF!</definedName>
    <definedName name="__ADJ1">#REF!</definedName>
    <definedName name="__ADJ2">#REF!</definedName>
    <definedName name="__ap110">#REF!</definedName>
    <definedName name="__B1">#REF!</definedName>
    <definedName name="__b90710">#REF!</definedName>
    <definedName name="__b90720">#REF!</definedName>
    <definedName name="__b90730">#REF!</definedName>
    <definedName name="__b90740">#REF!</definedName>
    <definedName name="__b95310">#REF!</definedName>
    <definedName name="__b95320">#REF!</definedName>
    <definedName name="__b95330">#REF!</definedName>
    <definedName name="__b95340">#REF!</definedName>
    <definedName name="__bs1">#REF!</definedName>
    <definedName name="__MAN1">#REF!</definedName>
    <definedName name="__OCT334">'[3]FF-3'!$1:$8</definedName>
    <definedName name="__p2">[0]!__p2</definedName>
    <definedName name="__P3">[4]cashflowcomp!$C$1:$J$67</definedName>
    <definedName name="__PL1">#REF!</definedName>
    <definedName name="__PL2">#REF!</definedName>
    <definedName name="__PL3">#REF!</definedName>
    <definedName name="__PL5">#REF!</definedName>
    <definedName name="_1_10_01">"$#REF!.$B$40:$E$40"</definedName>
    <definedName name="_1_8_01">"$#REF!.$B$25:$E$25"</definedName>
    <definedName name="_14_8_01">"$#REF!.$B$21:$E$21"</definedName>
    <definedName name="_16_4_01">"$#REF!.$B$6:$E$6"</definedName>
    <definedName name="_16_8_01">"$#REF!.$B$22:$E$22"</definedName>
    <definedName name="_17_10_01">"$#REF!.$B$36:$E$36"</definedName>
    <definedName name="_21_8_01">"$#REF!.$B$23:$E$23"</definedName>
    <definedName name="_22_10_01">"$#REF!.$B$37:$E$37"</definedName>
    <definedName name="_24_10_01">"$#REF!.$B$38:$E$38"</definedName>
    <definedName name="_26_7_01">"$#REF!.$B$12:$E$12"</definedName>
    <definedName name="_3_7_01">"$#REF!.$B$13:$E$13"</definedName>
    <definedName name="_30__09_01">"$#REF!.$B$32:$E$32"</definedName>
    <definedName name="_30_4_01">"$#REF!.$B$7:$E$7"</definedName>
    <definedName name="_30_6_01">"$#REF!.$B$8:$E$8"</definedName>
    <definedName name="_30_9_01">"$#REF!.$B$33:$E$33"</definedName>
    <definedName name="_31.1.94">#REF!</definedName>
    <definedName name="_31.1.95">#REF!</definedName>
    <definedName name="_31_10_01">"$#REF!.$B$39:$E$39"</definedName>
    <definedName name="_31_8_01">"$#REF!.$B$31:$E$31"</definedName>
    <definedName name="_8Excel_BuiltIn_Print_Area_28_1">#REF!</definedName>
    <definedName name="_a21420">#REF!</definedName>
    <definedName name="_a21430">#REF!</definedName>
    <definedName name="_a22220">#REF!</definedName>
    <definedName name="_a22241">#REF!</definedName>
    <definedName name="_a22242">#REF!</definedName>
    <definedName name="_a22260">#REF!</definedName>
    <definedName name="_a22270">#REF!</definedName>
    <definedName name="_a24385">#REF!</definedName>
    <definedName name="_a24391">#REF!</definedName>
    <definedName name="_a24392">#REF!</definedName>
    <definedName name="_a24393">#REF!</definedName>
    <definedName name="_a24394">#REF!</definedName>
    <definedName name="_a27120">#REF!</definedName>
    <definedName name="_a27150">#REF!</definedName>
    <definedName name="_a32320">#REF!</definedName>
    <definedName name="_a32730">#REF!</definedName>
    <definedName name="_a33130">#REF!</definedName>
    <definedName name="_a33140">#REF!</definedName>
    <definedName name="_a33160">#REF!</definedName>
    <definedName name="_a33170">#REF!</definedName>
    <definedName name="_a33190">#REF!</definedName>
    <definedName name="_a33210">#REF!</definedName>
    <definedName name="_a33230">#REF!</definedName>
    <definedName name="_a33240">#REF!</definedName>
    <definedName name="_a34010">#REF!</definedName>
    <definedName name="_a41230">#REF!</definedName>
    <definedName name="_a41240">#REF!</definedName>
    <definedName name="_a42781">#REF!</definedName>
    <definedName name="_a42782">#REF!</definedName>
    <definedName name="_a42783">#REF!</definedName>
    <definedName name="_A43220">#REF!</definedName>
    <definedName name="_a43230">#REF!</definedName>
    <definedName name="_a43260">#REF!</definedName>
    <definedName name="_a43270">#REF!</definedName>
    <definedName name="_a43320">#REF!</definedName>
    <definedName name="_a43330">#REF!</definedName>
    <definedName name="_a43360">#REF!</definedName>
    <definedName name="_a43370">#REF!</definedName>
    <definedName name="_a43530">#REF!</definedName>
    <definedName name="_a43540">#REF!</definedName>
    <definedName name="_a43560">#REF!</definedName>
    <definedName name="_a43570">#REF!</definedName>
    <definedName name="_a43630">#REF!</definedName>
    <definedName name="_a43640">#REF!</definedName>
    <definedName name="_a43660">#REF!</definedName>
    <definedName name="_a43670">#REF!</definedName>
    <definedName name="_a43730">#REF!</definedName>
    <definedName name="_a43750">#REF!</definedName>
    <definedName name="_a43760">#REF!</definedName>
    <definedName name="_a43770">#REF!</definedName>
    <definedName name="_a43780">#REF!</definedName>
    <definedName name="_a48610">#REF!</definedName>
    <definedName name="_a48611">#REF!</definedName>
    <definedName name="_a48620">#REF!</definedName>
    <definedName name="_a48621">#REF!</definedName>
    <definedName name="_a48781">#REF!</definedName>
    <definedName name="_a48782">#REF!</definedName>
    <definedName name="_a48783">#REF!</definedName>
    <definedName name="_a48784">#REF!</definedName>
    <definedName name="_a51530">#REF!</definedName>
    <definedName name="_a51560">#REF!</definedName>
    <definedName name="_a51620">#REF!</definedName>
    <definedName name="_a52010">#REF!</definedName>
    <definedName name="_a53110">#REF!</definedName>
    <definedName name="_a61430">#REF!</definedName>
    <definedName name="_a61470">#REF!</definedName>
    <definedName name="_a61620">#REF!</definedName>
    <definedName name="_a63110">#REF!</definedName>
    <definedName name="_a73310">#REF!</definedName>
    <definedName name="_a83175">#REF!</definedName>
    <definedName name="_a85160">#REF!</definedName>
    <definedName name="_a85250">#REF!</definedName>
    <definedName name="_a85510">#REF!</definedName>
    <definedName name="_a85520">#REF!</definedName>
    <definedName name="_a85530">#REF!</definedName>
    <definedName name="_a85540">#REF!</definedName>
    <definedName name="_a85550">#REF!</definedName>
    <definedName name="_a85570">#REF!</definedName>
    <definedName name="_a85580">#REF!</definedName>
    <definedName name="_a85590">#REF!</definedName>
    <definedName name="_a85611">#REF!</definedName>
    <definedName name="_a85621">#REF!</definedName>
    <definedName name="_a90300">#REF!</definedName>
    <definedName name="_a90400">#REF!</definedName>
    <definedName name="_a90510">#REF!</definedName>
    <definedName name="_a90520">#REF!</definedName>
    <definedName name="_a90530">#REF!</definedName>
    <definedName name="_a90540">#REF!</definedName>
    <definedName name="_a90610">#REF!</definedName>
    <definedName name="_a90620">#REF!</definedName>
    <definedName name="_a90630">#REF!</definedName>
    <definedName name="_a90640">#REF!</definedName>
    <definedName name="_a90710">#REF!</definedName>
    <definedName name="_a90720">#REF!</definedName>
    <definedName name="_a90730">#REF!</definedName>
    <definedName name="_a90740">#REF!</definedName>
    <definedName name="_a90810">#REF!</definedName>
    <definedName name="_a90820">#REF!</definedName>
    <definedName name="_a90830">#REF!</definedName>
    <definedName name="_a90840">#REF!</definedName>
    <definedName name="_a90910">#REF!</definedName>
    <definedName name="_a90920">#REF!</definedName>
    <definedName name="_a90930">#REF!</definedName>
    <definedName name="_a90940">#REF!</definedName>
    <definedName name="_a90950">#REF!</definedName>
    <definedName name="_a91310">#REF!</definedName>
    <definedName name="_a91320">#REF!</definedName>
    <definedName name="_a91330">#REF!</definedName>
    <definedName name="_a91340">#REF!</definedName>
    <definedName name="_a91350">#REF!</definedName>
    <definedName name="_a91710">#REF!</definedName>
    <definedName name="_a91720">#REF!</definedName>
    <definedName name="_a91730">#REF!</definedName>
    <definedName name="_a91740">#REF!</definedName>
    <definedName name="_a93100">#REF!</definedName>
    <definedName name="_a93200">#REF!</definedName>
    <definedName name="_a99340">#REF!</definedName>
    <definedName name="_a99350">#REF!</definedName>
    <definedName name="_ACT1">#REF!</definedName>
    <definedName name="_ACT2">#REF!</definedName>
    <definedName name="_ADJ1">#REF!</definedName>
    <definedName name="_ADJ2">#REF!</definedName>
    <definedName name="_ap110">#REF!</definedName>
    <definedName name="_B1">#REF!</definedName>
    <definedName name="_b90710">#REF!</definedName>
    <definedName name="_b90720">#REF!</definedName>
    <definedName name="_b90730">#REF!</definedName>
    <definedName name="_b90740">#REF!</definedName>
    <definedName name="_b95310">#REF!</definedName>
    <definedName name="_b95320">#REF!</definedName>
    <definedName name="_b95330">#REF!</definedName>
    <definedName name="_b95340">#REF!</definedName>
    <definedName name="_bs1">#REF!</definedName>
    <definedName name="_FS">[2]NTFS_Taxation!$G$31:$H$31</definedName>
    <definedName name="_Key1" hidden="1">'[7]F-1,F-3'!#REF!</definedName>
    <definedName name="_Key2" hidden="1">#REF!</definedName>
    <definedName name="_L">"$#REF!.$B$56"</definedName>
    <definedName name="_L_1">"$#REF!.$B$56"</definedName>
    <definedName name="_L_10">"$#REF!.$B$56"</definedName>
    <definedName name="_L_17">"$#REF!.$B$56"</definedName>
    <definedName name="_L_19">"$#REF!.$B$56"</definedName>
    <definedName name="_L_2">"$#REF!.$B$56"</definedName>
    <definedName name="_L_6">"$#REF!.$B$56"</definedName>
    <definedName name="_L_9">"$#REF!.$B$56"</definedName>
    <definedName name="_MAN1">#REF!</definedName>
    <definedName name="_OCT334">'[3]FF-3'!$1:$8</definedName>
    <definedName name="_Order1" hidden="1">255</definedName>
    <definedName name="_Order2" hidden="1">255</definedName>
    <definedName name="_p2">'[5]osm (2)'!_p2</definedName>
    <definedName name="_P3">[4]cashflowcomp!$C$1:$J$67</definedName>
    <definedName name="_PL1">#REF!</definedName>
    <definedName name="_PL2">#REF!</definedName>
    <definedName name="_PL3">#REF!</definedName>
    <definedName name="_PL5">#REF!</definedName>
    <definedName name="_Sort" hidden="1">'[7]F-1,F-3'!#REF!</definedName>
    <definedName name="_WCHR1.T1">#N/A</definedName>
    <definedName name="A">#REF!</definedName>
    <definedName name="A_C_Code__2220_Virsagi_Management">"$#REF!.$A$98:$E$1252"</definedName>
    <definedName name="A_C_Code__2270_H.O.R">"$#REF!.$A$219:$E$222"</definedName>
    <definedName name="A_C_Code__3400_Recoverable">"$#REF!.$A$240:$E$596"</definedName>
    <definedName name="A_C_Code__3402_Recoverable___TC">"$#REF!.$A$599:$E$605"</definedName>
    <definedName name="A_C_Code__4030_Partnership">"$#REF!.$A$224:$E$237"</definedName>
    <definedName name="A_C_Code__4100_Deposit_Received">"$#REF!.$A$607:$E$679"</definedName>
    <definedName name="A_C_Code_2060_Staff_Advance">"$#REF!.$B$5:$E$5"</definedName>
    <definedName name="A_DescriptionList">'[8]Interim --&gt; Top'!$E$3:$E$111</definedName>
    <definedName name="a12120_">#REF!</definedName>
    <definedName name="a12220_">#REF!</definedName>
    <definedName name="a12241_">#REF!</definedName>
    <definedName name="a12260_">#REF!</definedName>
    <definedName name="a12270_">#REF!</definedName>
    <definedName name="a13220_">#REF!</definedName>
    <definedName name="a13230_">#REF!</definedName>
    <definedName name="a13320_">#REF!</definedName>
    <definedName name="a13330_">#REF!</definedName>
    <definedName name="a13720_">#REF!</definedName>
    <definedName name="a13730_">#REF!</definedName>
    <definedName name="a13750_">#REF!</definedName>
    <definedName name="a13760_">#REF!</definedName>
    <definedName name="a13820_">#REF!</definedName>
    <definedName name="a13830_">#REF!</definedName>
    <definedName name="a13850_">#REF!</definedName>
    <definedName name="a13860_">#REF!</definedName>
    <definedName name="AA">#REF!</definedName>
    <definedName name="aaa">[9]gl!#REF!</definedName>
    <definedName name="AAClaim">#REF!</definedName>
    <definedName name="aba">#REF!</definedName>
    <definedName name="ABC">[10]Investment!$A$1:$O$71</definedName>
    <definedName name="Acc_Depreciation">#REF!</definedName>
    <definedName name="ACCOUNT">"'file:///F:/Documents and Settings/SHADOW/DOCS/CHEECHUNG/Book2.xls'#$Sheet3.$#REF!$#REF!"</definedName>
    <definedName name="ACTUALYTDCAPEXPD">"$#REF!.$AA$28"</definedName>
    <definedName name="ACTUALYTDDIREXP">"$#REF!.$AA$18"</definedName>
    <definedName name="ACTUALYTDEXP">"$#REF!.$AA$20"</definedName>
    <definedName name="ACTUALYTDGOP">"$#REF!.$AA$22"</definedName>
    <definedName name="ACTUALYTDINDIREXP">"$#REF!.$AA$19"</definedName>
    <definedName name="ACTUALYTDINT30M">"$#REF!.$AA$36"</definedName>
    <definedName name="ACTUALYTDINTLCH">"$#REF!.$AA$38"</definedName>
    <definedName name="ACTUALYTDNOP">"$#REF!.$AA$41"</definedName>
    <definedName name="ACTUALYTDOWNEXP">"$#REF!.$AA$32"</definedName>
    <definedName name="ACTUALYTDRENT">"$#REF!.$AA$27"</definedName>
    <definedName name="ACTUALYTDREV">"$#REF!.$AA$16"</definedName>
    <definedName name="Add_Less">'[11]1 LeadSchedule'!#REF!</definedName>
    <definedName name="AHPL_ACTINTREC">"$#REF!.$BF$39"</definedName>
    <definedName name="AHPL_ACTMISEXP">"$#REF!.$BF$46"</definedName>
    <definedName name="AHPL_ACTUALNP">"$#REF!.$BF$48"</definedName>
    <definedName name="AHPL_BGTINTREC">"$#REF!.$BG$39"</definedName>
    <definedName name="AHPL_BGTMISEXP">"$#REF!.$BG$46"</definedName>
    <definedName name="AHPL_BGTNP">"$#REF!.$BG$48"</definedName>
    <definedName name="ALLOT1">#REF!</definedName>
    <definedName name="ALLOT2">#REF!</definedName>
    <definedName name="AMT_DUE_TO_DIR">[2]NTFS_Taxation!$HT$8224</definedName>
    <definedName name="analysisde1">[12]gl!#REF!</definedName>
    <definedName name="analysisde2">[12]gl!#REF!</definedName>
    <definedName name="Annual_interest_rate">#REF!</definedName>
    <definedName name="Answer_D2">#REF!</definedName>
    <definedName name="Answer_D2.1">#REF!</definedName>
    <definedName name="Answer_E2">#REF!</definedName>
    <definedName name="Answer_E2.1">#REF!</definedName>
    <definedName name="Answer_E2_Range2">#REF!</definedName>
    <definedName name="Answer_F2">#REF!</definedName>
    <definedName name="Answer_F2.1">#REF!</definedName>
    <definedName name="Answer_F2_Range2">#REF!</definedName>
    <definedName name="Answer_F2_Range3">#REF!</definedName>
    <definedName name="Answer_G2">#REF!</definedName>
    <definedName name="Answer_G2.1">#REF!</definedName>
    <definedName name="Answer_H2">#REF!</definedName>
    <definedName name="Answer_H2.1">#REF!</definedName>
    <definedName name="Answer_H2_Range2">#REF!</definedName>
    <definedName name="Answer_I2">#REF!</definedName>
    <definedName name="Answer_I2.1">#REF!</definedName>
    <definedName name="Answer_I2_Range2">#REF!</definedName>
    <definedName name="Answer_I2_Range3">#REF!</definedName>
    <definedName name="Answer_I2_Range4">#REF!</definedName>
    <definedName name="Answer_J2">#REF!</definedName>
    <definedName name="Answer_J2.1">#REF!</definedName>
    <definedName name="Answer_J2_Range2">#REF!</definedName>
    <definedName name="Answer_J2_Range3">#REF!</definedName>
    <definedName name="Answer_J2_Range4">#REF!</definedName>
    <definedName name="Answer_k">#REF!</definedName>
    <definedName name="Answer_K2">#REF!</definedName>
    <definedName name="Answer_K2.1">#REF!</definedName>
    <definedName name="Answer_K2_Range2">#REF!</definedName>
    <definedName name="Answer_L2">#REF!</definedName>
    <definedName name="Answer_L2.1">#REF!</definedName>
    <definedName name="Answer_L2_Range2">#REF!</definedName>
    <definedName name="Answer_L2_Range3">#REF!</definedName>
    <definedName name="Answer_L2_Range4">#REF!</definedName>
    <definedName name="Answer_M2">#REF!</definedName>
    <definedName name="Answer_M2.1">#REF!</definedName>
    <definedName name="Answer_N2">#REF!</definedName>
    <definedName name="Answer_N2.1">#REF!</definedName>
    <definedName name="Answer_O2">#REF!</definedName>
    <definedName name="Answer_O2.1">#REF!</definedName>
    <definedName name="Answer_O2_Range2">#REF!</definedName>
    <definedName name="Answer_O2_Range3">#REF!</definedName>
    <definedName name="Answer_P2">#REF!</definedName>
    <definedName name="Answer_P2.1">#REF!</definedName>
    <definedName name="Answer_R2">#REF!</definedName>
    <definedName name="Answer_R2.1">#REF!</definedName>
    <definedName name="Answer_R2_Range2">#REF!</definedName>
    <definedName name="Answer_R2_Range3">#REF!</definedName>
    <definedName name="Answer_R2_Range4">#REF!</definedName>
    <definedName name="Answer_S2">#REF!</definedName>
    <definedName name="Answer_T2">#REF!</definedName>
    <definedName name="Answer_T2.1">#REF!</definedName>
    <definedName name="Answer_U2">#REF!</definedName>
    <definedName name="Answer_U2.1">#REF!</definedName>
    <definedName name="Answer_V2">#REF!</definedName>
    <definedName name="APM_DPL">"'file:///F:/Documents and Settings/SHADOW/DOCS/CHEECHUNG/Book2.xls'#$_REF.$#REF!$#REF!"</definedName>
    <definedName name="appendix1">[12]gl!#REF!</definedName>
    <definedName name="appendix2_1">[12]gl!#REF!</definedName>
    <definedName name="appendix2_2">[12]gl!#REF!</definedName>
    <definedName name="asb">#REF!</definedName>
    <definedName name="asd">'[13]Breakdown (1)'!#REF!</definedName>
    <definedName name="asdf">'[13]Breakdown (1)'!#REF!</definedName>
    <definedName name="ASJ">#REF!</definedName>
    <definedName name="AskToRefreshProgrammesOnSave">FALSE</definedName>
    <definedName name="ATopicSelected">#REF!</definedName>
    <definedName name="ATopicSelected_No">#REF!</definedName>
    <definedName name="ATopicSelected_Yes">#REF!</definedName>
    <definedName name="auditor">"'file:///F:/Documents and Settings/SHADOW/DOCS/CHEECHUNG/Book2.xls'#$nta_fa_company.$#REF!$#REF!"</definedName>
    <definedName name="avg_bugt_mth">"$#REF!.$C$38"</definedName>
    <definedName name="avg_bugt_mth_1">"$#REF!.$C$38"</definedName>
    <definedName name="avg_bugt_mth_10">"$#REF!.$C$38"</definedName>
    <definedName name="avg_bugt_mth_17">"$#REF!.$C$38"</definedName>
    <definedName name="avg_bugt_mth_19">"$#REF!.$C$38"</definedName>
    <definedName name="avg_bugt_mth_2">"$#REF!.$C$38"</definedName>
    <definedName name="avg_bugt_mth_6">"$#REF!.$C$38"</definedName>
    <definedName name="avg_bugt_mth_9">"$#REF!.$C$38"</definedName>
    <definedName name="avg_bugtoccu_ytd">"$#REF!.$K$38"</definedName>
    <definedName name="avg_bugtoccu_ytd_1">"$#REF!.$K$38"</definedName>
    <definedName name="avg_bugtoccu_ytd_10">"$#REF!.$K$38"</definedName>
    <definedName name="avg_bugtoccu_ytd_17">"$#REF!.$K$38"</definedName>
    <definedName name="avg_bugtoccu_ytd_19">"$#REF!.$K$38"</definedName>
    <definedName name="avg_bugtoccu_ytd_2">"$#REF!.$K$38"</definedName>
    <definedName name="avg_bugtoccu_ytd_6">"$#REF!.$K$38"</definedName>
    <definedName name="avg_bugtoccu_ytd_9">"$#REF!.$K$38"</definedName>
    <definedName name="avg_bugtroom_mth">"$#REF!.$E$38"</definedName>
    <definedName name="avg_bugtroom_mth_1">"$#REF!.$E$38"</definedName>
    <definedName name="avg_bugtroom_mth_10">"$#REF!.$E$38"</definedName>
    <definedName name="avg_bugtroom_mth_17">"$#REF!.$E$38"</definedName>
    <definedName name="avg_bugtroom_mth_19">"$#REF!.$E$38"</definedName>
    <definedName name="avg_bugtroom_mth_2">"$#REF!.$E$38"</definedName>
    <definedName name="avg_bugtroom_mth_6">"$#REF!.$E$38"</definedName>
    <definedName name="avg_bugtroom_mth_9">"$#REF!.$E$38"</definedName>
    <definedName name="avg_bugtroom_ytd">"$#REF!.$M$38"</definedName>
    <definedName name="avg_bugtroom_ytd_1">"$#REF!.$M$38"</definedName>
    <definedName name="avg_bugtroom_ytd_10">"$#REF!.$M$38"</definedName>
    <definedName name="avg_bugtroom_ytd_17">"$#REF!.$M$38"</definedName>
    <definedName name="avg_bugtroom_ytd_19">"$#REF!.$M$38"</definedName>
    <definedName name="avg_bugtroom_ytd_2">"$#REF!.$M$38"</definedName>
    <definedName name="avg_bugtroom_ytd_6">"$#REF!.$M$38"</definedName>
    <definedName name="avg_bugtroom_ytd_9">"$#REF!.$M$38"</definedName>
    <definedName name="avg_occu_mth">"$#REF!.$B$38"</definedName>
    <definedName name="avg_occu_mth_1">"$#REF!.$B$38"</definedName>
    <definedName name="avg_occu_mth_10">"$#REF!.$B$38"</definedName>
    <definedName name="avg_occu_mth_17">"$#REF!.$B$38"</definedName>
    <definedName name="avg_occu_mth_19">"$#REF!.$B$38"</definedName>
    <definedName name="avg_occu_mth_2">"$#REF!.$B$38"</definedName>
    <definedName name="avg_occu_mth_6">"$#REF!.$B$38"</definedName>
    <definedName name="avg_occu_mth_9">"$#REF!.$B$38"</definedName>
    <definedName name="avg_occu_ytd">"$#REF!.$J$38"</definedName>
    <definedName name="avg_occu_ytd_1">"$#REF!.$J$38"</definedName>
    <definedName name="avg_occu_ytd_10">"$#REF!.$J$38"</definedName>
    <definedName name="avg_occu_ytd_17">"$#REF!.$J$38"</definedName>
    <definedName name="avg_occu_ytd_19">"$#REF!.$J$38"</definedName>
    <definedName name="avg_occu_ytd_2">"$#REF!.$J$38"</definedName>
    <definedName name="avg_occu_ytd_6">"$#REF!.$J$38"</definedName>
    <definedName name="avg_occu_ytd_9">"$#REF!.$J$38"</definedName>
    <definedName name="avg_room_mth">"$#REF!.$D$38"</definedName>
    <definedName name="avg_room_mth_1">"$#REF!.$D$38"</definedName>
    <definedName name="avg_room_mth_10">"$#REF!.$D$38"</definedName>
    <definedName name="avg_room_mth_17">"$#REF!.$D$38"</definedName>
    <definedName name="avg_room_mth_19">"$#REF!.$D$38"</definedName>
    <definedName name="avg_room_mth_2">"$#REF!.$D$38"</definedName>
    <definedName name="avg_room_mth_6">"$#REF!.$D$38"</definedName>
    <definedName name="avg_room_mth_9">"$#REF!.$D$38"</definedName>
    <definedName name="avg_room_ytd">"$#REF!.$L$38"</definedName>
    <definedName name="avg_room_ytd_1">"$#REF!.$L$38"</definedName>
    <definedName name="avg_room_ytd_10">"$#REF!.$L$38"</definedName>
    <definedName name="avg_room_ytd_17">"$#REF!.$L$38"</definedName>
    <definedName name="avg_room_ytd_19">"$#REF!.$L$38"</definedName>
    <definedName name="avg_room_ytd_2">"$#REF!.$L$38"</definedName>
    <definedName name="avg_room_ytd_6">"$#REF!.$L$38"</definedName>
    <definedName name="avg_room_ytd_9">"$#REF!.$L$38"</definedName>
    <definedName name="AVGK_BUGT_MTH">"'file:///F:/MGMTACC/HOTELS/PERTH/99OBPAH.XLS'#$RATE99.$#REF!$#REF!"</definedName>
    <definedName name="AVGK_BUGT_MTH_1">"'file:///J:/MGMTACC/HOTELS/PERTH/99OBPAH.XLS'#$RATE99.$#REF!$#REF!"</definedName>
    <definedName name="AVGK_BUGT_MTH_2">"'file:///J:/MGMTACC/HOTELS/PERTH/99OBPAH.XLS'#$RATE99.$#REF!$#REF!"</definedName>
    <definedName name="AVGK_BUGT_MTH_6">"'file:///E:/MGMTACC/HOTELS/PERTH/99OBPAH.XLS'#$RATE99.$#REF!$#REF!"</definedName>
    <definedName name="AVGK_BUGT_MTH_9">"'file:///E:/MGMTACC/HOTELS/PERTH/99OBPAH.XLS'#$RATE99.$#REF!$#REF!"</definedName>
    <definedName name="AVGK_BUGTOCCU_YTD">"'file:///F:/MGMTACC/HOTELS/PERTH/99OBPAH.XLS'#$RATE99.$#REF!$#REF!"</definedName>
    <definedName name="AVGK_BUGTOCCU_YTD_1">"'file:///J:/MGMTACC/HOTELS/PERTH/99OBPAH.XLS'#$RATE99.$#REF!$#REF!"</definedName>
    <definedName name="AVGK_BUGTOCCU_YTD_2">"'file:///J:/MGMTACC/HOTELS/PERTH/99OBPAH.XLS'#$RATE99.$#REF!$#REF!"</definedName>
    <definedName name="AVGK_BUGTOCCU_YTD_6">"'file:///E:/MGMTACC/HOTELS/PERTH/99OBPAH.XLS'#$RATE99.$#REF!$#REF!"</definedName>
    <definedName name="AVGK_BUGTOCCU_YTD_9">"'file:///E:/MGMTACC/HOTELS/PERTH/99OBPAH.XLS'#$RATE99.$#REF!$#REF!"</definedName>
    <definedName name="AVGK_BUGTROOM_MTH">"'file:///F:/MGMTACC/HOTELS/PERTH/99OBPAH.XLS'#$RATE99.$#REF!$#REF!"</definedName>
    <definedName name="AVGK_BUGTROOM_MTH_1">"'file:///J:/MGMTACC/HOTELS/PERTH/99OBPAH.XLS'#$RATE99.$#REF!$#REF!"</definedName>
    <definedName name="AVGK_BUGTROOM_MTH_2">"'file:///J:/MGMTACC/HOTELS/PERTH/99OBPAH.XLS'#$RATE99.$#REF!$#REF!"</definedName>
    <definedName name="AVGK_BUGTROOM_MTH_6">"'file:///E:/MGMTACC/HOTELS/PERTH/99OBPAH.XLS'#$RATE99.$#REF!$#REF!"</definedName>
    <definedName name="AVGK_BUGTROOM_MTH_9">"'file:///E:/MGMTACC/HOTELS/PERTH/99OBPAH.XLS'#$RATE99.$#REF!$#REF!"</definedName>
    <definedName name="AVGK_BUGTROOM_YTD">"'file:///F:/MGMTACC/HOTELS/PERTH/99OBPAH.XLS'#$RATE99.$#REF!$#REF!"</definedName>
    <definedName name="AVGK_BUGTROOM_YTD_1">"'file:///J:/MGMTACC/HOTELS/PERTH/99OBPAH.XLS'#$RATE99.$#REF!$#REF!"</definedName>
    <definedName name="AVGK_BUGTROOM_YTD_2">"'file:///J:/MGMTACC/HOTELS/PERTH/99OBPAH.XLS'#$RATE99.$#REF!$#REF!"</definedName>
    <definedName name="AVGK_BUGTROOM_YTD_6">"'file:///E:/MGMTACC/HOTELS/PERTH/99OBPAH.XLS'#$RATE99.$#REF!$#REF!"</definedName>
    <definedName name="AVGK_BUGTROOM_YTD_9">"'file:///E:/MGMTACC/HOTELS/PERTH/99OBPAH.XLS'#$RATE99.$#REF!$#REF!"</definedName>
    <definedName name="AVGK_OCCU_MTH">"'file:///F:/MGMTACC/HOTELS/PERTH/99OBPAH.XLS'#$RATE99.$#REF!$#REF!"</definedName>
    <definedName name="AVGK_OCCU_MTH_1">"'file:///J:/MGMTACC/HOTELS/PERTH/99OBPAH.XLS'#$RATE99.$#REF!$#REF!"</definedName>
    <definedName name="AVGK_OCCU_MTH_2">"'file:///J:/MGMTACC/HOTELS/PERTH/99OBPAH.XLS'#$RATE99.$#REF!$#REF!"</definedName>
    <definedName name="AVGK_OCCU_MTH_6">"'file:///E:/MGMTACC/HOTELS/PERTH/99OBPAH.XLS'#$RATE99.$#REF!$#REF!"</definedName>
    <definedName name="AVGK_OCCU_MTH_9">"'file:///E:/MGMTACC/HOTELS/PERTH/99OBPAH.XLS'#$RATE99.$#REF!$#REF!"</definedName>
    <definedName name="AVGK_OCCU_YTD">"'file:///F:/MGMTACC/HOTELS/PERTH/99OBPAH.XLS'#$RATE99.$#REF!$#REF!"</definedName>
    <definedName name="AVGK_OCCU_YTD_1">"'file:///J:/MGMTACC/HOTELS/PERTH/99OBPAH.XLS'#$RATE99.$#REF!$#REF!"</definedName>
    <definedName name="AVGK_OCCU_YTD_2">"'file:///J:/MGMTACC/HOTELS/PERTH/99OBPAH.XLS'#$RATE99.$#REF!$#REF!"</definedName>
    <definedName name="AVGK_OCCU_YTD_6">"'file:///E:/MGMTACC/HOTELS/PERTH/99OBPAH.XLS'#$RATE99.$#REF!$#REF!"</definedName>
    <definedName name="AVGK_OCCU_YTD_9">"'file:///E:/MGMTACC/HOTELS/PERTH/99OBPAH.XLS'#$RATE99.$#REF!$#REF!"</definedName>
    <definedName name="AVGK_ROOM_MTH">"'file:///F:/MGMTACC/HOTELS/PERTH/99OBPAH.XLS'#$RATE99.$#REF!$#REF!"</definedName>
    <definedName name="AVGK_ROOM_MTH_1">"'file:///J:/MGMTACC/HOTELS/PERTH/99OBPAH.XLS'#$RATE99.$#REF!$#REF!"</definedName>
    <definedName name="AVGK_ROOM_MTH_2">"'file:///J:/MGMTACC/HOTELS/PERTH/99OBPAH.XLS'#$RATE99.$#REF!$#REF!"</definedName>
    <definedName name="AVGK_ROOM_MTH_6">"'file:///E:/MGMTACC/HOTELS/PERTH/99OBPAH.XLS'#$RATE99.$#REF!$#REF!"</definedName>
    <definedName name="AVGK_ROOM_MTH_9">"'file:///E:/MGMTACC/HOTELS/PERTH/99OBPAH.XLS'#$RATE99.$#REF!$#REF!"</definedName>
    <definedName name="AVGK_ROOM_YTD">"'file:///F:/MGMTACC/HOTELS/PERTH/99OBPAH.XLS'#$RATE99.$#REF!$#REF!"</definedName>
    <definedName name="AVGK_ROOM_YTD_1">"'file:///J:/MGMTACC/HOTELS/PERTH/99OBPAH.XLS'#$RATE99.$#REF!$#REF!"</definedName>
    <definedName name="AVGK_ROOM_YTD_2">"'file:///J:/MGMTACC/HOTELS/PERTH/99OBPAH.XLS'#$RATE99.$#REF!$#REF!"</definedName>
    <definedName name="AVGK_ROOM_YTD_6">"'file:///E:/MGMTACC/HOTELS/PERTH/99OBPAH.XLS'#$RATE99.$#REF!$#REF!"</definedName>
    <definedName name="AVGK_ROOM_YTD_9">"'file:///E:/MGMTACC/HOTELS/PERTH/99OBPAH.XLS'#$RATE99.$#REF!$#REF!"</definedName>
    <definedName name="awps">'[14]FF-6'!$A$5:$K$9</definedName>
    <definedName name="axc">#REF!</definedName>
    <definedName name="B">#REF!</definedName>
    <definedName name="b95310_">#REF!</definedName>
    <definedName name="b95320_">#REF!</definedName>
    <definedName name="b95330_">#REF!</definedName>
    <definedName name="b95340_">#REF!</definedName>
    <definedName name="ba">#REF!</definedName>
    <definedName name="BAClaim">#REF!</definedName>
    <definedName name="Basis_end">'[11]1 LeadSchedule'!#REF!</definedName>
    <definedName name="Basis_start">#REF!</definedName>
    <definedName name="BBB">'[15]5 Analysis'!#REF!</definedName>
    <definedName name="BC">#REF!</definedName>
    <definedName name="BCClaim">#REF!</definedName>
    <definedName name="BCD">[10]Investment!$A$1:$O$47</definedName>
    <definedName name="BGTYTDCAPEXPD">"$#REF!.$AB$28"</definedName>
    <definedName name="BGTYTDDIREXP">"$#REF!.$AB$18"</definedName>
    <definedName name="BGTYTDEXP">"$#REF!.$AB$20"</definedName>
    <definedName name="BGTYTDGOP">"$#REF!.$AB$22"</definedName>
    <definedName name="BGTYTDINDIREXP">"$#REF!.$AB$19"</definedName>
    <definedName name="BGTYTDINT30M">"$#REF!.$AB$36"</definedName>
    <definedName name="BGTYTDINTLCH">"$#REF!.$AB$38"</definedName>
    <definedName name="BGTYTDNOP">"$#REF!.$AB$41"</definedName>
    <definedName name="BGTYTDOWNEXP">"$#REF!.$AB$32"</definedName>
    <definedName name="BGTYTDRENT">"$#REF!.$AB$27"</definedName>
    <definedName name="BGTYTDREV">"$#REF!.$AB$16"</definedName>
    <definedName name="ca">#REF!</definedName>
    <definedName name="Cash_Flow">"$#REF!.$B$182:$K$182"</definedName>
    <definedName name="Cash_Flow_Statement">[2]DPL2!$A$9:$I$48</definedName>
    <definedName name="cash_flow1">"$#REF!.$B$182:$K$182"</definedName>
    <definedName name="Category">"$#REF!.$E$2:$E$20"</definedName>
    <definedName name="Category_1">"$#REF!.$E$2:$E$20"</definedName>
    <definedName name="Category_10">"$#REF!.$E$2:$E$20"</definedName>
    <definedName name="Category_17">"$#REF!.$E$2:$E$20"</definedName>
    <definedName name="Category_19">"$#REF!.$E$2:$E$20"</definedName>
    <definedName name="Category_2">"$#REF!.$E$2:$E$20"</definedName>
    <definedName name="Category_6">"$#REF!.$E$2:$E$20"</definedName>
    <definedName name="Category_9">"$#REF!.$E$2:$E$20"</definedName>
    <definedName name="CATotals">#REF!</definedName>
    <definedName name="ccc">"$#REF!.$AC$27"</definedName>
    <definedName name="ccsa">"$#REF!.$A$1:$D$5"</definedName>
    <definedName name="cde">#REF!</definedName>
    <definedName name="cf_1b">"$#REF!.$B$91"</definedName>
    <definedName name="cf_1c">"$#REF!.$C$91"</definedName>
    <definedName name="cf_1d">"$#REF!.$D$91"</definedName>
    <definedName name="cf_2">"$#REF!.$E$91"</definedName>
    <definedName name="cfc_1b">"$#REF!.$B$72"</definedName>
    <definedName name="cfc_1c">"$#REF!.$C$72"</definedName>
    <definedName name="cfc_1d">"$#REF!.$D$72"</definedName>
    <definedName name="cfc_2">"$#REF!.$E$72"</definedName>
    <definedName name="cfp_1b">"$#REF!.$B$74"</definedName>
    <definedName name="cfp_1c">"$#REF!.$C$74"</definedName>
    <definedName name="cfp_1d">"$#REF!.$D$74"</definedName>
    <definedName name="cfp_2">"$#REF!.$E$74"</definedName>
    <definedName name="cfpc_1b">"$#REF!.$B$81"</definedName>
    <definedName name="cfpi_1b">"$#REF!.$B$82"</definedName>
    <definedName name="cfpi_1c">"$#REF!.$C$82"</definedName>
    <definedName name="cfpi_1d">"$#REF!.$D$82"</definedName>
    <definedName name="cfpi_2">"$#REF!.$E$82"</definedName>
    <definedName name="cfpm_1b">"$#REF!.$B$86"</definedName>
    <definedName name="cfpm_1c">"$#REF!.$C$86"</definedName>
    <definedName name="cfpm_1d">"$#REF!.$D$86"</definedName>
    <definedName name="cfpm_2">"$#REF!.$E$86"</definedName>
    <definedName name="cfpo_1b">"$#REF!.$B$81"</definedName>
    <definedName name="cfpo_1c">"$#REF!.$C$81"</definedName>
    <definedName name="cfpo_1d">"$#REF!.$D$81"</definedName>
    <definedName name="cfpo_2">"$#REF!.$E$81"</definedName>
    <definedName name="cfpp_1b">"$#REF!.$B$83"</definedName>
    <definedName name="cfpp_1c">"$#REF!.$C$83"</definedName>
    <definedName name="cfpp_1d">"$#REF!.$D$83"</definedName>
    <definedName name="cfpp_2">"$#REF!.$E$83"</definedName>
    <definedName name="cfr_1b">"$#REF!.$B$76"</definedName>
    <definedName name="cfr_1c">"$#REF!.$C$76"</definedName>
    <definedName name="cfr_1d">"$#REF!.$D$76"</definedName>
    <definedName name="cfr_2">"$#REF!.$E$76"</definedName>
    <definedName name="Chargeabl">'[16]FF-1'!#REF!</definedName>
    <definedName name="Chargeable">'[17]1 LeadSchedule'!#REF!</definedName>
    <definedName name="Chargeable___0">[18]FF_2!#REF!</definedName>
    <definedName name="Chargeable___44">[18]FF_2!#REF!</definedName>
    <definedName name="Chargeable___77">[18]FF_2!#REF!</definedName>
    <definedName name="Chg_In_Eqt">"$#REF!.$A$7:$J$41"</definedName>
    <definedName name="Client_FileNo">#REF!</definedName>
    <definedName name="Client_FileNo_Desc">#REF!</definedName>
    <definedName name="Client_Name">#REF!</definedName>
    <definedName name="Client_Name_Desc">#REF!</definedName>
    <definedName name="Client_YearEnd">#REF!</definedName>
    <definedName name="Client_YearEnd_Desc">#REF!</definedName>
    <definedName name="cm_emploi_abc_adm">"$#REF!.$B$16"</definedName>
    <definedName name="cm_emploi_abc_deplacement">"$#REF!.$B$14"</definedName>
    <definedName name="cm_emploi_ismap_adm">"$#REF!.$B$11"</definedName>
    <definedName name="cm_emploi_ismap_deplacement">"$#REF!.$B$10"</definedName>
    <definedName name="Co_name">#REF!</definedName>
    <definedName name="COMMITMENTS">#N/A</definedName>
    <definedName name="CONSOL_JNL">#N/A</definedName>
    <definedName name="CONTINGENCY">#N/A</definedName>
    <definedName name="CONTROL">#N/A</definedName>
    <definedName name="Cost">#REF!</definedName>
    <definedName name="Count3">#REF!</definedName>
    <definedName name="cout_1_plan_papier">"$#REF!.$B$16"</definedName>
    <definedName name="Coy_cel">#REF!</definedName>
    <definedName name="Coy_cell">#REF!</definedName>
    <definedName name="Coy_name">#REF!</definedName>
    <definedName name="CR">[19]APCODE!$A$3:$B$65536</definedName>
    <definedName name="creditor">#REF!</definedName>
    <definedName name="CREDITORS">#REF!</definedName>
    <definedName name="_xlnm.Criteria">#REF!</definedName>
    <definedName name="CROK">[19]APCODE!$B$3:$C$602</definedName>
    <definedName name="CTTotals">#REF!</definedName>
    <definedName name="CurrentYA">'[20]Company Info'!$B$6</definedName>
    <definedName name="CurrYA">'[20]CA Comp'!#REF!</definedName>
    <definedName name="cv_1b">"$#REF!.$B$92"</definedName>
    <definedName name="cv_1c">"$#REF!.$C$92"</definedName>
    <definedName name="cv_1d">"$#REF!.$D$92"</definedName>
    <definedName name="cv_2">"$#REF!.$E$92"</definedName>
    <definedName name="cvc_1b">"$#REF!.$B$73"</definedName>
    <definedName name="cvc_1c">"$#REF!.$C$73"</definedName>
    <definedName name="cvc_1d">"$#REF!.$D$73"</definedName>
    <definedName name="cvc_2">"$#REF!.$E$73"</definedName>
    <definedName name="cvp_1b">"$#REF!.$B$75"</definedName>
    <definedName name="cvp_1c">"$#REF!.$C$75"</definedName>
    <definedName name="cvp_1d">"$#REF!.$D$75"</definedName>
    <definedName name="cvp_1v">"$#REF!.$C$75"</definedName>
    <definedName name="cvp_2">"$#REF!.$E$75"</definedName>
    <definedName name="cvr_1b">"$#REF!.$B$77"</definedName>
    <definedName name="cvr_1c">"$#REF!.$C$77"</definedName>
    <definedName name="cvr_1d">"$#REF!.$D$77"</definedName>
    <definedName name="cvr_2">"$#REF!.$E$77"</definedName>
    <definedName name="d">[21]ca!#REF!</definedName>
    <definedName name="Data">#REF!</definedName>
    <definedName name="_xlnm.Database">#REF!</definedName>
    <definedName name="Date">#REF!</definedName>
    <definedName name="depn">"'file:///F:/Documents and Settings/SHADOW/DOCS/CHEECHUNG/Book2.xls'#$nta_fa_company.$#REF!$#REF!"</definedName>
    <definedName name="DEPNýAIR_CON">"'file:///F:/Documents and Settings/SHADOW/DOCS/CHEECHUNG/Book2.xls'#$NTFS_Taxation.$#REF!$#REF!"</definedName>
    <definedName name="DEPRECIATION">"'file:///F:/Documents and Settings/SHADOW/DOCS/CHEECHUNG/Book2.xls'#$Equity.$#REF!$#REF!"</definedName>
    <definedName name="DEXP">"'file:///F:/Documents and Settings/SHADOW/DOCS/CHEECHUNG/Book2.xls'#$Sheet3.$#REF!$#REF!"</definedName>
    <definedName name="DFA">"'file:///F:/Documents and Settings/SHADOW/DOCS/CHEECHUNG/Book2.xls'#$Sheet3.$#REF!$#REF!"</definedName>
    <definedName name="dfd">'[22]FF-3'!$A$9:$K$11</definedName>
    <definedName name="DIRECTOR_SHARE">"'file:///F:/Documents and Settings/SHADOW/DOCS/CHEECHUNG/Book2.xls'#$Sheet3.$#REF!$#REF!"</definedName>
    <definedName name="DisposalTotals">#REF!</definedName>
    <definedName name="DPL">"'file:///F:/Documents and Settings/SHADOW/DOCS/CHEECHUNG/Book2.xls'#$Sheet3.$#REF!$#REF!"</definedName>
    <definedName name="DR_Accounts">"$#REF!.$A$1:$E$4"</definedName>
    <definedName name="DR_deemed_int">[2]NTFS_Taxation!$A$5:$J$13</definedName>
    <definedName name="DR_dir_shareholding">"'file:///F:/Documents and Settings/SHADOW/DOCS/CHEECHUNG/Book2.xls'#$'PL _ APM'.$#REF!$#REF!"</definedName>
    <definedName name="DR_DIRECTORS_DEEMED_INTEREST">[2]NTFS_Taxation!$A$1:$J$23</definedName>
    <definedName name="DR_DIRECTORS_DEEMED_INTEREST_IN_SHARES">[2]NTFS_Taxation!$A$1:$L$16</definedName>
    <definedName name="DR_DirIntSub">"$#REF!.$A$4:$M$26"</definedName>
    <definedName name="DR_results">"$#REF!.$A$6:$G$11"</definedName>
    <definedName name="DR_Shares_held_by_director">[2]NTFS_Taxation!$A$2:$L$11</definedName>
    <definedName name="DSC">"'file:///F:/Documents and Settings/SHADOW/DOCS/CHEECHUNG/Book2.xls'#$Sheet3.$#REF!$#REF!"</definedName>
    <definedName name="E">#REF!</definedName>
    <definedName name="E2_Range2">#REF!</definedName>
    <definedName name="Earliest_Month">"'file:///K:/REVBGT/P&amp;L99/HOT_REV/LCT.XLS'#$MTHR99.$#REF!$#REF!"</definedName>
    <definedName name="EEEE">[23]!EEEE</definedName>
    <definedName name="equity_22">'[2]APM _ DPL'!$A$7:$P$21</definedName>
    <definedName name="Excel_BuiltIn_Database">"$#REF!.$A$5:$AD$48"</definedName>
    <definedName name="Excel_BuiltIn_Database_1">"$#REF!.$A$5:$AD$48"</definedName>
    <definedName name="Excel_BuiltIn_Database_10">"$#REF!.$A$5:$AD$48"</definedName>
    <definedName name="Excel_BuiltIn_Database_17">"$#REF!.$A$5:$AD$48"</definedName>
    <definedName name="Excel_BuiltIn_Database_19">"$#REF!.$A$5:$AD$48"</definedName>
    <definedName name="Excel_BuiltIn_Database_2">"$#REF!.$A$5:$AD$48"</definedName>
    <definedName name="Excel_BuiltIn_Database_6">"$#REF!.$A$5:$AD$48"</definedName>
    <definedName name="Excel_BuiltIn_Database_9">"$#REF!.$A$5:$AD$48"</definedName>
    <definedName name="Excel_BuiltIn_Print_Area_1">#REF!</definedName>
    <definedName name="Excel_BuiltIn_Print_Area_12">#REF!</definedName>
    <definedName name="Excel_BuiltIn_Print_Area_2">#REF!</definedName>
    <definedName name="Excel_BuiltIn_Print_Area_29">#REF!</definedName>
    <definedName name="Excel_BuiltIn_Print_Area_34">#REF!</definedName>
    <definedName name="Excel_BuiltIn_Print_Titles_11">#REF!</definedName>
    <definedName name="Excel_BuiltIn_Print_Titles_32">#REF!</definedName>
    <definedName name="EXPORT1">[0]!EXPORT1</definedName>
    <definedName name="EXPORT2">[0]!EXPORT2</definedName>
    <definedName name="exps">"'file:///F:/Documents and Settings/SHADOW/DOCS/CHEECHUNG/Book2.xls'#$nta_fa_company.$#REF!$#REF!"</definedName>
    <definedName name="_xlnm.Extract">#REF!</definedName>
    <definedName name="F2_Range2">#REF!</definedName>
    <definedName name="F2_Range3">#REF!</definedName>
    <definedName name="FA">[24]BPR!$F$11</definedName>
    <definedName name="facteur_frais_personnel">"$#REF!.$B$2"</definedName>
    <definedName name="facteur_frais_personnel_abc">"$#REF!.$#REF!$#REF!"</definedName>
    <definedName name="fdf">"$#REF!.$A$2:$N$32"</definedName>
    <definedName name="FF">#REF!</definedName>
    <definedName name="FileName">#REF!</definedName>
    <definedName name="FINACC">#REF!</definedName>
    <definedName name="First_payment_due">#REF!</definedName>
    <definedName name="FmlAA">#REF!</definedName>
    <definedName name="FmlBA">#REF!</definedName>
    <definedName name="FmlBC">#REF!</definedName>
    <definedName name="FmlIA">#REF!</definedName>
    <definedName name="FmlQECF">#REF!</definedName>
    <definedName name="FmlREAddition">#REF!</definedName>
    <definedName name="FmlRECF">#REF!</definedName>
    <definedName name="FmlREDisposal">#REF!</definedName>
    <definedName name="FmlRETotal">#REF!</definedName>
    <definedName name="form07acm">#REF!</definedName>
    <definedName name="form07apm">#REF!</definedName>
    <definedName name="form07apy">#REF!</definedName>
    <definedName name="form07bcm">#REF!</definedName>
    <definedName name="form07bpm">#REF!</definedName>
    <definedName name="form07bpy">#REF!</definedName>
    <definedName name="form07ccm">#REF!</definedName>
    <definedName name="form07cm">#REF!</definedName>
    <definedName name="form07cpm">#REF!</definedName>
    <definedName name="form07cpy">#REF!</definedName>
    <definedName name="form07hcm">#REF!</definedName>
    <definedName name="form07hpm">#REF!</definedName>
    <definedName name="form07hpy">#REF!</definedName>
    <definedName name="form07pm">#REF!</definedName>
    <definedName name="form07py">#REF!</definedName>
    <definedName name="form08acm">#REF!</definedName>
    <definedName name="form08apm">#REF!</definedName>
    <definedName name="form08apy">#REF!</definedName>
    <definedName name="form08bcm">#REF!</definedName>
    <definedName name="form08bpm">#REF!</definedName>
    <definedName name="form08bpy">#REF!</definedName>
    <definedName name="form08ccm">#REF!</definedName>
    <definedName name="form08cm">#REF!</definedName>
    <definedName name="form08cpm">#REF!</definedName>
    <definedName name="form08cpy">#REF!</definedName>
    <definedName name="form08hcm">#REF!</definedName>
    <definedName name="form08hpm">#REF!</definedName>
    <definedName name="form08hpy">#REF!</definedName>
    <definedName name="form08pm">#REF!</definedName>
    <definedName name="form08py">#REF!</definedName>
    <definedName name="form11cm">#REF!</definedName>
    <definedName name="form11pm">#REF!</definedName>
    <definedName name="form11py">#REF!</definedName>
    <definedName name="form16abdg">#REF!</definedName>
    <definedName name="form16acm">#REF!</definedName>
    <definedName name="form16aytd">#REF!</definedName>
    <definedName name="form16aytdbdg">#REF!</definedName>
    <definedName name="form16bbdg">#REF!</definedName>
    <definedName name="form16bcm">#REF!</definedName>
    <definedName name="form16bytd">#REF!</definedName>
    <definedName name="form16bytdbdg">#REF!</definedName>
    <definedName name="form16cbdg">#REF!</definedName>
    <definedName name="form16ccm">#REF!</definedName>
    <definedName name="form16cytd">#REF!</definedName>
    <definedName name="form16cytdbdg">#REF!</definedName>
    <definedName name="form16hbdg">#REF!</definedName>
    <definedName name="form16hcm">#REF!</definedName>
    <definedName name="form16hytd">#REF!</definedName>
    <definedName name="form16hytdbdg">#REF!</definedName>
    <definedName name="form16xbdg">#REF!</definedName>
    <definedName name="form16xcm">#REF!</definedName>
    <definedName name="form16xytd">#REF!</definedName>
    <definedName name="form16xytdbdg">#REF!</definedName>
    <definedName name="form16ycm">#REF!</definedName>
    <definedName name="form16yytd">#REF!</definedName>
    <definedName name="form17abdg">#REF!</definedName>
    <definedName name="form17acm">#REF!</definedName>
    <definedName name="form17aytd">#REF!</definedName>
    <definedName name="form17aytdbdg">#REF!</definedName>
    <definedName name="form17bbdg">#REF!</definedName>
    <definedName name="form17bcm">#REF!</definedName>
    <definedName name="form17bdg">#REF!</definedName>
    <definedName name="form17bytd">#REF!</definedName>
    <definedName name="form17bytdbdg">#REF!</definedName>
    <definedName name="form17cbdg">#REF!</definedName>
    <definedName name="form17ccm">#REF!</definedName>
    <definedName name="form17cm">#REF!</definedName>
    <definedName name="form17cytd">#REF!</definedName>
    <definedName name="form17cytdbdg">#REF!</definedName>
    <definedName name="form17hbdg">#REF!</definedName>
    <definedName name="form17hcm">#REF!</definedName>
    <definedName name="form17hytd">#REF!</definedName>
    <definedName name="form17hytdbdg">#REF!</definedName>
    <definedName name="form17ytd">#REF!</definedName>
    <definedName name="form17ytdbdg">#REF!</definedName>
    <definedName name="form18bdg">#REF!</definedName>
    <definedName name="form18cm">#REF!</definedName>
    <definedName name="form18ytd">#REF!</definedName>
    <definedName name="form18ytdbdg">#REF!</definedName>
    <definedName name="form27cm">#REF!</definedName>
    <definedName name="form27ytd">#REF!</definedName>
    <definedName name="form28cmcomm">#REF!</definedName>
    <definedName name="form28cmdiv">#REF!</definedName>
    <definedName name="form28cmint">#REF!</definedName>
    <definedName name="form28cmmf">#REF!</definedName>
    <definedName name="form28cmrental">#REF!</definedName>
    <definedName name="form28cmsg">#REF!</definedName>
    <definedName name="form28cmsr">#REF!</definedName>
    <definedName name="form28ytdcomm">#REF!</definedName>
    <definedName name="form28ytddiv">#REF!</definedName>
    <definedName name="form28ytdint">#REF!</definedName>
    <definedName name="form28ytdmf">#REF!</definedName>
    <definedName name="form28ytdrental">#REF!</definedName>
    <definedName name="form28ytdsg">#REF!</definedName>
    <definedName name="form28ytdsr">#REF!</definedName>
    <definedName name="form31">#REF!</definedName>
    <definedName name="form32bdg">#REF!</definedName>
    <definedName name="form32cm">#REF!</definedName>
    <definedName name="form32ytd">#REF!</definedName>
    <definedName name="form32ytdbdg">#REF!</definedName>
    <definedName name="fsfjsjf">#REF!</definedName>
    <definedName name="ge">[2]_REF!$A$5:$G$28</definedName>
    <definedName name="geocode_manuel_minute">"$#REF!.$B$20"</definedName>
    <definedName name="gg">'[22]FF-3'!$1:$8</definedName>
    <definedName name="ggg">'[25]FF-2 (1)'!$A$10:$K$16</definedName>
    <definedName name="gggg">'[26]1 LeadSchedule'!#REF!</definedName>
    <definedName name="gh">#N/A</definedName>
    <definedName name="ghj">#REF!</definedName>
    <definedName name="gj">'[22]FF-3'!$A$9:$K$11</definedName>
    <definedName name="gop">"$#REF!.$#REF!$#REF!"</definedName>
    <definedName name="gop_1">"$#REF!.$#REF!$#REF!"</definedName>
    <definedName name="gop_10">"$#REF!.$#REF!$#REF!"</definedName>
    <definedName name="gop_17">"$#REF!.$#REF!$#REF!"</definedName>
    <definedName name="gop_19">"$#REF!.$#REF!$#REF!"</definedName>
    <definedName name="gop_2">"$#REF!.$#REF!$#REF!"</definedName>
    <definedName name="gop_6">"$#REF!.$#REF!$#REF!"</definedName>
    <definedName name="gop_9">"$#REF!.$#REF!$#REF!"</definedName>
    <definedName name="GROUP">"'file:///F:/Documents and Settings/SHADOW/DOCS/CHEECHUNG/Book2.xls'#$nta_INVESTMENT.$#REF!$#REF!"</definedName>
    <definedName name="GSTF5">"$#REF!.$A$4:$D$13"</definedName>
    <definedName name="H">#REF!</definedName>
    <definedName name="H2_Range2">#REF!</definedName>
    <definedName name="haksh">#REF!</definedName>
    <definedName name="he">"$#REF!.$C$38"</definedName>
    <definedName name="heading">#REF!</definedName>
    <definedName name="heading_1">"$#REF!.$A$1:$D$5"</definedName>
    <definedName name="heading_10">"$#REF!.$A$1:$D$5"</definedName>
    <definedName name="heading_17">"$#REF!.$A$1:$D$5"</definedName>
    <definedName name="heading_19">"$#REF!.$A$1:$D$5"</definedName>
    <definedName name="heading_2">"$#REF!.$A$1:$D$5"</definedName>
    <definedName name="heading_6">"$#REF!.$A$1:$D$5"</definedName>
    <definedName name="heading_9">"$#REF!.$A$1:$D$5"</definedName>
    <definedName name="HH">#REF!</definedName>
    <definedName name="HirePurchase">#REF!</definedName>
    <definedName name="huu">#REF!</definedName>
    <definedName name="hw">'[27]1 LeadSchedule'!#REF!</definedName>
    <definedName name="I">'[28]1 LeadSchedule'!#REF!</definedName>
    <definedName name="I2_Range2">#REF!</definedName>
    <definedName name="I2_Range3">#REF!</definedName>
    <definedName name="I2_Range4">#REF!</definedName>
    <definedName name="IA">#REF!</definedName>
    <definedName name="IAClaim">#REF!</definedName>
    <definedName name="INPUTGRID">#REF!</definedName>
    <definedName name="InsertCASum">#REF!</definedName>
    <definedName name="INTER_CO">#N/A</definedName>
    <definedName name="Invt">"$#REF!.$A$1:$K$16"</definedName>
    <definedName name="ISA_EAToolkit_Version">#REF!</definedName>
    <definedName name="J2_Range2">#REF!,#REF!</definedName>
    <definedName name="J2_Range3">#REF!</definedName>
    <definedName name="J2_Range4">#REF!</definedName>
    <definedName name="jg">'[22]FF-3'!$1:$8</definedName>
    <definedName name="jgj">'[25]FF-2 (1)'!$1:$9</definedName>
    <definedName name="jj">'[22]FF-3'!$A$9:$K$11</definedName>
    <definedName name="k">'[25]FF-2 (1)'!$A$10:$K$16</definedName>
    <definedName name="K2_Range2">#REF!</definedName>
    <definedName name="KAH_ACTUALDEP">"'file://Cyber-oug-hq/STAFF/Accounts/OrigBgt/10AHH00.XLS'#$MTHLYR99.$#REF!$#REF!"</definedName>
    <definedName name="KAH_ACTUALDIREXP">"'file://Cyber-oug-hq/STAFF/Accounts/OrigBgt/10AHH00.XLS'#$MTHLYR99.$#REF!$#REF!"</definedName>
    <definedName name="KAH_ACTUALEXP">"'file://Cyber-oug-hq/STAFF/Accounts/OrigBgt/10AHH00.XLS'#$MTHLYR99.$#REF!$#REF!"</definedName>
    <definedName name="KAH_ACTUALGOP">"'file://Cyber-oug-hq/STAFF/Accounts/OrigBgt/10AHH00.XLS'#$MTHLYR99.$#REF!$#REF!"</definedName>
    <definedName name="KAH_ACTUALINDEXP">"'file://Cyber-oug-hq/STAFF/Accounts/OrigBgt/10AHH00.XLS'#$MTHLYR99.$#REF!$#REF!"</definedName>
    <definedName name="KAH_ACTUALNOP">"'file://Cyber-oug-hq/STAFF/Accounts/OrigBgt/10AHH00.XLS'#$MTHLYR99.$#REF!$#REF!"</definedName>
    <definedName name="KAH_ACTUALREV">"'file://Cyber-oug-hq/STAFF/Accounts/OrigBgt/10AHH00.XLS'#$MTHLYR99.$#REF!$#REF!"</definedName>
    <definedName name="KAH_BGTDEP">"'file://Cyber-oug-hq/STAFF/Accounts/OrigBgt/10AHH00.XLS'#$MTHLYR99.$#REF!$#REF!"</definedName>
    <definedName name="KAH_BGTDIREXP">"'file://Cyber-oug-hq/STAFF/Accounts/OrigBgt/10AHH00.XLS'#$MTHLYR99.$#REF!$#REF!"</definedName>
    <definedName name="KAH_BGTEXP">"'file://Cyber-oug-hq/STAFF/Accounts/OrigBgt/10AHH00.XLS'#$MTHLYR99.$#REF!$#REF!"</definedName>
    <definedName name="KAH_BGTGOP">"'file://Cyber-oug-hq/STAFF/Accounts/OrigBgt/10AHH00.XLS'#$MTHLYR99.$#REF!$#REF!"</definedName>
    <definedName name="KAH_BGTINDEXP">"'file://Cyber-oug-hq/STAFF/Accounts/OrigBgt/10AHH00.XLS'#$MTHLYR99.$#REF!$#REF!"</definedName>
    <definedName name="KAH_BGTNOP">"'file://Cyber-oug-hq/STAFF/Accounts/OrigBgt/10AHH00.XLS'#$MTHLYR99.$#REF!$#REF!"</definedName>
    <definedName name="KAH_BGTREV">"'file://Cyber-oug-hq/STAFF/Accounts/OrigBgt/10AHH00.XLS'#$MTHLYR99.$#REF!$#REF!"</definedName>
    <definedName name="Kk">'[1]FF-21(a)'!#REF!</definedName>
    <definedName name="kkk">'[1]FF-21(a)'!#REF!</definedName>
    <definedName name="kw">#REF!</definedName>
    <definedName name="L">#REF!</definedName>
    <definedName name="L2_Range2">#REF!,#REF!</definedName>
    <definedName name="L2_Range3">#REF!</definedName>
    <definedName name="L2_Range4">#REF!</definedName>
    <definedName name="last">'[29]Entity Data'!#REF!</definedName>
    <definedName name="LASTCOLUMNCELL">#REF!</definedName>
    <definedName name="Latest_Month">"'file:///K:/REVBGT/P&amp;L99/HOT_REV/LCT.XLS'#$MTHR99.$#REF!$#REF!"</definedName>
    <definedName name="LeasedAssets">#REF!</definedName>
    <definedName name="ll">"$#REF!.$A$1:$D$5"</definedName>
    <definedName name="llllllllllllllllllll">[0]!llllllllllllllllllll</definedName>
    <definedName name="LM_Provision">"$#REF!.$A$3:$H$8"</definedName>
    <definedName name="loss_for_the_year">[2]NTFS_Taxation!$A$6:$E$9</definedName>
    <definedName name="m">#REF!</definedName>
    <definedName name="MAN">#REF!</definedName>
    <definedName name="MEDICAL">"'file:///F:/Documents and Settings/SHADOW/DOCS/CHEECHUNG/Book2.xls'#$NTFS_Taxation.$#REF!$#REF!"</definedName>
    <definedName name="MEDICAL_FEE">[2]NTFS_Taxation!$IT$8187</definedName>
    <definedName name="mf_1b">"$#REF!.$B$95"</definedName>
    <definedName name="mf_1c">"$#REF!.$C$95"</definedName>
    <definedName name="mf_1d">"$#REF!.$D$95"</definedName>
    <definedName name="mf_2">"$#REF!.$E$95"</definedName>
    <definedName name="mm">[25]FSA!$A$2</definedName>
    <definedName name="monthcode">[30]U!#REF!</definedName>
    <definedName name="mp">#REF!</definedName>
    <definedName name="mv_1b">"$#REF!.$B$96"</definedName>
    <definedName name="mv_1c">"$#REF!.$C$96"</definedName>
    <definedName name="mv_1d">"$#REF!.$D$96"</definedName>
    <definedName name="mv_2">"$#REF!.$E$96"</definedName>
    <definedName name="N">[0]!N</definedName>
    <definedName name="NAME">[31]FSL!$B$1</definedName>
    <definedName name="NameRef">#REF!</definedName>
    <definedName name="nb_heure_geocode_fixe_1000">"$#REF!.$B$26"</definedName>
    <definedName name="nb_ms_opérateur_semaine">"$#REF!.$B$14"</definedName>
    <definedName name="nb_msa_opérateur_semaine">"$#REF!.$B$14"</definedName>
    <definedName name="nb_vendeur_equipe">"$#REF!.$B$10"</definedName>
    <definedName name="nb_vendeur_equipe_2000">"$#REF!.$B$10"</definedName>
    <definedName name="nb_vendeur_equipe_2001">"$#REF!.$C$10"</definedName>
    <definedName name="nb_vendeur_equipe_2002">"$#REF!.$D$10"</definedName>
    <definedName name="nb_vente_abc_2000">"$#REF!.$B$31"</definedName>
    <definedName name="nb_vente_abc_2001">"$#REF!.$C$31"</definedName>
    <definedName name="nb_vente_abc_2002">"$#REF!.$D$31"</definedName>
    <definedName name="nb_vente_ms1_vendeur_2000">"$#REF!.$#REF!$#REF!"</definedName>
    <definedName name="nb_vente_ms1_vendeur_2001">"$#REF!.$#REF!$#REF!"</definedName>
    <definedName name="nb_vente_msa_vendeur_2000">"$#REF!.$#REF!$#REF!"</definedName>
    <definedName name="nb_vente_msa_vendeur_2001">"$#REF!.$#REF!$#REF!"</definedName>
    <definedName name="nb_vente_msa_vendeur_2002">"$#REF!.$#REF!$#REF!"</definedName>
    <definedName name="nb_vente_msa_vendeur_semaine_2001">"$#REF!.$#REF!$#REF!"</definedName>
    <definedName name="nb_vente_msa_vendeur_semaine_2002">"$#REF!.$#REF!$#REF!"</definedName>
    <definedName name="nb_vente_par_vendeur">"$#REF!.$#REF!$#REF!"</definedName>
    <definedName name="nb_vente_semaine_2000">"$#REF!.$B$9"</definedName>
    <definedName name="nb_vente_semaine_2001">"$#REF!.$C$9"</definedName>
    <definedName name="nb_vente_semaine_2002">"$#REF!.$D$9"</definedName>
    <definedName name="nb_vente_semaine_2003">"$#REF!.$E$9"</definedName>
    <definedName name="nbv_msa_vd_sem_2000">"$#REF!.$#REF!$#REF!"</definedName>
    <definedName name="NCVR">#REF!</definedName>
    <definedName name="Net_book_value">#REF!</definedName>
    <definedName name="NET_PROFIT">"'file:///F:/Documents and Settings/SHADOW/DOCS/CHEECHUNG/Book2.xls'#$Equity.$#REF!$#REF!"</definedName>
    <definedName name="new">#REF!</definedName>
    <definedName name="next">'[29]Entity Data'!$H$8</definedName>
    <definedName name="ngjgj">#REF!</definedName>
    <definedName name="njbj">"$#REF!.$K$38"</definedName>
    <definedName name="NL_FOR_THE_YR">"'file:///F:/Documents and Settings/SHADOW/DOCS/CHEECHUNG/Book2.xls'#$_REF.$#REF!$#REF!"</definedName>
    <definedName name="NL_LAST_YR">"'file:///F:/Documents and Settings/SHADOW/DOCS/CHEECHUNG/Book2.xls'#$Equity.$#REF!$#REF!"</definedName>
    <definedName name="NL_THIS_YR">"'file:///F:/Documents and Settings/SHADOW/DOCS/CHEECHUNG/Book2.xls'#$Equity.$#REF!$#REF!"</definedName>
    <definedName name="NoClaim">#REF!</definedName>
    <definedName name="NonClaim">#REF!</definedName>
    <definedName name="Note2">#REF!</definedName>
    <definedName name="NOTES">#N/A</definedName>
    <definedName name="NP_AFTER_TAX">"'file:///F:/Documents and Settings/SHADOW/DOCS/CHEECHUNG/Book2.xls'#$'CF Statement'.$#REF!$#REF!"</definedName>
    <definedName name="NP_FOR_THE_YR">"'file:///F:/Documents and Settings/SHADOW/DOCS/CHEECHUNG/Book2.xls'#$Equity.$#REF!$#REF!"</definedName>
    <definedName name="NTA_AffCoBal">[2]NTFS_Taxation!$A$4:$E$20</definedName>
    <definedName name="NTA_AMT_DUE_FROM_SUBSI">"$#REF!.$A$3:$J$12"</definedName>
    <definedName name="NTA_AMT_DUE_TO_SUBSI">"$#REF!.$A$3:$J$13"</definedName>
    <definedName name="NTA_CLUB">[2]NTFS_Taxation!$A$5:$E$9</definedName>
    <definedName name="NTA_Comm">[2]NTFS_Taxation!$A$4:$E$14</definedName>
    <definedName name="NTA_contigentliability">"$#REF!.$A$6:$D$18"</definedName>
    <definedName name="NTA_ContLiab">[2]NTFS_Taxation!$A$4:$E$11</definedName>
    <definedName name="nta_depreciation">[2]NTFS_Taxation!$A$5:$D$11</definedName>
    <definedName name="NTA_development_property">[2]_REF!$A$2:$F$16</definedName>
    <definedName name="NTA_Dividends">[2]NTFS_Taxation!$A$4:$E$16</definedName>
    <definedName name="nta_equity">[2]_REF!$A$7:$J$22</definedName>
    <definedName name="NTA_exceptional_item">[2]NTFS_Taxation!$A$1:$H$9</definedName>
    <definedName name="nta_fa">[2]NTFS_Taxation!$A$3:$K$24</definedName>
    <definedName name="NTA_FA_COMPANY">"$#REF!.$A$2:$N$32"</definedName>
    <definedName name="NTA_FA_GROUP">[2]NTFS_Taxation!$A$2:$N$30</definedName>
    <definedName name="nta_finance">[2]NTFS_Taxation!$A$5:$D$11</definedName>
    <definedName name="NTA_FINANCE_COST">"$#REF!.$A$1:$J$11"</definedName>
    <definedName name="nta_finance_costs">[2]_REF!$B$54:$O$60</definedName>
    <definedName name="nta_finance_lease">[2]NTFS_Taxation!$A$1:$A$14</definedName>
    <definedName name="NTA_FinanceCost">[2]NTFS_Taxation!$A$4:$E$18</definedName>
    <definedName name="NTA_FinCosts">"$#REF!.$A$5:$I$28"</definedName>
    <definedName name="nta_fixed_deposit">[2]NTFS_Taxation!$A$5:$G$10</definedName>
    <definedName name="NTA_HP">[2]NTFS_Taxation!$A$6:$K$29</definedName>
    <definedName name="NTA_HP_CREDITORS">"$#REF!.$A$3:$J$23"</definedName>
    <definedName name="NTA_IA">"$#REF!.$A$3:$I$23"</definedName>
    <definedName name="NTA_INVENTORIES">[2]NTFS_Taxation!$A$5:$E$10</definedName>
    <definedName name="NTA_INVESTMENT">"'file:///F:/Documents and Settings/SHADOW/DOCS/CHEECHUNG/Book2.xls'#$'DR_dir shareholding'.$#REF!$#REF!"</definedName>
    <definedName name="nta_loss">[2]NTFS_Taxation!$A$5:$G$14</definedName>
    <definedName name="nta_net_profit">[2]_REF!$A$3:$E$6</definedName>
    <definedName name="nta_o.expenses">[2]NTFS_Taxation!$A$1:$J$9</definedName>
    <definedName name="nta_operating_lease">[2]_REF!$A$8:$G$18</definedName>
    <definedName name="nta_other_debtors">[2]NTFS_Taxation!$A$5:$F$16</definedName>
    <definedName name="NTA_OTHER_EXPENSES">"$#REF!.$A$3:$I$13"</definedName>
    <definedName name="NTA_OTHER_PAYABLES">"$#REF!.$A$3:$I$17"</definedName>
    <definedName name="NTA_OTHER_RECEIVABLES">"$#REF!.$A$3:$I$19"</definedName>
    <definedName name="NTA_OtherOpInc">[2]NTFS_Taxation!$A$4:$E$17</definedName>
    <definedName name="NTA_OtherRec">[2]NTFS_Taxation!$A$4:$E$23</definedName>
    <definedName name="NTA_OthREc">"$#REF!.$A$7:$E$19"</definedName>
    <definedName name="NTA_PAY">"$#REF!.$A$7:$I$19"</definedName>
    <definedName name="NTA_PPE">[2]NTFS_Taxation!$A$4:$R$31</definedName>
    <definedName name="NTA_PPELives">[2]NTFS_Taxation!$A$8:$B$14</definedName>
    <definedName name="NTA_PROFIT_FOR_THE_YEAR">"$#REF!.$A$1:$K$12"</definedName>
    <definedName name="NTA_Rec">"$#REF!.$A$1:$I$22"</definedName>
    <definedName name="NTA_RELATED_PARTY">"$#REF!.$A$2:$I$18"</definedName>
    <definedName name="NTA_RPT">[2]NTFS_Taxation!$A$4:$E$12</definedName>
    <definedName name="nta_sh_cap">[2]NTFS_Taxation!$A$4:$G$14</definedName>
    <definedName name="NTA_SHARE_CAPITAL">"$#REF!.$A$6:$J$17"</definedName>
    <definedName name="nta_staff">[2]NTFS_Taxation!$A$5:$D$12</definedName>
    <definedName name="NTA_STAFF_COST">"$#REF!.$A$1:$H$10"</definedName>
    <definedName name="NTA_StaffCosts">[2]NTFS_Taxation!$A$4:$E$14</definedName>
    <definedName name="NTA_SUBSI">[2]NTFS_Taxation!$A$4:$E$13</definedName>
    <definedName name="NTA_SUBSIDetails">[2]NTFS_Taxation!$A$3:$I$18</definedName>
    <definedName name="NTA_Tax">[2]NTFS_Taxation!$A$4:$E$12</definedName>
    <definedName name="NTA_TAXATION">"'file:///F:/Documents and Settings/SHADOW/DOCS/CHEECHUNG/Book2.xls'#$Sheet2.$#REF!$#REF!"</definedName>
    <definedName name="NTA_TAxLoss">[2]NTFS_Taxation!$A$4:$I$12</definedName>
    <definedName name="NTA_TaxRecon">[2]NTFS_Taxation!$A$6:$I$23</definedName>
    <definedName name="nta_trade_payables">[2]NTFS_Taxation!$A$5:$F$14</definedName>
    <definedName name="NTA_TradeRec">[2]NTFS_Taxation!$A$5:$E$20</definedName>
    <definedName name="NTA_TrRec">"$#REF!.$A$5:$I$28"</definedName>
    <definedName name="nta_WIP">[2]NTFS_Taxation!$A$4:$G$13</definedName>
    <definedName name="NTFS_Cash_and_cash_equivalents">"$#REF!.$A$1:$I$10"</definedName>
    <definedName name="NTFS_Deposits_and_prepmts">"$#REF!.$A$1:$G$8"</definedName>
    <definedName name="NTFS_FA_grp">[2]NTFS_Taxation!$A$1:$N$31</definedName>
    <definedName name="NTFS_HP">[2]NTFS_Taxation!$A$1:$P$14</definedName>
    <definedName name="NTFS_invt_22">[2]NTFS_Taxation!$A$1:$J$14</definedName>
    <definedName name="NTFS_Operating_lease_commitments">"'file:///F:/Documents and Settings/SHADOW/DOCS/CHEECHUNG/Book2.xls'#$'DPL '.$#REF!$#REF!"</definedName>
    <definedName name="NTFS_Operating_lease_paid">"'file:///F:/Documents and Settings/SHADOW/DOCS/CHEECHUNG/Book2.xls'#$'DPL '.$#REF!$#REF!"</definedName>
    <definedName name="NTFS_other_operating_income">[2]NTFS_Taxation!$A$1:$L$11</definedName>
    <definedName name="NTFS_other_payables_and_accrual">[2]NTFS_Taxation!$A$1:$I$12</definedName>
    <definedName name="NTFS_prior_year_adjustment">[2]NTFS_Taxation!$A$1:$L$8</definedName>
    <definedName name="NTFS_Related_party">[2]_REF!$A$1:$G$9</definedName>
    <definedName name="NTFS_sales_and_marketing_exp">[2]NTFS_Taxation!$A$1:$J$11</definedName>
    <definedName name="NTFS_share_capital">[2]NTFS_Taxation!$A$1:$J$13</definedName>
    <definedName name="NTFS_T.payables_and_accruals">"'file:///F:/Documents and Settings/SHADOW/DOCS/CHEECHUNG/Book2.xls'#$'NTFS_operating lease commitment'.$#REF!$#REF!"</definedName>
    <definedName name="NTFS_TAXATION">[2]NTFS_Taxation!$A$1:$G$18</definedName>
    <definedName name="NUM_DOCS">#REF!</definedName>
    <definedName name="Number">#REF!</definedName>
    <definedName name="O2_Range2">#REF!</definedName>
    <definedName name="O2_Range3">#REF!</definedName>
    <definedName name="OCT">'[3]FF-3'!$A$9:$K$11</definedName>
    <definedName name="Ozlink">#REF!</definedName>
    <definedName name="P_L_DISCLOSURE">#N/A</definedName>
    <definedName name="pa">'[32]FF-2'!$A$1:$K$88</definedName>
    <definedName name="PAGE1">#N/A</definedName>
    <definedName name="PAGE2">#N/A</definedName>
    <definedName name="PAH_ACTUALDEP">"$#REF!.$AA$26"</definedName>
    <definedName name="PAH_ACTUALDIREXP">"$#REF!.$AA$18"</definedName>
    <definedName name="PAH_ACTUALEXP">"$#REF!.$AA$20"</definedName>
    <definedName name="PAH_ACTUALINDEXP">"$#REF!.$AA$19"</definedName>
    <definedName name="PAH_ACTUALNOP">"$#REF!.$AA$34"</definedName>
    <definedName name="PAH_ACTUALREV">"$#REF!.$AA$14"</definedName>
    <definedName name="PAH_BGTDEP">"$#REF!.$AB$26"</definedName>
    <definedName name="PAH_BGTDIREXP">"$#REF!.$AB$18"</definedName>
    <definedName name="PAH_BGTEXP">"$#REF!.$AB$20"</definedName>
    <definedName name="PAH_BGTGOP">"$#REF!.$AB$22"</definedName>
    <definedName name="PAH_BGTINDEXP">"$#REF!.$AB$19"</definedName>
    <definedName name="PAH_BGTNOP">"$#REF!.$AB$34"</definedName>
    <definedName name="PAH_BGTREV">"$#REF!.$AB$14"</definedName>
    <definedName name="PAH_GOP">"$#REF!.$AA$22"</definedName>
    <definedName name="Particulars">#REF!</definedName>
    <definedName name="PARTNERS_INITIALS">#REF!</definedName>
    <definedName name="Payments_per_year">#REF!</definedName>
    <definedName name="period">'[29]Entity Data'!$D$8</definedName>
    <definedName name="PeriodsInYear">"$#REF!.$J$6"</definedName>
    <definedName name="PHUKACTDEP">"$#REF!.$AC$34"</definedName>
    <definedName name="PHUKACTDEP_1">"$#REF!.$AC$34"</definedName>
    <definedName name="PHUKACTDEP_10">"$#REF!.$AC$34"</definedName>
    <definedName name="PHUKACTDEP_17">"$#REF!.$AC$34"</definedName>
    <definedName name="PHUKACTDEP_19">"$#REF!.$AC$34"</definedName>
    <definedName name="PHUKACTDEP_2">"$#REF!.$AC$34"</definedName>
    <definedName name="PHUKACTDEP_6">"$#REF!.$AC$34"</definedName>
    <definedName name="PHUKACTDEP_9">"$#REF!.$AC$34"</definedName>
    <definedName name="PHUKACTDIREXP">"$#REF!.$AC$18"</definedName>
    <definedName name="PHUKACTDIREXP_1">"$#REF!.$AC$18"</definedName>
    <definedName name="PHUKACTDIREXP_10">"$#REF!.$AC$18"</definedName>
    <definedName name="PHUKACTDIREXP_17">"$#REF!.$AC$18"</definedName>
    <definedName name="PHUKACTDIREXP_19">"$#REF!.$AC$18"</definedName>
    <definedName name="PHUKACTDIREXP_2">"$#REF!.$AC$18"</definedName>
    <definedName name="PHUKACTDIREXP_6">"$#REF!.$AC$18"</definedName>
    <definedName name="PHUKACTDIREXP_9">"$#REF!.$AC$18"</definedName>
    <definedName name="PHUKACTEXCH">"$#REF!.$AC$37"</definedName>
    <definedName name="PHUKACTEXCH_1">"$#REF!.$AC$37"</definedName>
    <definedName name="PHUKACTEXCH_10">"$#REF!.$AC$37"</definedName>
    <definedName name="PHUKACTEXCH_17">"$#REF!.$AC$37"</definedName>
    <definedName name="PHUKACTEXCH_19">"$#REF!.$AC$37"</definedName>
    <definedName name="PHUKACTEXCH_2">"$#REF!.$AC$37"</definedName>
    <definedName name="PHUKACTEXCH_6">"$#REF!.$AC$37"</definedName>
    <definedName name="PHUKACTEXCH_9">"$#REF!.$AC$37"</definedName>
    <definedName name="PHUKACTEXP">"$#REF!.$AC$20"</definedName>
    <definedName name="PHUKACTEXP_1">"$#REF!.$AC$20"</definedName>
    <definedName name="PHUKACTEXP_10">"$#REF!.$AC$20"</definedName>
    <definedName name="PHUKACTEXP_17">"$#REF!.$AC$20"</definedName>
    <definedName name="PHUKACTEXP_19">"$#REF!.$AC$20"</definedName>
    <definedName name="PHUKACTEXP_2">"$#REF!.$AC$20"</definedName>
    <definedName name="PHUKACTEXP_6">"$#REF!.$AC$20"</definedName>
    <definedName name="PHUKACTEXP_9">"$#REF!.$AC$20"</definedName>
    <definedName name="PHUKACTGOP">"$#REF!.$AC$22"</definedName>
    <definedName name="PHUKACTGOP_1">"$#REF!.$AC$22"</definedName>
    <definedName name="PHUKACTGOP_10">"$#REF!.$AC$22"</definedName>
    <definedName name="PHUKACTGOP_17">"$#REF!.$AC$22"</definedName>
    <definedName name="PHUKACTGOP_19">"$#REF!.$AC$22"</definedName>
    <definedName name="PHUKACTGOP_2">"$#REF!.$AC$22"</definedName>
    <definedName name="PHUKACTGOP_6">"$#REF!.$AC$22"</definedName>
    <definedName name="PHUKACTGOP_9">"$#REF!.$AC$22"</definedName>
    <definedName name="PHUKACTINDIREXP">"$#REF!.$AC$19"</definedName>
    <definedName name="PHUKACTINDIREXP_1">"$#REF!.$AC$19"</definedName>
    <definedName name="PHUKACTINDIREXP_10">"$#REF!.$AC$19"</definedName>
    <definedName name="PHUKACTINDIREXP_17">"$#REF!.$AC$19"</definedName>
    <definedName name="PHUKACTINDIREXP_19">"$#REF!.$AC$19"</definedName>
    <definedName name="PHUKACTINDIREXP_2">"$#REF!.$AC$19"</definedName>
    <definedName name="PHUKACTINDIREXP_6">"$#REF!.$AC$19"</definedName>
    <definedName name="PHUKACTINDIREXP_9">"$#REF!.$AC$19"</definedName>
    <definedName name="PHUKACTINTINC">"$#REF!.$AC$27"</definedName>
    <definedName name="PHUKACTINTINC_1">"$#REF!.$AC$27"</definedName>
    <definedName name="PHUKACTINTINC_10">"$#REF!.$AC$27"</definedName>
    <definedName name="PHUKACTINTINC_17">"$#REF!.$AC$27"</definedName>
    <definedName name="PHUKACTINTINC_19">"$#REF!.$AC$27"</definedName>
    <definedName name="PHUKACTINTINC_2">"$#REF!.$AC$27"</definedName>
    <definedName name="PHUKACTINTINC_6">"$#REF!.$AC$27"</definedName>
    <definedName name="PHUKACTINTINC_9">"$#REF!.$AC$27"</definedName>
    <definedName name="PHUKACTINTONLOAN">"$#REF!.$AC$35"</definedName>
    <definedName name="PHUKACTINTONLOAN_1">"$#REF!.$AC$35"</definedName>
    <definedName name="PHUKACTINTONLOAN_10">"$#REF!.$AC$35"</definedName>
    <definedName name="PHUKACTINTONLOAN_17">"$#REF!.$AC$35"</definedName>
    <definedName name="PHUKACTINTONLOAN_19">"$#REF!.$AC$35"</definedName>
    <definedName name="PHUKACTINTONLOAN_2">"$#REF!.$AC$35"</definedName>
    <definedName name="PHUKACTINTONLOAN_6">"$#REF!.$AC$35"</definedName>
    <definedName name="PHUKACTINTONLOAN_9">"$#REF!.$AC$35"</definedName>
    <definedName name="PHUKACTNOP">"$#REF!.$AC$45"</definedName>
    <definedName name="PHUKACTNOP_1">"$#REF!.$AC$45"</definedName>
    <definedName name="PHUKACTNOP_10">"$#REF!.$AC$45"</definedName>
    <definedName name="PHUKACTNOP_17">"$#REF!.$AC$45"</definedName>
    <definedName name="PHUKACTNOP_19">"$#REF!.$AC$45"</definedName>
    <definedName name="PHUKACTNOP_2">"$#REF!.$AC$45"</definedName>
    <definedName name="PHUKACTNOP_6">"$#REF!.$AC$45"</definedName>
    <definedName name="PHUKACTNOP_9">"$#REF!.$AC$45"</definedName>
    <definedName name="PHUKACTOTHEREXP">"$#REF!.$AC$40"</definedName>
    <definedName name="PHUKACTOTHEREXP_1">"$#REF!.$AC$40"</definedName>
    <definedName name="PHUKACTOTHEREXP_10">"$#REF!.$AC$40"</definedName>
    <definedName name="PHUKACTOTHEREXP_17">"$#REF!.$AC$40"</definedName>
    <definedName name="PHUKACTOTHEREXP_19">"$#REF!.$AC$40"</definedName>
    <definedName name="PHUKACTOTHEREXP_2">"$#REF!.$AC$40"</definedName>
    <definedName name="PHUKACTOTHEREXP_6">"$#REF!.$AC$40"</definedName>
    <definedName name="PHUKACTOTHEREXP_9">"$#REF!.$AC$40"</definedName>
    <definedName name="PHUKACTOTHERS">"$#REF!.$AC$28"</definedName>
    <definedName name="PHUKACTOTHERS_1">"$#REF!.$AC$28"</definedName>
    <definedName name="PHUKACTOTHERS_10">"$#REF!.$AC$28"</definedName>
    <definedName name="PHUKACTOTHERS_17">"$#REF!.$AC$28"</definedName>
    <definedName name="PHUKACTOTHERS_19">"$#REF!.$AC$28"</definedName>
    <definedName name="PHUKACTOTHERS_2">"$#REF!.$AC$28"</definedName>
    <definedName name="PHUKACTOTHERS_6">"$#REF!.$AC$28"</definedName>
    <definedName name="PHUKACTOTHERS_9">"$#REF!.$AC$28"</definedName>
    <definedName name="PHUKACTRENTINC">"$#REF!.$AC$26"</definedName>
    <definedName name="PHUKACTRENTINC_1">"$#REF!.$AC$26"</definedName>
    <definedName name="PHUKACTRENTINC_10">"$#REF!.$AC$26"</definedName>
    <definedName name="PHUKACTRENTINC_17">"$#REF!.$AC$26"</definedName>
    <definedName name="PHUKACTRENTINC_19">"$#REF!.$AC$26"</definedName>
    <definedName name="PHUKACTRENTINC_2">"$#REF!.$AC$26"</definedName>
    <definedName name="PHUKACTRENTINC_6">"$#REF!.$AC$26"</definedName>
    <definedName name="PHUKACTRENTINC_9">"$#REF!.$AC$26"</definedName>
    <definedName name="PHUKACTREV">"$#REF!.$AC$16"</definedName>
    <definedName name="PHUKACTREV_1">"$#REF!.$AC$16"</definedName>
    <definedName name="PHUKACTREV_10">"$#REF!.$AC$16"</definedName>
    <definedName name="PHUKACTREV_17">"$#REF!.$AC$16"</definedName>
    <definedName name="PHUKACTREV_19">"$#REF!.$AC$16"</definedName>
    <definedName name="PHUKACTREV_2">"$#REF!.$AC$16"</definedName>
    <definedName name="PHUKACTREV_6">"$#REF!.$AC$16"</definedName>
    <definedName name="PHUKACTREV_9">"$#REF!.$AC$16"</definedName>
    <definedName name="PHUKACTTOTALEXP">"$#REF!.$AC$43"</definedName>
    <definedName name="PHUKACTTOTALEXP_1">"$#REF!.$AC$43"</definedName>
    <definedName name="PHUKACTTOTALEXP_10">"$#REF!.$AC$43"</definedName>
    <definedName name="PHUKACTTOTALEXP_17">"$#REF!.$AC$43"</definedName>
    <definedName name="PHUKACTTOTALEXP_19">"$#REF!.$AC$43"</definedName>
    <definedName name="PHUKACTTOTALEXP_2">"$#REF!.$AC$43"</definedName>
    <definedName name="PHUKACTTOTALEXP_6">"$#REF!.$AC$43"</definedName>
    <definedName name="PHUKACTTOTALEXP_9">"$#REF!.$AC$43"</definedName>
    <definedName name="PHUKACTTOTALINC">"$#REF!.$AC$31"</definedName>
    <definedName name="PHUKACTTOTALINC_1">"$#REF!.$AC$31"</definedName>
    <definedName name="PHUKACTTOTALINC_10">"$#REF!.$AC$31"</definedName>
    <definedName name="PHUKACTTOTALINC_17">"$#REF!.$AC$31"</definedName>
    <definedName name="PHUKACTTOTALINC_19">"$#REF!.$AC$31"</definedName>
    <definedName name="PHUKACTTOTALINC_2">"$#REF!.$AC$31"</definedName>
    <definedName name="PHUKACTTOTALINC_6">"$#REF!.$AC$31"</definedName>
    <definedName name="PHUKACTTOTALINC_9">"$#REF!.$AC$31"</definedName>
    <definedName name="PHUKACTTOTALREV">"$#REF!.$AC$29"</definedName>
    <definedName name="PHUKACTTOTALREV_1">"$#REF!.$AC$29"</definedName>
    <definedName name="PHUKACTTOTALREV_10">"$#REF!.$AC$29"</definedName>
    <definedName name="PHUKACTTOTALREV_17">"$#REF!.$AC$29"</definedName>
    <definedName name="PHUKACTTOTALREV_19">"$#REF!.$AC$29"</definedName>
    <definedName name="PHUKACTTOTALREV_2">"$#REF!.$AC$29"</definedName>
    <definedName name="PHUKACTTOTALREV_6">"$#REF!.$AC$29"</definedName>
    <definedName name="PHUKACTTOTALREV_9">"$#REF!.$AC$29"</definedName>
    <definedName name="PHUKBGTDEP">"$#REF!.$AD$34"</definedName>
    <definedName name="PHUKBGTDEP_1">"$#REF!.$AD$34"</definedName>
    <definedName name="PHUKBGTDEP_10">"$#REF!.$AD$34"</definedName>
    <definedName name="PHUKBGTDEP_17">"$#REF!.$AD$34"</definedName>
    <definedName name="PHUKBGTDEP_19">"$#REF!.$AD$34"</definedName>
    <definedName name="PHUKBGTDEP_2">"$#REF!.$AD$34"</definedName>
    <definedName name="PHUKBGTDEP_6">"$#REF!.$AD$34"</definedName>
    <definedName name="PHUKBGTDEP_9">"$#REF!.$AD$34"</definedName>
    <definedName name="PHUKBGTDIREXP">"$#REF!.$AD$18"</definedName>
    <definedName name="PHUKBGTDIREXP_1">"$#REF!.$AD$18"</definedName>
    <definedName name="PHUKBGTDIREXP_10">"$#REF!.$AD$18"</definedName>
    <definedName name="PHUKBGTDIREXP_17">"$#REF!.$AD$18"</definedName>
    <definedName name="PHUKBGTDIREXP_19">"$#REF!.$AD$18"</definedName>
    <definedName name="PHUKBGTDIREXP_2">"$#REF!.$AD$18"</definedName>
    <definedName name="PHUKBGTDIREXP_6">"$#REF!.$AD$18"</definedName>
    <definedName name="PHUKBGTDIREXP_9">"$#REF!.$AD$18"</definedName>
    <definedName name="PHUKBGTEXCH">"$#REF!.$AD$37"</definedName>
    <definedName name="PHUKBGTEXCH_1">"$#REF!.$AD$37"</definedName>
    <definedName name="PHUKBGTEXCH_10">"$#REF!.$AD$37"</definedName>
    <definedName name="PHUKBGTEXCH_17">"$#REF!.$AD$37"</definedName>
    <definedName name="PHUKBGTEXCH_19">"$#REF!.$AD$37"</definedName>
    <definedName name="PHUKBGTEXCH_2">"$#REF!.$AD$37"</definedName>
    <definedName name="PHUKBGTEXCH_6">"$#REF!.$AD$37"</definedName>
    <definedName name="PHUKBGTEXCH_9">"$#REF!.$AD$37"</definedName>
    <definedName name="PHUKBGTEXP">"$#REF!.$AD$20"</definedName>
    <definedName name="PHUKBGTEXP_1">"$#REF!.$AD$20"</definedName>
    <definedName name="PHUKBGTEXP_10">"$#REF!.$AD$20"</definedName>
    <definedName name="PHUKBGTEXP_17">"$#REF!.$AD$20"</definedName>
    <definedName name="PHUKBGTEXP_19">"$#REF!.$AD$20"</definedName>
    <definedName name="PHUKBGTEXP_2">"$#REF!.$AD$20"</definedName>
    <definedName name="PHUKBGTEXP_6">"$#REF!.$AD$20"</definedName>
    <definedName name="PHUKBGTEXP_9">"$#REF!.$AD$20"</definedName>
    <definedName name="PHUKBGTGOP">"$#REF!.$AD$22"</definedName>
    <definedName name="PHUKBGTGOP_1">"$#REF!.$AD$22"</definedName>
    <definedName name="PHUKBGTGOP_10">"$#REF!.$AD$22"</definedName>
    <definedName name="PHUKBGTGOP_17">"$#REF!.$AD$22"</definedName>
    <definedName name="PHUKBGTGOP_19">"$#REF!.$AD$22"</definedName>
    <definedName name="PHUKBGTGOP_2">"$#REF!.$AD$22"</definedName>
    <definedName name="PHUKBGTGOP_6">"$#REF!.$AD$22"</definedName>
    <definedName name="PHUKBGTGOP_9">"$#REF!.$AD$22"</definedName>
    <definedName name="PHUKBGTINDIREXP">"$#REF!.$AD$19"</definedName>
    <definedName name="PHUKBGTINDIREXP_1">"$#REF!.$AD$19"</definedName>
    <definedName name="PHUKBGTINDIREXP_10">"$#REF!.$AD$19"</definedName>
    <definedName name="PHUKBGTINDIREXP_17">"$#REF!.$AD$19"</definedName>
    <definedName name="PHUKBGTINDIREXP_19">"$#REF!.$AD$19"</definedName>
    <definedName name="PHUKBGTINDIREXP_2">"$#REF!.$AD$19"</definedName>
    <definedName name="PHUKBGTINDIREXP_6">"$#REF!.$AD$19"</definedName>
    <definedName name="PHUKBGTINDIREXP_9">"$#REF!.$AD$19"</definedName>
    <definedName name="PHUKBGTINTINC">"$#REF!.$AD$27"</definedName>
    <definedName name="PHUKBGTINTINC_1">"$#REF!.$AD$27"</definedName>
    <definedName name="PHUKBGTINTINC_10">"$#REF!.$AD$27"</definedName>
    <definedName name="PHUKBGTINTINC_17">"$#REF!.$AD$27"</definedName>
    <definedName name="PHUKBGTINTINC_19">"$#REF!.$AD$27"</definedName>
    <definedName name="PHUKBGTINTINC_2">"$#REF!.$AD$27"</definedName>
    <definedName name="PHUKBGTINTINC_6">"$#REF!.$AD$27"</definedName>
    <definedName name="PHUKBGTINTINC_9">"$#REF!.$AD$27"</definedName>
    <definedName name="PHUKBGTINTONLOAN">"$#REF!.$AD$35"</definedName>
    <definedName name="PHUKBGTINTONLOAN_1">"$#REF!.$AD$35"</definedName>
    <definedName name="PHUKBGTINTONLOAN_10">"$#REF!.$AD$35"</definedName>
    <definedName name="PHUKBGTINTONLOAN_17">"$#REF!.$AD$35"</definedName>
    <definedName name="PHUKBGTINTONLOAN_19">"$#REF!.$AD$35"</definedName>
    <definedName name="PHUKBGTINTONLOAN_2">"$#REF!.$AD$35"</definedName>
    <definedName name="PHUKBGTINTONLOAN_6">"$#REF!.$AD$35"</definedName>
    <definedName name="PHUKBGTINTONLOAN_9">"$#REF!.$AD$35"</definedName>
    <definedName name="PHUKBGTNOP">"$#REF!.$AD$45"</definedName>
    <definedName name="PHUKBGTNOP_1">"$#REF!.$AD$45"</definedName>
    <definedName name="PHUKBGTNOP_10">"$#REF!.$AD$45"</definedName>
    <definedName name="PHUKBGTNOP_17">"$#REF!.$AD$45"</definedName>
    <definedName name="PHUKBGTNOP_19">"$#REF!.$AD$45"</definedName>
    <definedName name="PHUKBGTNOP_2">"$#REF!.$AD$45"</definedName>
    <definedName name="PHUKBGTNOP_6">"$#REF!.$AD$45"</definedName>
    <definedName name="PHUKBGTNOP_9">"$#REF!.$AD$45"</definedName>
    <definedName name="PHUKBGTOTHEREXP">"$#REF!.$AD$40"</definedName>
    <definedName name="PHUKBGTOTHEREXP_1">"$#REF!.$AD$40"</definedName>
    <definedName name="PHUKBGTOTHEREXP_10">"$#REF!.$AD$40"</definedName>
    <definedName name="PHUKBGTOTHEREXP_17">"$#REF!.$AD$40"</definedName>
    <definedName name="PHUKBGTOTHEREXP_19">"$#REF!.$AD$40"</definedName>
    <definedName name="PHUKBGTOTHEREXP_2">"$#REF!.$AD$40"</definedName>
    <definedName name="PHUKBGTOTHEREXP_6">"$#REF!.$AD$40"</definedName>
    <definedName name="PHUKBGTOTHEREXP_9">"$#REF!.$AD$40"</definedName>
    <definedName name="PHUKBGTOTHERS">"$#REF!.$AD$28"</definedName>
    <definedName name="PHUKBGTOTHERS_1">"$#REF!.$AD$28"</definedName>
    <definedName name="PHUKBGTOTHERS_10">"$#REF!.$AD$28"</definedName>
    <definedName name="PHUKBGTOTHERS_17">"$#REF!.$AD$28"</definedName>
    <definedName name="PHUKBGTOTHERS_19">"$#REF!.$AD$28"</definedName>
    <definedName name="PHUKBGTOTHERS_2">"$#REF!.$AD$28"</definedName>
    <definedName name="PHUKBGTOTHERS_6">"$#REF!.$AD$28"</definedName>
    <definedName name="PHUKBGTOTHERS_9">"$#REF!.$AD$28"</definedName>
    <definedName name="PHUKBGTRENTINC">"$#REF!.$AD$26"</definedName>
    <definedName name="PHUKBGTRENTINC_1">"$#REF!.$AD$26"</definedName>
    <definedName name="PHUKBGTRENTINC_10">"$#REF!.$AD$26"</definedName>
    <definedName name="PHUKBGTRENTINC_17">"$#REF!.$AD$26"</definedName>
    <definedName name="PHUKBGTRENTINC_19">"$#REF!.$AD$26"</definedName>
    <definedName name="PHUKBGTRENTINC_2">"$#REF!.$AD$26"</definedName>
    <definedName name="PHUKBGTRENTINC_6">"$#REF!.$AD$26"</definedName>
    <definedName name="PHUKBGTRENTINC_9">"$#REF!.$AD$26"</definedName>
    <definedName name="PHUKBGTREV">"$#REF!.$AD$16"</definedName>
    <definedName name="PHUKBGTREV_1">"$#REF!.$AD$16"</definedName>
    <definedName name="PHUKBGTREV_10">"$#REF!.$AD$16"</definedName>
    <definedName name="PHUKBGTREV_17">"$#REF!.$AD$16"</definedName>
    <definedName name="PHUKBGTREV_19">"$#REF!.$AD$16"</definedName>
    <definedName name="PHUKBGTREV_2">"$#REF!.$AD$16"</definedName>
    <definedName name="PHUKBGTREV_6">"$#REF!.$AD$16"</definedName>
    <definedName name="PHUKBGTREV_9">"$#REF!.$AD$16"</definedName>
    <definedName name="PHUKBGTTOTALEXP">"$#REF!.$AD$43"</definedName>
    <definedName name="PHUKBGTTOTALEXP_1">"$#REF!.$AD$43"</definedName>
    <definedName name="PHUKBGTTOTALEXP_10">"$#REF!.$AD$43"</definedName>
    <definedName name="PHUKBGTTOTALEXP_17">"$#REF!.$AD$43"</definedName>
    <definedName name="PHUKBGTTOTALEXP_19">"$#REF!.$AD$43"</definedName>
    <definedName name="PHUKBGTTOTALEXP_2">"$#REF!.$AD$43"</definedName>
    <definedName name="PHUKBGTTOTALEXP_6">"$#REF!.$AD$43"</definedName>
    <definedName name="PHUKBGTTOTALEXP_9">"$#REF!.$AD$43"</definedName>
    <definedName name="PHUKBGTTOTALINC">"$#REF!.$AD$31"</definedName>
    <definedName name="PHUKBGTTOTALINC_1">"$#REF!.$AD$31"</definedName>
    <definedName name="PHUKBGTTOTALINC_10">"$#REF!.$AD$31"</definedName>
    <definedName name="PHUKBGTTOTALINC_17">"$#REF!.$AD$31"</definedName>
    <definedName name="PHUKBGTTOTALINC_19">"$#REF!.$AD$31"</definedName>
    <definedName name="PHUKBGTTOTALINC_2">"$#REF!.$AD$31"</definedName>
    <definedName name="PHUKBGTTOTALINC_6">"$#REF!.$AD$31"</definedName>
    <definedName name="PHUKBGTTOTALINC_9">"$#REF!.$AD$31"</definedName>
    <definedName name="PHUKBGTTOTALREV">"$#REF!.$AD$29"</definedName>
    <definedName name="PHUKBGTTOTALREV_1">"$#REF!.$AD$29"</definedName>
    <definedName name="PHUKBGTTOTALREV_10">"$#REF!.$AD$29"</definedName>
    <definedName name="PHUKBGTTOTALREV_17">"$#REF!.$AD$29"</definedName>
    <definedName name="PHUKBGTTOTALREV_19">"$#REF!.$AD$29"</definedName>
    <definedName name="PHUKBGTTOTALREV_2">"$#REF!.$AD$29"</definedName>
    <definedName name="PHUKBGTTOTALREV_6">"$#REF!.$AD$29"</definedName>
    <definedName name="PHUKBGTTOTALREV_9">"$#REF!.$AD$29"</definedName>
    <definedName name="PL_SUPPLEMENTARY1">[2]NTFS_Taxation!$A$8:$K$34</definedName>
    <definedName name="PL_SUPPLEMENTARY2">[2]NTFS_Taxation!$A$6:$G$55</definedName>
    <definedName name="PL_SUPPLEMENTARY3">[2]NTFS_Taxation!$A$57:$G$77</definedName>
    <definedName name="PL3_Finance_costs">"$#REF!.$B$28:$P$28"</definedName>
    <definedName name="PLANT">"$#REF!.$R$12"</definedName>
    <definedName name="PM">#REF!</definedName>
    <definedName name="Pmt_to_use">#REF!</definedName>
    <definedName name="po">"$#REF!.$AC$20"</definedName>
    <definedName name="pooii">"$#REF!.$AD$22"</definedName>
    <definedName name="PP">[33]BPR!$F$11</definedName>
    <definedName name="preman">'[34]10'!#REF!</definedName>
    <definedName name="PrevYA">#REF!</definedName>
    <definedName name="_xlnm.Print_Area" localSheetId="1">总帐!$A$1:$Z$38</definedName>
    <definedName name="_xlnm.Print_Area">#REF!</definedName>
    <definedName name="PRINT_AREA_MI">#REF!</definedName>
    <definedName name="_xlnm.Print_Titles" localSheetId="0">TB!$1:$9</definedName>
    <definedName name="_xlnm.Print_Titles" localSheetId="1">总帐!$1:$8</definedName>
    <definedName name="Print_Titles_MI">#REF!</definedName>
    <definedName name="Printacbal">[0]!Printacbal</definedName>
    <definedName name="prix_achat_serveur">"$#REF!.$B$32"</definedName>
    <definedName name="prix_clic_icon">"$#REF!.$B$26"</definedName>
    <definedName name="Proceeds">#REF!</definedName>
    <definedName name="Profit">"'file:///F:/Documents and Settings/SHADOW/DOCS/CHEECHUNG/Book2.xls'#$nta_INVESTMENT.$#REF!$#REF!"</definedName>
    <definedName name="Profit_Loss">"$#REF!.$B$3:$AG$97"</definedName>
    <definedName name="provision_debt">"$#REF!.$A$40:$E$50"</definedName>
    <definedName name="QEAddition">#REF!</definedName>
    <definedName name="QEBF">#REF!</definedName>
    <definedName name="QECF">#REF!</definedName>
    <definedName name="QEDisposal">#REF!</definedName>
    <definedName name="R.B.A.">#REF!</definedName>
    <definedName name="R_E_Additions">#REF!</definedName>
    <definedName name="R_E_Additions___0">[35]FF_11!#REF!</definedName>
    <definedName name="R_E_Additions___44">[35]FF_11!#REF!</definedName>
    <definedName name="R_E_Additions___77">[35]FF_11!#REF!</definedName>
    <definedName name="R_E_b_f">#REF!</definedName>
    <definedName name="R_E_b_f___0">[35]FF_11!#REF!</definedName>
    <definedName name="R_E_b_f___44">[35]FF_11!#REF!</definedName>
    <definedName name="R_E_b_f___77">[35]FF_11!#REF!</definedName>
    <definedName name="R_e_c_f">#REF!</definedName>
    <definedName name="R_e_c_f___0">[35]FF_11!#REF!</definedName>
    <definedName name="R_e_c_f___44">[35]FF_11!#REF!</definedName>
    <definedName name="R_e_c_f___77">[35]FF_11!#REF!</definedName>
    <definedName name="R_Eb_f">#REF!</definedName>
    <definedName name="ramli">#REF!</definedName>
    <definedName name="ramli1">#REF!</definedName>
    <definedName name="ramli2">#REF!</definedName>
    <definedName name="ramli3">#REF!</definedName>
    <definedName name="ramli4">#REF!</definedName>
    <definedName name="ramli5">#REF!</definedName>
    <definedName name="ramli6">#REF!</definedName>
    <definedName name="ramli7">#REF!</definedName>
    <definedName name="RateAA">#REF!</definedName>
    <definedName name="RateIA">#REF!</definedName>
    <definedName name="ratio_cout_bdp_par_pvm">"$#REF!.$B$35"</definedName>
    <definedName name="ratio_cout_serveur_par_pvm">"$#REF!.$B$34"</definedName>
    <definedName name="ratio_ms1_autre_produit">"$#REF!.$#REF!$#REF!"</definedName>
    <definedName name="ratio_ms1p_autre_produit">"$#REF!.$#REF!$#REF!"</definedName>
    <definedName name="ratio_ms3p_autre_produit">"$#REF!.$#REF!$#REF!"</definedName>
    <definedName name="ratio_msa_autre_produit">"$#REF!.$#REF!$#REF!"</definedName>
    <definedName name="ratio_salaire_chargé">"$#REF!.$B$17"</definedName>
    <definedName name="RE_tranferred_in">#REF!</definedName>
    <definedName name="RE_transferred_in">#REF!</definedName>
    <definedName name="REAddition">#REF!</definedName>
    <definedName name="REBF">#REF!</definedName>
    <definedName name="receivables">"'file:///F:/Documents and Settings/SHADOW/DOCS/CHEECHUNG/Book2.xls'#$'NTFS_O_rec_ dep _ prepmts'.$#REF!$#REF!"</definedName>
    <definedName name="RECF">#REF!</definedName>
    <definedName name="REDisposal">#REF!</definedName>
    <definedName name="RestNote">#REF!</definedName>
    <definedName name="RETotal">#REF!</definedName>
    <definedName name="Revenue">#REF!</definedName>
    <definedName name="REVENUE_RESERVE">[2]NTFS_Taxation!$I$20</definedName>
    <definedName name="rf_1b">"$#REF!.$B$93"</definedName>
    <definedName name="rf_1c">"$#REF!.$C$93"</definedName>
    <definedName name="rf_1d">"$#REF!.$D$93"</definedName>
    <definedName name="rf_2">"$#REF!.$E$93"</definedName>
    <definedName name="rr">#REF!</definedName>
    <definedName name="rv_1b">"$#REF!.$B$94"</definedName>
    <definedName name="rv_1c">"$#REF!.$C$94"</definedName>
    <definedName name="rv_1d">"$#REF!.$D$94"</definedName>
    <definedName name="rv_2">"$#REF!.$E$94"</definedName>
    <definedName name="RZ_Range2">#REF!,#REF!</definedName>
    <definedName name="RZ_Range3">#REF!</definedName>
    <definedName name="RZ_Range4">#REF!</definedName>
    <definedName name="salaire_chef_vente_abc">"$#REF!.$B$13"</definedName>
    <definedName name="salaire_collecteur_abc">"$#REF!.$B$12"</definedName>
    <definedName name="salaire_commercial">"$#REF!.$B$4"</definedName>
    <definedName name="salaire_ingenierie">"$#REF!.$B$5"</definedName>
    <definedName name="salaire_prod">"$#REF!.$B$7"</definedName>
    <definedName name="salaire_suivi_projet">"$#REF!.$B$6"</definedName>
    <definedName name="salaire_vendeur_abc">"$#REF!.$B$11"</definedName>
    <definedName name="SchRef">#REF!</definedName>
    <definedName name="SchRefText">#REF!</definedName>
    <definedName name="SERI_SELANGIN_SDN_BHD">#REF!</definedName>
    <definedName name="SERI_SELANGIN_SDN_BHD_1">"$#REF!.$A$1:$D$5"</definedName>
    <definedName name="SERI_SELANGIN_SDN_BHD_10">"$#REF!.$A$1:$D$5"</definedName>
    <definedName name="SERI_SELANGIN_SDN_BHD_17">"$#REF!.$A$1:$D$5"</definedName>
    <definedName name="SERI_SELANGIN_SDN_BHD_19">"$#REF!.$A$1:$D$5"</definedName>
    <definedName name="SERI_SELANGIN_SDN_BHD_2">"$#REF!.$A$1:$D$5"</definedName>
    <definedName name="SERI_SELANGIN_SDN_BHD_6">"$#REF!.$A$1:$D$5"</definedName>
    <definedName name="SERI_SELANGIN_SDN_BHD_9">"$#REF!.$A$1:$D$5"</definedName>
    <definedName name="SHARED_FORMULA_11">SUM(#REF!+#REF!-#REF!)</definedName>
    <definedName name="SHARED_FORMULA_3">SUM(#REF!+#REF!-#REF!)</definedName>
    <definedName name="SHARED_FORMULA_7">#REF!+#REF!-#REF!</definedName>
    <definedName name="SheLett">#REF!</definedName>
    <definedName name="Spec">"$#REF!.$A$1:$AA$382"</definedName>
    <definedName name="Staff_adv">"$#REF!.$A$5:$E$97"</definedName>
    <definedName name="STATACC">#REF!</definedName>
    <definedName name="Sub_C017">#REF!</definedName>
    <definedName name="Sub_C023">#REF!</definedName>
    <definedName name="Sub_D001">#REF!</definedName>
    <definedName name="Sub_E001">#REF!</definedName>
    <definedName name="Sub_E004">#REF!</definedName>
    <definedName name="Sub_F001">#REF!</definedName>
    <definedName name="Sub_F004">#REF!</definedName>
    <definedName name="Sub_G001">#REF!</definedName>
    <definedName name="Sub_G004">#REF!</definedName>
    <definedName name="Sub_H001">#REF!</definedName>
    <definedName name="Sub_H004">#REF!</definedName>
    <definedName name="Sub_I001">#REF!</definedName>
    <definedName name="Sub_I004">#REF!</definedName>
    <definedName name="Sub_J001">#REF!</definedName>
    <definedName name="Sub_J004">#REF!</definedName>
    <definedName name="Sub_J005">#REF!</definedName>
    <definedName name="Sub_J006">#REF!</definedName>
    <definedName name="Sub_K001">#REF!</definedName>
    <definedName name="Sub_K004">#REF!</definedName>
    <definedName name="Sub_L001">#REF!</definedName>
    <definedName name="Sub_L004">#REF!</definedName>
    <definedName name="Sub_L005">#REF!</definedName>
    <definedName name="Sub_L006">#REF!</definedName>
    <definedName name="Sub_M001">#REF!</definedName>
    <definedName name="Sub_N001">#REF!</definedName>
    <definedName name="Sub_N004">#REF!</definedName>
    <definedName name="Sub_O001">#REF!</definedName>
    <definedName name="Sub_O004">#REF!</definedName>
    <definedName name="Sub_P001">#REF!</definedName>
    <definedName name="Sub_P004">#REF!</definedName>
    <definedName name="Sub_R001">#REF!</definedName>
    <definedName name="Sub_R004">#REF!</definedName>
    <definedName name="Sub_R007">#REF!</definedName>
    <definedName name="Sub_S001">#REF!</definedName>
    <definedName name="Sub_T001">#REF!</definedName>
    <definedName name="Sub_T004">#REF!</definedName>
    <definedName name="Sub_U001">#REF!</definedName>
    <definedName name="Sub_U004">#REF!</definedName>
    <definedName name="Sub_V001">#REF!</definedName>
    <definedName name="Subsi">"'file:///F:/Documents and Settings/SHADOW/DOCS/CHEECHUNG/Book2.xls'#$'NTFS_O_rec_ dep _ prepmts'.$#REF!$#REF!"</definedName>
    <definedName name="Summary">#REF!</definedName>
    <definedName name="Supplementary_PL">[2]_REF!$A$7:$G$30</definedName>
    <definedName name="szxz">"$#REF!.$AD$19"</definedName>
    <definedName name="t">[24]BPR!$F$11</definedName>
    <definedName name="taux_geocodage_OK">"$#REF!.$B$21"</definedName>
    <definedName name="taux_projet_geocode_manuel">"$#REF!.$B$22"</definedName>
    <definedName name="taux_projet1c_avec_serveur">"$#REF!.$B$23"</definedName>
    <definedName name="taux_projet1d_avec_serveur">"$#REF!.$B$25"</definedName>
    <definedName name="taux_revente_serveur">"$#REF!.$B$33"</definedName>
    <definedName name="TB">"'file:///F:/Documents and Settings/SHADOW/DOCS/CHEECHUNG/Book2.xls'#$Sheet3.$#REF!$#REF!"</definedName>
    <definedName name="Term_in_years">#REF!</definedName>
    <definedName name="this">'[29]Entity Data'!$G$8</definedName>
    <definedName name="Titl">'[36]5 Analysis'!#REF!</definedName>
    <definedName name="Title">'[17]4 Analysis'!#REF!</definedName>
    <definedName name="Title___0">'[37]4 Analysis'!#REF!</definedName>
    <definedName name="Title___44">'[37]4 Analysis'!#REF!</definedName>
    <definedName name="Title___77">'[37]4 Analysis'!#REF!</definedName>
    <definedName name="Title1">#REF!</definedName>
    <definedName name="Toolkit_Version">#REF!</definedName>
    <definedName name="TOT_EXP">"'file:///F:/Documents and Settings/SHADOW/DOCS/CHEECHUNG/Book2.xls'#$'NTFS_profit from operations'.$#REF!$#REF!"</definedName>
    <definedName name="TotalCA">[38]ca!#REF!</definedName>
    <definedName name="TotalCA___0">[39]ca!#REF!</definedName>
    <definedName name="TotalCA___44">[39]ca!#REF!</definedName>
    <definedName name="TotalCA___77">[39]ca!#REF!</definedName>
    <definedName name="TotalHP">#REF!</definedName>
    <definedName name="TotalIBA">#REF!</definedName>
    <definedName name="TotalLA">#REF!</definedName>
    <definedName name="TOTALS">#REF!</definedName>
    <definedName name="tps_fab_page_pattern">"$#REF!.$B$29"</definedName>
    <definedName name="TR">[2]nta_fa_company!$A$6:$S$38</definedName>
    <definedName name="Trade">"$#REF!.$A$2:$L$11"</definedName>
    <definedName name="TransferAsset">#REF!</definedName>
    <definedName name="trialbal1">[12]gl!#REF!</definedName>
    <definedName name="tt">#REF!</definedName>
    <definedName name="Type">#REF!</definedName>
    <definedName name="Type___0">[35]FF_11!#REF!</definedName>
    <definedName name="Type___44">[35]FF_11!#REF!</definedName>
    <definedName name="Type___77">[35]FF_11!#REF!</definedName>
    <definedName name="tyu">[25]B!$C$7</definedName>
    <definedName name="u">'[40]Bal Sheet'!$N$4</definedName>
    <definedName name="uj">[25]FSA!$A$1</definedName>
    <definedName name="uu">#REF!,#REF!</definedName>
    <definedName name="VALID01234">#REF!,#REF!</definedName>
    <definedName name="VALID1234">#REF!,#REF!</definedName>
    <definedName name="vvvv">"$#REF!.$AC$19"</definedName>
    <definedName name="wps">'[41]FF-6'!$A$5:$K$9</definedName>
    <definedName name="x">'[40]Bal Sheet'!$L$4</definedName>
    <definedName name="xsd">"$#REF!.$AD$20"</definedName>
    <definedName name="xx">#REF!</definedName>
    <definedName name="xyz">#REF!</definedName>
    <definedName name="y">'[40]Bal Sheet'!$N$4</definedName>
    <definedName name="YA">#REF!</definedName>
    <definedName name="YA_of_Tranferor">#REF!</definedName>
    <definedName name="YA_of_Transferor">#REF!</definedName>
    <definedName name="YA_transferred_in">#REF!</definedName>
    <definedName name="YE">[31]FSL!$B$2</definedName>
    <definedName name="you">'[17]1 LeadSchedule'!#REF!</definedName>
    <definedName name="you___0">[18]FF_2!#REF!</definedName>
    <definedName name="you___44">[18]FF_2!#REF!</definedName>
    <definedName name="you___77">[18]FF_2!#REF!</definedName>
    <definedName name="YTD_DEPRN">[42]accumdeprn!$A$3:$M$36</definedName>
    <definedName name="YY">#REF!</definedName>
    <definedName name="z">'[40]Bal Sheet'!$L$4</definedName>
    <definedName name="Z_39BC5E81_0594_11D1_8C74_006097B34275_.wvu.FilterData" hidden="1">#REF!</definedName>
    <definedName name="Z_39BC5E82_0594_11D1_8C74_006097B34275_.wvu.FilterData" hidden="1">#REF!</definedName>
    <definedName name="Z_4B5573A2_25FD_11D1_8C74_006097B34275_.wvu.FilterData" hidden="1">#REF!</definedName>
    <definedName name="Z_4B5573A3_25FD_11D1_8C74_006097B34275_.wvu.FilterData" hidden="1">#REF!</definedName>
    <definedName name="Z_4C289101_0FD6_11D1_A510_006097B38048_.wvu.FilterData" hidden="1">#REF!</definedName>
    <definedName name="Z_4C854AA2_3991_11D1_8C74_006097B34275_.wvu.FilterData" hidden="1">#REF!</definedName>
    <definedName name="Z_4E9FC601_CB8F_11D0_8C74_006097B34275_.wvu.FilterData" hidden="1">#REF!</definedName>
    <definedName name="Z_6E0ADC42_F22D_11D0_8C74_006097B34275_.wvu.FilterData" hidden="1">#REF!</definedName>
    <definedName name="Z_7E0A45E1_0993_11D1_8C74_006097B34275_.wvu.FilterData" hidden="1">#REF!</definedName>
    <definedName name="Z_82212322_246D_11D1_8C74_006097B34275_.wvu.FilterData" hidden="1">#REF!</definedName>
    <definedName name="Z_B8175DE2_E97C_11D0_8C74_006097B34275_.wvu.FilterData" hidden="1">#REF!</definedName>
    <definedName name="Z_DCA8D884_2605_11D1_A510_006097B38048_.wvu.FilterData" hidden="1">#REF!</definedName>
    <definedName name="Z_E2699901_D040_11D0_A510_006097B38048_.wvu.FilterData" hidden="1">#REF!</definedName>
    <definedName name="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36" i="2" l="1"/>
  <c r="S36" i="2"/>
  <c r="H17" i="4"/>
  <c r="F36" i="2"/>
  <c r="E36" i="2"/>
  <c r="A16" i="4"/>
  <c r="A40" i="5"/>
  <c r="C21" i="5"/>
  <c r="U26" i="2"/>
  <c r="S34" i="2"/>
  <c r="AB34" i="2" s="1"/>
  <c r="S33" i="2"/>
  <c r="AB33" i="2" s="1"/>
  <c r="S32" i="2"/>
  <c r="AB32" i="2" s="1"/>
  <c r="S31" i="2"/>
  <c r="AB31" i="2" s="1"/>
  <c r="S30" i="2"/>
  <c r="AB30" i="2" s="1"/>
  <c r="S29" i="2"/>
  <c r="AB29" i="2" s="1"/>
  <c r="S28" i="2"/>
  <c r="AB28" i="2" s="1"/>
  <c r="S27" i="2"/>
  <c r="AB27" i="2" s="1"/>
  <c r="W25" i="2"/>
  <c r="S24" i="2"/>
  <c r="AB24" i="2" s="1"/>
  <c r="T23" i="2"/>
  <c r="T22" i="2"/>
  <c r="S21" i="2"/>
  <c r="AB21" i="2" s="1"/>
  <c r="J20" i="2"/>
  <c r="K19" i="2"/>
  <c r="A19" i="2"/>
  <c r="J18" i="2" l="1"/>
  <c r="A17" i="2"/>
  <c r="R17" i="2"/>
  <c r="AB17" i="2" s="1"/>
  <c r="Y16" i="2"/>
  <c r="AB16" i="2" s="1"/>
  <c r="S15" i="2"/>
  <c r="AB15" i="2" s="1"/>
  <c r="W13" i="2"/>
  <c r="AB13" i="2" s="1"/>
  <c r="Q12" i="2"/>
  <c r="AB12" i="2" s="1"/>
  <c r="V11" i="2"/>
  <c r="AB11" i="2" s="1"/>
  <c r="S10" i="2" l="1"/>
  <c r="I38" i="2"/>
  <c r="C13" i="5" s="1"/>
  <c r="L13" i="5" s="1"/>
  <c r="M13" i="5" l="1"/>
  <c r="E33" i="6" l="1"/>
  <c r="E29" i="6"/>
  <c r="E30" i="6"/>
  <c r="C28" i="6"/>
  <c r="E28" i="6" s="1"/>
  <c r="E27" i="6"/>
  <c r="E26" i="6"/>
  <c r="G23" i="6"/>
  <c r="C25" i="6"/>
  <c r="G22" i="6"/>
  <c r="G19" i="6"/>
  <c r="G20" i="6"/>
  <c r="G21" i="6"/>
  <c r="G18" i="6"/>
  <c r="G13" i="6"/>
  <c r="G14" i="6"/>
  <c r="G15" i="6"/>
  <c r="E5" i="6"/>
  <c r="E6" i="6"/>
  <c r="E7" i="6"/>
  <c r="E8" i="6"/>
  <c r="E9" i="6"/>
  <c r="E10" i="6"/>
  <c r="E4" i="6"/>
  <c r="K11" i="6"/>
  <c r="K24" i="6" s="1"/>
  <c r="C12" i="6"/>
  <c r="C16" i="6" s="1"/>
  <c r="H38" i="2"/>
  <c r="G25" i="6" l="1"/>
  <c r="C31" i="6"/>
  <c r="G12" i="6"/>
  <c r="I12" i="6"/>
  <c r="I13" i="6" s="1"/>
  <c r="I14" i="6" s="1"/>
  <c r="I15" i="6" s="1"/>
  <c r="I18" i="6" s="1"/>
  <c r="I19" i="6" s="1"/>
  <c r="I20" i="6" s="1"/>
  <c r="I21" i="6" s="1"/>
  <c r="I22" i="6" s="1"/>
  <c r="I23" i="6" s="1"/>
  <c r="I25" i="6" s="1"/>
  <c r="AB37" i="2"/>
  <c r="AB26" i="2"/>
  <c r="AB25" i="2"/>
  <c r="AB23" i="2"/>
  <c r="AB22" i="2"/>
  <c r="AB20" i="2"/>
  <c r="AB19" i="2"/>
  <c r="AB18" i="2"/>
  <c r="AB14" i="2"/>
  <c r="AB10" i="2"/>
  <c r="D38" i="2" l="1"/>
  <c r="AB35" i="2"/>
  <c r="F44" i="5" l="1"/>
  <c r="M44" i="5" s="1"/>
  <c r="M21" i="5"/>
  <c r="L21" i="5"/>
  <c r="L44" i="5" l="1"/>
  <c r="H12" i="4" l="1"/>
  <c r="V38" i="2" l="1"/>
  <c r="C33" i="5" s="1"/>
  <c r="W38" i="2"/>
  <c r="C34" i="5" s="1"/>
  <c r="X38" i="2"/>
  <c r="C35" i="5" s="1"/>
  <c r="L35" i="5" l="1"/>
  <c r="M35" i="5"/>
  <c r="M34" i="5"/>
  <c r="L34" i="5"/>
  <c r="L33" i="5"/>
  <c r="M33" i="5"/>
  <c r="Q38" i="2"/>
  <c r="D28" i="5" s="1"/>
  <c r="Y38" i="2"/>
  <c r="C36" i="5" s="1"/>
  <c r="L36" i="5" l="1"/>
  <c r="M36" i="5"/>
  <c r="M28" i="5"/>
  <c r="L28" i="5"/>
  <c r="AB9" i="2" l="1"/>
  <c r="AA38" i="2"/>
  <c r="O38" i="2"/>
  <c r="N38" i="2"/>
  <c r="L38" i="2"/>
  <c r="D18" i="5" s="1"/>
  <c r="J38" i="2"/>
  <c r="C14" i="5" s="1"/>
  <c r="T38" i="2"/>
  <c r="C31" i="5" s="1"/>
  <c r="K38" i="2"/>
  <c r="D16" i="5" s="1"/>
  <c r="M31" i="5" l="1"/>
  <c r="L31" i="5"/>
  <c r="M14" i="5"/>
  <c r="L14" i="5"/>
  <c r="M16" i="5"/>
  <c r="L16" i="5"/>
  <c r="M18" i="5"/>
  <c r="L18" i="5"/>
  <c r="R38" i="2"/>
  <c r="D29" i="5" s="1"/>
  <c r="C10" i="5"/>
  <c r="G38" i="2"/>
  <c r="D20" i="5" s="1"/>
  <c r="U38" i="2"/>
  <c r="C32" i="5" s="1"/>
  <c r="Z38" i="2" l="1"/>
  <c r="D37" i="5" s="1"/>
  <c r="M37" i="5" s="1"/>
  <c r="M32" i="5"/>
  <c r="L32" i="5"/>
  <c r="M29" i="5"/>
  <c r="L29" i="5"/>
  <c r="L10" i="5"/>
  <c r="M10" i="5"/>
  <c r="M20" i="5"/>
  <c r="L20" i="5"/>
  <c r="F38" i="2"/>
  <c r="C11" i="5" s="1"/>
  <c r="S38" i="2"/>
  <c r="L37" i="5" l="1"/>
  <c r="D39" i="5"/>
  <c r="AB40" i="2"/>
  <c r="C30" i="5"/>
  <c r="L11" i="5"/>
  <c r="M11" i="5"/>
  <c r="C23" i="5"/>
  <c r="M38" i="2"/>
  <c r="E38" i="2"/>
  <c r="F21" i="1"/>
  <c r="F22" i="1"/>
  <c r="F23" i="1"/>
  <c r="F20" i="1"/>
  <c r="F24" i="1" s="1"/>
  <c r="D24" i="1"/>
  <c r="AB38" i="2" l="1"/>
  <c r="D17" i="5"/>
  <c r="N11" i="5"/>
  <c r="M30" i="5"/>
  <c r="M39" i="5" s="1"/>
  <c r="L30" i="5"/>
  <c r="L39" i="5" s="1"/>
  <c r="C39" i="5"/>
  <c r="M17" i="5" l="1"/>
  <c r="M23" i="5" s="1"/>
  <c r="L17" i="5"/>
  <c r="D23" i="5"/>
  <c r="D40" i="5"/>
  <c r="D41" i="5" s="1"/>
  <c r="C40" i="5"/>
  <c r="C41" i="5" s="1"/>
  <c r="M40" i="5"/>
  <c r="M41" i="5" s="1"/>
  <c r="L40" i="5"/>
  <c r="M43" i="5" s="1"/>
  <c r="D24" i="5" l="1"/>
  <c r="D25" i="5" s="1"/>
  <c r="C24" i="5"/>
  <c r="C25" i="5" s="1"/>
  <c r="N18" i="5"/>
  <c r="L23" i="5"/>
  <c r="M46" i="5"/>
  <c r="L45" i="5"/>
  <c r="L46" i="5" s="1"/>
  <c r="L41" i="5"/>
  <c r="L24" i="5" l="1"/>
  <c r="M24" i="5"/>
  <c r="L25" i="5" l="1"/>
  <c r="O24" i="5"/>
  <c r="O25" i="5" s="1"/>
  <c r="N24" i="5"/>
  <c r="M25" i="5"/>
</calcChain>
</file>

<file path=xl/sharedStrings.xml><?xml version="1.0" encoding="utf-8"?>
<sst xmlns="http://schemas.openxmlformats.org/spreadsheetml/2006/main" count="215" uniqueCount="114">
  <si>
    <t>UEN No</t>
  </si>
  <si>
    <t>:</t>
  </si>
  <si>
    <t>Incorporation date</t>
  </si>
  <si>
    <t>Registered office</t>
  </si>
  <si>
    <t>Financial year end</t>
  </si>
  <si>
    <t>Director</t>
  </si>
  <si>
    <t>Yu Qichuan</t>
  </si>
  <si>
    <t>Secretary</t>
  </si>
  <si>
    <t>Tricia Wanxuan</t>
  </si>
  <si>
    <t>100 Jalan Sultan #02-44, Sultan Plaza, Singapore 199001</t>
  </si>
  <si>
    <t>YWX HOLDING PTE LTD</t>
  </si>
  <si>
    <t>May</t>
  </si>
  <si>
    <t xml:space="preserve"> 202119939E</t>
  </si>
  <si>
    <t xml:space="preserve"> 7/6/2021</t>
  </si>
  <si>
    <t xml:space="preserve"> 66 Elias Road #07-11 Oasis @ Elias, Singapore 519941</t>
  </si>
  <si>
    <t>Shareholders and their shareholdings</t>
  </si>
  <si>
    <t>Xia Limin</t>
  </si>
  <si>
    <t>Wang Wei</t>
  </si>
  <si>
    <t>Wang Ji</t>
  </si>
  <si>
    <t>No of shares</t>
  </si>
  <si>
    <t>% held</t>
  </si>
  <si>
    <t>Descriptions</t>
  </si>
  <si>
    <t>Total</t>
  </si>
  <si>
    <t>S$</t>
  </si>
  <si>
    <t>Date</t>
  </si>
  <si>
    <t>Share capital</t>
  </si>
  <si>
    <t>OCBC               SGD</t>
  </si>
  <si>
    <t>US$</t>
  </si>
  <si>
    <t>OCBC - USD</t>
  </si>
  <si>
    <t>Misc income</t>
  </si>
  <si>
    <t>MAS: Financial Database - Exchange Rates</t>
  </si>
  <si>
    <t>Exchange Rates (Monthly)</t>
  </si>
  <si>
    <t>End of Period</t>
  </si>
  <si>
    <t>S$ Per Unit of US Dollar</t>
  </si>
  <si>
    <t>Sep</t>
  </si>
  <si>
    <t>Oct</t>
  </si>
  <si>
    <t>Nov</t>
  </si>
  <si>
    <t>* Yearly, monthly and weekly figures are end period values.</t>
  </si>
  <si>
    <t>* Daily figures are values as of noon.</t>
  </si>
  <si>
    <t>Bank charges</t>
  </si>
  <si>
    <t>General expenses</t>
  </si>
  <si>
    <t>Utility fees rec'd - Ban Leong</t>
  </si>
  <si>
    <t>Gain in exchange</t>
  </si>
  <si>
    <t>JOURNAL ENTRIES</t>
  </si>
  <si>
    <t>DR</t>
  </si>
  <si>
    <t>CR</t>
  </si>
  <si>
    <t>Deposit paid</t>
  </si>
  <si>
    <t>Deposit received</t>
  </si>
  <si>
    <t>Management fees rec'd</t>
  </si>
  <si>
    <t>Rent paid</t>
  </si>
  <si>
    <t>Telephone &amp; internet</t>
  </si>
  <si>
    <t>Transport</t>
  </si>
  <si>
    <t>Utilities</t>
  </si>
  <si>
    <t>Ref.</t>
  </si>
  <si>
    <t>Utility deposit</t>
  </si>
  <si>
    <t>Accruals</t>
  </si>
  <si>
    <t>TRIAL BALANCE WORKSHEET</t>
  </si>
  <si>
    <t>Description</t>
  </si>
  <si>
    <t>Trial balance</t>
  </si>
  <si>
    <t>Adjustment</t>
  </si>
  <si>
    <t>Adjusted trial balances</t>
  </si>
  <si>
    <t>Retained earnings</t>
  </si>
  <si>
    <t>Other Icome</t>
  </si>
  <si>
    <t>Net profit before tax</t>
  </si>
  <si>
    <t>Income tax expense</t>
  </si>
  <si>
    <t>Net profit after tax</t>
  </si>
  <si>
    <t>OCBC - SGD</t>
  </si>
  <si>
    <t>Management fees received</t>
  </si>
  <si>
    <t>Accountancy &amp; secretarial fees</t>
  </si>
  <si>
    <t>Genearl expenses</t>
  </si>
  <si>
    <t>Transport expenses</t>
  </si>
  <si>
    <t>Water &amp; electricity</t>
  </si>
  <si>
    <t>Balance b/d</t>
  </si>
  <si>
    <t>Utility fees paid</t>
  </si>
  <si>
    <t>Acc. &amp; Sec. fees</t>
  </si>
  <si>
    <t>Deposit</t>
  </si>
  <si>
    <t>Refund deposit</t>
  </si>
  <si>
    <t>Bank</t>
  </si>
  <si>
    <t>Offset deposit</t>
  </si>
  <si>
    <t>JE(1)</t>
  </si>
  <si>
    <t xml:space="preserve">Utilities adjusted </t>
  </si>
  <si>
    <t>Jun</t>
  </si>
  <si>
    <t>Jul</t>
  </si>
  <si>
    <t>Aug</t>
  </si>
  <si>
    <t>Dec</t>
  </si>
  <si>
    <t>Jan</t>
  </si>
  <si>
    <t>Feb</t>
  </si>
  <si>
    <t>Mar</t>
  </si>
  <si>
    <t>Apr</t>
  </si>
  <si>
    <t>YEAR ENDED 31.5.2023</t>
  </si>
  <si>
    <t>Being utility charges adjusted</t>
  </si>
  <si>
    <t>Investment in MDK (Zhejiang)</t>
  </si>
  <si>
    <t>Loan from shareholders</t>
  </si>
  <si>
    <t>BANK TRANSACTION DETAILS FOR YEAR ENDED 31.5.2024</t>
  </si>
  <si>
    <t>MMT SG Pte Ltd - office rent Jun 23</t>
  </si>
  <si>
    <t>MDK (S) - Office rent Jun 23</t>
  </si>
  <si>
    <t>ACRA-Certificate confirming incorporationof company</t>
  </si>
  <si>
    <t>Double Axis PL - refund of rental deposits</t>
  </si>
  <si>
    <t>Refund deposit to MDK</t>
  </si>
  <si>
    <t xml:space="preserve">SP Services refund </t>
  </si>
  <si>
    <t>INV-6552</t>
  </si>
  <si>
    <t>W.L.P Pte Ltd - secretarial fees</t>
  </si>
  <si>
    <t>Accountancy fees</t>
  </si>
  <si>
    <t>M1 bills for Jun 2023</t>
  </si>
  <si>
    <t>M1 bills</t>
  </si>
  <si>
    <t>WR209760</t>
  </si>
  <si>
    <t>Worsbug - translation fees</t>
  </si>
  <si>
    <t>Net loss for the year</t>
  </si>
  <si>
    <t>YEAR ENDED 31.5.2024</t>
  </si>
  <si>
    <t>JE(2)</t>
  </si>
  <si>
    <t>Jun 2021 to Jun 2024</t>
  </si>
  <si>
    <t>OCBC USD a/c</t>
  </si>
  <si>
    <t>Being bank charges taken up</t>
  </si>
  <si>
    <t>Bank charges for USD a/c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</si>
</sst>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_(* #,##0.00_);_(* \(#,##0.00\);_(* &quot;-&quot;??_);_(@_)"/>
    <numFmt numFmtId="165" formatCode="_-* #,##0_-;\-* #,##0_-;_-* &quot;-&quot;??_-;_-@_-"/>
    <numFmt numFmtId="166" formatCode="_-* #,##0.0000_-;\-* #,##0.0000_-;_-* &quot;-&quot;??_-;_-@_-"/>
    <numFmt numFmtId="167" formatCode="_(* #,##0.0000_);_(* \(#,##0.0000\);_(* &quot;-&quot;??_);_(@_)"/>
    <numFmt numFmtId="168" formatCode="0."/>
    <numFmt numFmtId="169" formatCode="0.0000"/>
  </numFmts>
  <fonts count="12" x14ac:knownFonts="1">
    <font>
      <sz val="10"/>
      <color theme="1"/>
      <name val="Arial"/>
      <family val="2"/>
    </font>
    <font>
      <u/>
      <sz val="11"/>
      <color theme="1"/>
      <name val="Arial"/>
      <family val="2"/>
    </font>
    <font>
      <u/>
      <sz val="11"/>
      <name val="Arial"/>
      <family val="2"/>
    </font>
    <font>
      <sz val="11"/>
      <name val="Arial"/>
      <family val="2"/>
    </font>
    <font>
      <sz val="11"/>
      <color theme="1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u/>
      <sz val="10"/>
      <name val="Arial"/>
      <family val="2"/>
    </font>
    <font>
      <u/>
      <sz val="10"/>
      <color theme="1"/>
      <name val="Arial"/>
      <family val="2"/>
    </font>
    <font>
      <sz val="9"/>
      <name val="Arial"/>
      <family val="2"/>
    </font>
    <font>
      <sz val="8"/>
      <name val="Arial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1">
    <xf numFmtId="0" fontId="0" fillId="0" borderId="0"/>
    <xf numFmtId="164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11" fillId="0" borderId="0"/>
    <xf numFmtId="164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4" fontId="5" fillId="0" borderId="0" applyFont="0" applyFill="0" applyBorder="0" applyAlignment="0" applyProtection="0"/>
  </cellStyleXfs>
  <cellXfs count="100">
    <xf numFmtId="0" fontId="0" fillId="0" borderId="0" xfId="0"/>
    <xf numFmtId="0" fontId="1" fillId="0" borderId="0" xfId="0" applyFont="1" applyAlignment="1">
      <alignment horizontal="left"/>
    </xf>
    <xf numFmtId="164" fontId="2" fillId="0" borderId="0" xfId="0" applyNumberFormat="1" applyFont="1"/>
    <xf numFmtId="0" fontId="3" fillId="0" borderId="0" xfId="0" applyFont="1"/>
    <xf numFmtId="0" fontId="4" fillId="0" borderId="0" xfId="0" applyFont="1" applyAlignment="1">
      <alignment horizontal="left"/>
    </xf>
    <xf numFmtId="164" fontId="3" fillId="0" borderId="0" xfId="0" applyNumberFormat="1" applyFont="1"/>
    <xf numFmtId="49" fontId="3" fillId="0" borderId="0" xfId="0" applyNumberFormat="1" applyFont="1" applyAlignment="1">
      <alignment horizontal="left"/>
    </xf>
    <xf numFmtId="14" fontId="3" fillId="0" borderId="0" xfId="1" quotePrefix="1" applyNumberFormat="1" applyFont="1" applyBorder="1" applyAlignment="1">
      <alignment horizontal="left"/>
    </xf>
    <xf numFmtId="49" fontId="3" fillId="0" borderId="0" xfId="0" applyNumberFormat="1" applyFont="1"/>
    <xf numFmtId="0" fontId="3" fillId="0" borderId="0" xfId="0" applyFont="1" applyAlignment="1">
      <alignment horizontal="center"/>
    </xf>
    <xf numFmtId="165" fontId="3" fillId="0" borderId="0" xfId="2" applyNumberFormat="1" applyFont="1"/>
    <xf numFmtId="165" fontId="3" fillId="0" borderId="1" xfId="2" applyNumberFormat="1" applyFont="1" applyBorder="1"/>
    <xf numFmtId="9" fontId="3" fillId="0" borderId="0" xfId="3" applyFont="1" applyAlignment="1">
      <alignment horizontal="center"/>
    </xf>
    <xf numFmtId="9" fontId="3" fillId="0" borderId="1" xfId="0" applyNumberFormat="1" applyFont="1" applyBorder="1" applyAlignment="1">
      <alignment horizontal="center"/>
    </xf>
    <xf numFmtId="165" fontId="3" fillId="0" borderId="0" xfId="2" applyNumberFormat="1" applyFont="1" applyBorder="1"/>
    <xf numFmtId="0" fontId="7" fillId="0" borderId="0" xfId="0" applyFont="1"/>
    <xf numFmtId="0" fontId="5" fillId="0" borderId="0" xfId="0" applyFont="1"/>
    <xf numFmtId="0" fontId="8" fillId="0" borderId="0" xfId="0" applyFont="1" applyAlignment="1">
      <alignment horizontal="left"/>
    </xf>
    <xf numFmtId="0" fontId="5" fillId="0" borderId="0" xfId="0" applyFont="1" applyAlignment="1">
      <alignment horizontal="center"/>
    </xf>
    <xf numFmtId="0" fontId="7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5" fillId="0" borderId="2" xfId="0" applyFont="1" applyBorder="1" applyAlignment="1">
      <alignment horizontal="left"/>
    </xf>
    <xf numFmtId="0" fontId="5" fillId="0" borderId="2" xfId="0" applyFont="1" applyBorder="1"/>
    <xf numFmtId="0" fontId="5" fillId="0" borderId="2" xfId="0" applyFont="1" applyBorder="1" applyAlignment="1">
      <alignment horizontal="center"/>
    </xf>
    <xf numFmtId="14" fontId="5" fillId="0" borderId="0" xfId="0" applyNumberFormat="1" applyFont="1" applyAlignment="1">
      <alignment horizontal="left"/>
    </xf>
    <xf numFmtId="164" fontId="5" fillId="0" borderId="0" xfId="4" applyFont="1" applyFill="1"/>
    <xf numFmtId="164" fontId="5" fillId="0" borderId="0" xfId="4" applyFont="1"/>
    <xf numFmtId="164" fontId="5" fillId="0" borderId="1" xfId="4" applyFont="1" applyFill="1" applyBorder="1"/>
    <xf numFmtId="164" fontId="5" fillId="0" borderId="1" xfId="4" applyFont="1" applyBorder="1"/>
    <xf numFmtId="164" fontId="5" fillId="0" borderId="0" xfId="4" applyFont="1" applyFill="1" applyBorder="1"/>
    <xf numFmtId="164" fontId="5" fillId="0" borderId="0" xfId="4" applyFont="1" applyBorder="1"/>
    <xf numFmtId="164" fontId="5" fillId="0" borderId="0" xfId="0" applyNumberFormat="1" applyFont="1"/>
    <xf numFmtId="0" fontId="5" fillId="0" borderId="2" xfId="0" applyFont="1" applyBorder="1" applyAlignment="1">
      <alignment horizontal="center" wrapText="1"/>
    </xf>
    <xf numFmtId="43" fontId="5" fillId="0" borderId="0" xfId="2" applyFont="1"/>
    <xf numFmtId="0" fontId="5" fillId="2" borderId="2" xfId="0" applyFont="1" applyFill="1" applyBorder="1" applyAlignment="1">
      <alignment horizontal="center" wrapText="1"/>
    </xf>
    <xf numFmtId="0" fontId="5" fillId="2" borderId="0" xfId="0" applyFont="1" applyFill="1" applyAlignment="1">
      <alignment horizontal="center"/>
    </xf>
    <xf numFmtId="0" fontId="5" fillId="2" borderId="0" xfId="0" applyFont="1" applyFill="1"/>
    <xf numFmtId="164" fontId="5" fillId="2" borderId="0" xfId="4" applyFont="1" applyFill="1"/>
    <xf numFmtId="164" fontId="5" fillId="2" borderId="1" xfId="4" applyFont="1" applyFill="1" applyBorder="1"/>
    <xf numFmtId="164" fontId="5" fillId="2" borderId="0" xfId="4" applyFont="1" applyFill="1" applyBorder="1"/>
    <xf numFmtId="43" fontId="5" fillId="0" borderId="0" xfId="0" applyNumberFormat="1" applyFont="1"/>
    <xf numFmtId="166" fontId="7" fillId="0" borderId="0" xfId="0" applyNumberFormat="1" applyFont="1"/>
    <xf numFmtId="167" fontId="5" fillId="0" borderId="0" xfId="4" applyNumberFormat="1" applyFont="1" applyFill="1"/>
    <xf numFmtId="0" fontId="8" fillId="0" borderId="0" xfId="0" applyFont="1"/>
    <xf numFmtId="0" fontId="7" fillId="0" borderId="0" xfId="0" applyFont="1" applyAlignment="1">
      <alignment horizontal="center"/>
    </xf>
    <xf numFmtId="168" fontId="5" fillId="0" borderId="0" xfId="5" applyNumberFormat="1" applyFont="1" applyBorder="1" applyAlignment="1">
      <alignment horizontal="left"/>
    </xf>
    <xf numFmtId="164" fontId="5" fillId="0" borderId="0" xfId="6" applyFont="1"/>
    <xf numFmtId="39" fontId="5" fillId="0" borderId="0" xfId="0" applyNumberFormat="1" applyFont="1"/>
    <xf numFmtId="164" fontId="5" fillId="0" borderId="0" xfId="1" applyFont="1"/>
    <xf numFmtId="0" fontId="9" fillId="0" borderId="2" xfId="0" applyFont="1" applyBorder="1" applyAlignment="1">
      <alignment horizontal="center" wrapText="1"/>
    </xf>
    <xf numFmtId="164" fontId="5" fillId="0" borderId="2" xfId="4" applyFont="1" applyFill="1" applyBorder="1"/>
    <xf numFmtId="43" fontId="5" fillId="0" borderId="3" xfId="2" applyFont="1" applyBorder="1"/>
    <xf numFmtId="0" fontId="7" fillId="0" borderId="0" xfId="7" applyFont="1"/>
    <xf numFmtId="0" fontId="5" fillId="0" borderId="0" xfId="7" applyFont="1"/>
    <xf numFmtId="0" fontId="5" fillId="0" borderId="0" xfId="7" applyFont="1" applyAlignment="1">
      <alignment horizontal="left"/>
    </xf>
    <xf numFmtId="0" fontId="7" fillId="0" borderId="0" xfId="7" applyFont="1" applyAlignment="1">
      <alignment horizontal="left"/>
    </xf>
    <xf numFmtId="0" fontId="5" fillId="3" borderId="0" xfId="7" applyFont="1" applyFill="1"/>
    <xf numFmtId="164" fontId="5" fillId="0" borderId="0" xfId="1" applyFont="1" applyAlignment="1">
      <alignment horizontal="center"/>
    </xf>
    <xf numFmtId="164" fontId="5" fillId="0" borderId="0" xfId="1" applyFont="1" applyAlignment="1">
      <alignment horizontal="centerContinuous"/>
    </xf>
    <xf numFmtId="164" fontId="5" fillId="0" borderId="0" xfId="7" applyNumberFormat="1" applyFont="1" applyAlignment="1">
      <alignment horizontal="center"/>
    </xf>
    <xf numFmtId="2" fontId="5" fillId="0" borderId="0" xfId="7" applyNumberFormat="1" applyFont="1" applyAlignment="1">
      <alignment horizontal="center"/>
    </xf>
    <xf numFmtId="2" fontId="5" fillId="0" borderId="0" xfId="7" applyNumberFormat="1" applyFont="1" applyAlignment="1">
      <alignment horizontal="centerContinuous"/>
    </xf>
    <xf numFmtId="164" fontId="5" fillId="0" borderId="0" xfId="7" applyNumberFormat="1" applyFont="1"/>
    <xf numFmtId="1" fontId="5" fillId="0" borderId="0" xfId="7" applyNumberFormat="1" applyFont="1"/>
    <xf numFmtId="164" fontId="5" fillId="0" borderId="0" xfId="1" applyFont="1" applyFill="1"/>
    <xf numFmtId="164" fontId="5" fillId="3" borderId="0" xfId="1" applyFont="1" applyFill="1"/>
    <xf numFmtId="164" fontId="5" fillId="0" borderId="0" xfId="1" applyFont="1" applyBorder="1"/>
    <xf numFmtId="164" fontId="5" fillId="0" borderId="4" xfId="1" applyFont="1" applyBorder="1"/>
    <xf numFmtId="164" fontId="5" fillId="0" borderId="5" xfId="1" applyFont="1" applyBorder="1"/>
    <xf numFmtId="164" fontId="5" fillId="0" borderId="0" xfId="1" applyFont="1" applyFill="1" applyBorder="1"/>
    <xf numFmtId="164" fontId="5" fillId="0" borderId="6" xfId="1" applyFont="1" applyBorder="1"/>
    <xf numFmtId="164" fontId="5" fillId="0" borderId="7" xfId="1" applyFont="1" applyBorder="1"/>
    <xf numFmtId="164" fontId="5" fillId="0" borderId="2" xfId="1" applyFont="1" applyBorder="1"/>
    <xf numFmtId="164" fontId="5" fillId="3" borderId="0" xfId="1" applyFont="1" applyFill="1" applyBorder="1"/>
    <xf numFmtId="164" fontId="5" fillId="0" borderId="8" xfId="1" applyFont="1" applyBorder="1"/>
    <xf numFmtId="0" fontId="5" fillId="4" borderId="0" xfId="7" applyFont="1" applyFill="1"/>
    <xf numFmtId="39" fontId="5" fillId="4" borderId="0" xfId="7" applyNumberFormat="1" applyFont="1" applyFill="1"/>
    <xf numFmtId="164" fontId="5" fillId="0" borderId="3" xfId="1" applyFont="1" applyBorder="1"/>
    <xf numFmtId="164" fontId="5" fillId="0" borderId="1" xfId="1" applyFont="1" applyBorder="1"/>
    <xf numFmtId="17" fontId="0" fillId="0" borderId="0" xfId="0" applyNumberFormat="1"/>
    <xf numFmtId="43" fontId="0" fillId="0" borderId="0" xfId="2" applyFont="1"/>
    <xf numFmtId="164" fontId="0" fillId="0" borderId="0" xfId="0" applyNumberFormat="1"/>
    <xf numFmtId="43" fontId="0" fillId="0" borderId="0" xfId="0" applyNumberFormat="1"/>
    <xf numFmtId="43" fontId="5" fillId="0" borderId="0" xfId="2" applyFont="1" applyBorder="1"/>
    <xf numFmtId="0" fontId="0" fillId="0" borderId="0" xfId="0" applyAlignment="1">
      <alignment horizontal="center"/>
    </xf>
    <xf numFmtId="43" fontId="5" fillId="0" borderId="0" xfId="2" applyFont="1" applyFill="1" applyBorder="1"/>
    <xf numFmtId="0" fontId="0" fillId="0" borderId="0" xfId="0" applyAlignment="1">
      <alignment horizontal="center" wrapText="1"/>
    </xf>
    <xf numFmtId="43" fontId="0" fillId="0" borderId="2" xfId="2" applyFont="1" applyBorder="1"/>
    <xf numFmtId="43" fontId="5" fillId="0" borderId="0" xfId="7" applyNumberFormat="1" applyFont="1"/>
    <xf numFmtId="169" fontId="0" fillId="0" borderId="0" xfId="0" applyNumberFormat="1"/>
    <xf numFmtId="168" fontId="5" fillId="0" borderId="0" xfId="5" applyNumberFormat="1" applyFont="1" applyBorder="1" applyAlignment="1"/>
    <xf numFmtId="164" fontId="5" fillId="0" borderId="9" xfId="1" applyFont="1" applyBorder="1"/>
    <xf numFmtId="164" fontId="5" fillId="0" borderId="10" xfId="1" applyFont="1" applyBorder="1"/>
    <xf numFmtId="168" fontId="0" fillId="0" borderId="0" xfId="0" applyNumberFormat="1" applyAlignment="1">
      <alignment horizontal="left"/>
    </xf>
    <xf numFmtId="0" fontId="0" fillId="0" borderId="2" xfId="0" applyBorder="1"/>
    <xf numFmtId="164" fontId="7" fillId="0" borderId="0" xfId="1" applyFont="1" applyAlignment="1">
      <alignment horizontal="center"/>
    </xf>
    <xf numFmtId="164" fontId="7" fillId="0" borderId="0" xfId="7" applyNumberFormat="1" applyFont="1" applyAlignment="1">
      <alignment horizontal="center"/>
    </xf>
    <xf numFmtId="0" fontId="7" fillId="0" borderId="0" xfId="7" applyFont="1" applyAlignment="1">
      <alignment horizontal="center"/>
    </xf>
    <xf numFmtId="0" fontId="5" fillId="0" borderId="2" xfId="0" applyFont="1" applyBorder="1" applyAlignment="1">
      <alignment horizontal="center" wrapText="1"/>
    </xf>
    <xf numFmtId="49" fontId="3" fillId="0" borderId="0" xfId="0" applyNumberFormat="1" applyFont="1" applyAlignment="1">
      <alignment horizontal="left"/>
    </xf>
  </cellXfs>
  <cellStyles count="11">
    <cellStyle name="Comma" xfId="2" builtinId="3"/>
    <cellStyle name="Comma 10" xfId="1" xr:uid="{B5B00FFB-7EF5-4DE5-96AD-506509764A29}"/>
    <cellStyle name="Comma 16" xfId="10" xr:uid="{6CA2B0A1-7C0D-4CD4-B761-22E3FF91FEC8}"/>
    <cellStyle name="Comma 2" xfId="4" xr:uid="{42E28089-7F0F-4B6D-8DF9-E7F2D91AD35A}"/>
    <cellStyle name="Comma 23" xfId="8" xr:uid="{05E77515-2D4C-469F-B711-34F3F0E0E4E1}"/>
    <cellStyle name="Comma 33 2" xfId="6" xr:uid="{8BC22762-EE90-4C6E-80E3-9736FDFFF1CF}"/>
    <cellStyle name="Comma 7" xfId="5" xr:uid="{14E5CA9D-D4BA-450A-8186-86146CE3E3FC}"/>
    <cellStyle name="Normal" xfId="0" builtinId="0"/>
    <cellStyle name="Normal 2" xfId="7" xr:uid="{1C7CA357-1190-4189-B23F-15BCAD0C0E77}"/>
    <cellStyle name="Percent" xfId="3" builtinId="5"/>
    <cellStyle name="Percent 15" xfId="9" xr:uid="{45451A78-555B-4020-9CE7-D6AA2274282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7.xml"/><Relationship Id="rId18" Type="http://schemas.openxmlformats.org/officeDocument/2006/relationships/externalLink" Target="externalLinks/externalLink12.xml"/><Relationship Id="rId26" Type="http://schemas.openxmlformats.org/officeDocument/2006/relationships/externalLink" Target="externalLinks/externalLink20.xml"/><Relationship Id="rId39" Type="http://schemas.openxmlformats.org/officeDocument/2006/relationships/externalLink" Target="externalLinks/externalLink33.xml"/><Relationship Id="rId21" Type="http://schemas.openxmlformats.org/officeDocument/2006/relationships/externalLink" Target="externalLinks/externalLink15.xml"/><Relationship Id="rId34" Type="http://schemas.openxmlformats.org/officeDocument/2006/relationships/externalLink" Target="externalLinks/externalLink28.xml"/><Relationship Id="rId42" Type="http://schemas.openxmlformats.org/officeDocument/2006/relationships/externalLink" Target="externalLinks/externalLink36.xml"/><Relationship Id="rId47" Type="http://schemas.openxmlformats.org/officeDocument/2006/relationships/externalLink" Target="externalLinks/externalLink41.xml"/><Relationship Id="rId50" Type="http://schemas.openxmlformats.org/officeDocument/2006/relationships/theme" Target="theme/theme1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0.xml"/><Relationship Id="rId29" Type="http://schemas.openxmlformats.org/officeDocument/2006/relationships/externalLink" Target="externalLinks/externalLink23.xml"/><Relationship Id="rId11" Type="http://schemas.openxmlformats.org/officeDocument/2006/relationships/externalLink" Target="externalLinks/externalLink5.xml"/><Relationship Id="rId24" Type="http://schemas.openxmlformats.org/officeDocument/2006/relationships/externalLink" Target="externalLinks/externalLink18.xml"/><Relationship Id="rId32" Type="http://schemas.openxmlformats.org/officeDocument/2006/relationships/externalLink" Target="externalLinks/externalLink26.xml"/><Relationship Id="rId37" Type="http://schemas.openxmlformats.org/officeDocument/2006/relationships/externalLink" Target="externalLinks/externalLink31.xml"/><Relationship Id="rId40" Type="http://schemas.openxmlformats.org/officeDocument/2006/relationships/externalLink" Target="externalLinks/externalLink34.xml"/><Relationship Id="rId45" Type="http://schemas.openxmlformats.org/officeDocument/2006/relationships/externalLink" Target="externalLinks/externalLink39.xml"/><Relationship Id="rId53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4.xml"/><Relationship Id="rId19" Type="http://schemas.openxmlformats.org/officeDocument/2006/relationships/externalLink" Target="externalLinks/externalLink13.xml"/><Relationship Id="rId31" Type="http://schemas.openxmlformats.org/officeDocument/2006/relationships/externalLink" Target="externalLinks/externalLink25.xml"/><Relationship Id="rId44" Type="http://schemas.openxmlformats.org/officeDocument/2006/relationships/externalLink" Target="externalLinks/externalLink38.xml"/><Relationship Id="rId52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Relationship Id="rId14" Type="http://schemas.openxmlformats.org/officeDocument/2006/relationships/externalLink" Target="externalLinks/externalLink8.xml"/><Relationship Id="rId22" Type="http://schemas.openxmlformats.org/officeDocument/2006/relationships/externalLink" Target="externalLinks/externalLink16.xml"/><Relationship Id="rId27" Type="http://schemas.openxmlformats.org/officeDocument/2006/relationships/externalLink" Target="externalLinks/externalLink21.xml"/><Relationship Id="rId30" Type="http://schemas.openxmlformats.org/officeDocument/2006/relationships/externalLink" Target="externalLinks/externalLink24.xml"/><Relationship Id="rId35" Type="http://schemas.openxmlformats.org/officeDocument/2006/relationships/externalLink" Target="externalLinks/externalLink29.xml"/><Relationship Id="rId43" Type="http://schemas.openxmlformats.org/officeDocument/2006/relationships/externalLink" Target="externalLinks/externalLink37.xml"/><Relationship Id="rId48" Type="http://schemas.openxmlformats.org/officeDocument/2006/relationships/externalLink" Target="externalLinks/externalLink42.xml"/><Relationship Id="rId8" Type="http://schemas.openxmlformats.org/officeDocument/2006/relationships/externalLink" Target="externalLinks/externalLink2.xml"/><Relationship Id="rId51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6.xml"/><Relationship Id="rId17" Type="http://schemas.openxmlformats.org/officeDocument/2006/relationships/externalLink" Target="externalLinks/externalLink11.xml"/><Relationship Id="rId25" Type="http://schemas.openxmlformats.org/officeDocument/2006/relationships/externalLink" Target="externalLinks/externalLink19.xml"/><Relationship Id="rId33" Type="http://schemas.openxmlformats.org/officeDocument/2006/relationships/externalLink" Target="externalLinks/externalLink27.xml"/><Relationship Id="rId38" Type="http://schemas.openxmlformats.org/officeDocument/2006/relationships/externalLink" Target="externalLinks/externalLink32.xml"/><Relationship Id="rId46" Type="http://schemas.openxmlformats.org/officeDocument/2006/relationships/externalLink" Target="externalLinks/externalLink40.xml"/><Relationship Id="rId20" Type="http://schemas.openxmlformats.org/officeDocument/2006/relationships/externalLink" Target="externalLinks/externalLink14.xml"/><Relationship Id="rId41" Type="http://schemas.openxmlformats.org/officeDocument/2006/relationships/externalLink" Target="externalLinks/externalLink35.xml"/><Relationship Id="rId54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externalLink" Target="externalLinks/externalLink9.xml"/><Relationship Id="rId23" Type="http://schemas.openxmlformats.org/officeDocument/2006/relationships/externalLink" Target="externalLinks/externalLink17.xml"/><Relationship Id="rId28" Type="http://schemas.openxmlformats.org/officeDocument/2006/relationships/externalLink" Target="externalLinks/externalLink22.xml"/><Relationship Id="rId36" Type="http://schemas.openxmlformats.org/officeDocument/2006/relationships/externalLink" Target="externalLinks/externalLink30.xml"/><Relationship Id="rId49" Type="http://schemas.openxmlformats.org/officeDocument/2006/relationships/externalLink" Target="externalLinks/externalLink4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laudnibm492\Consol\weihweihong\WHH\Scientex\07%20-%20Texland%20Group\Audit%20of%20holding%20company\Texland%20Sdn%20Bhd\Jenny\Yuasa%20Mechatronics\BAfile\Aud2\Mal225\malead99\09-AWPs\AllAWP99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UDIT-1\1%20Sharing\Elizabeth\Documents%20and%20Settings\SHADOW\DOCS\CHEECHUNG\Book2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laudnibm492\Consol\BAfile\AUD2\Nit344\Ye99\AWPs\Nit344_AWPs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laudnibm492\Consol\DATABASE\Ahmad%20Nazri%20Mohamad\Clients\AIH%20(Malaysia)%20Sdn%20Bhd\Update\Cybercode%20(M)%20Sdn%20Bhd\Cashflow%20-%20working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andisk-a076\dhanjeet\Documents%20and%20Settings\Administrator\Desktop\STDCOMP-Ngiam....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Elizabeth\Documents%20and%20Settings\SHADOW\DOCS\CHEECHUNG\Book2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UCFS0001\VOL2\AuditDepartment\Shirley\SFP\Sfp98\SFP98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DATA\Transwater\BPR\Clients\PacIns98\Year%20end%201998\11-AWPs\WINDOWS\TEMP\fish%20fund%203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laudnibm492\Consol\weihweihong\WHH\Scientex\07%20-%20Texland%20Group\Audit%20of%20holding%20company\Texland%20Sdn%20Bhd\Jenny\Yuasa%20Mechatronics\MSOFFICE\EXCEL\MTHACCTS\MPSB'2K\MP2K12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ocuments%20and%20Settings\choon.nie.voon\Desktop\Done\2006\Magna%20Focus\Ehwal%20Wajib\Audit\Aa2000\Sarawak%20Timber%20Industry%20Development%20Corporation\Consolidation\Stidcassociatedcompanies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ocuments%20and%20Settings\choon.nie.voon\Desktop\Done\2006\Magna%20Focus\Ehwal%20Wajib\TaxDepartment\FH\tcomp9\LKHAI99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laudnibm492\Consol\MSOFFICE\EXCEL\MTHACCTS\MPSB'2K\MP2K12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ocuments%20and%20Settings\choon.nie.voon\Desktop\Done\2006\Magna%20Focus\Ehwal%20Wajib\PAY_FIN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laudnibm492\Consol\weihweihong\WHH\Scientex\07%20-%20Texland%20Group\Audit%20of%20holding%20company\Texland%20Sdn%20Bhd\Jenny\Yuasa%20Mechatronics\DATA\dsfurniture\dsawps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Damien\NTV%207\HKL\abacus\ABACUS-SCH1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HKL\abacus\lead-Abacus1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ocuments%20and%20Settings\choon.nie.voon\Desktop\Done\2006\Magna%20Focus\Ehwal%20Wajib\GAMUDA96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AabsData\Audit\Aa2004\Heng%20Feng%20Industry%20Sdn.%20Bhd\Audit\Aa2001\Safeguards%20(Sarawak)%20Sdn.%20Bhd\AUDIT\Saf166\Year%20Ending%2030%20June,%202001\09-AllAWPs\Obsolete\SAF166-final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psb06\c-rusman\PPSB%20Share\Bank%20Balance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laudnibm492\Consol\weihweihong\WHH\Scientex\07%20-%20Texland%20Group\Audit%20of%20holding%20company\Texland%20Sdn%20Bhd\Jenny\Yuasa%20Mechatronics\CA-Merlin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Audit\Aa1999\Safeguard%20(S'wak)%20Sdn%20Bhd\Tax\safegu20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laudnibm492\Consol\weihweihong\WHH\Scientex\07%20-%20Texland%20Group\Audit%20of%20holding%20company\Texland%20Sdn%20Bhd\Jenny\Yuasa%20Mechatronics\BAfile\AUD2\Nit344\Ye99\AWPs\Nit344_AWPs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andisk-a076\dhanjeet\Documents%20and%20Settings\Administrator\Desktop\model%20of%20schedule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laudnibm492\Consol\weihweihong\WHH\Scientex\07%20-%20Texland%20Group\Audit%20of%20holding%20company\Texland%20Sdn%20Bhd\Jenny\Yuasa%20Mechatronics\DATA\Year_End_2000\Examples\Awp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UDIT-1\1%20Sharing\StandardDoc\Nst334_Awp1_without%20adj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GAMUDA96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CAUDNCOM037\aws\TaxDepartment\FH\tcomp9\LKHAI99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AA98\Bena%20ATK%20Sdn.%20Bhd\Tax\GAMUDA96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WINDOWS\TEMP\DATA\PC-PBPM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laudnibm492\Consol\weihweihong\WHH\Scientex\07%20-%20Texland%20Group\Audit%20of%20holding%20company\Texland%20Sdn%20Bhd\Jenny\Yuasa%20Mechatronics\DATA\Pelangi\Awp00\Pelangi-%20AWP00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laudnibm492\Consol\References\External%20Audit\FCI\01-Awps\Fra812_Awp_MH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laudnibm492\Consol\weihweihong\WHH\Scientex\07%20-%20Texland%20Group\Audit%20of%20holding%20company\Texland%20Sdn%20Bhd\Jenny\Yuasa%20Mechatronics\WINDOWS\Desktop\DATA\wuerth\YE00\wuerth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laudnibm492\Consol\DATA\Year_End_2000\Examples\Awp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Work\Mitsui\WINDOWS\TEMP\CLIENT\Carta%20Bintang%20SJ%20Sec\SJ%20Sec\PM%20work-99%20final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AabsData\Audit\Aa2004\Heng%20Feng%20Industry%20Sdn.%20Bhd\Audit\Aa2001\Safeguards%20(Sarawak)%20Sdn.%20Bhd\AUDIT\Saf166\Year%20Ending%2030%20June,%202001\09-AllAWPs\Fieldworks\Safeguards01-AllAWPs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HKL\abacus\ABACUS-SCH1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AabsData\Audit\Aa2004\Heng%20Feng%20Industry%20Sdn.%20Bhd\AA99\SAFEGUARD%20(S'WAK)%20SDN%20BHD\Tax-4988-CTC99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ocuments%20and%20Settings\choon.nie.voon\Desktop\Done\2006\Magna%20Focus\Ehwal%20Wajib\Audit\Aa1999\Safeguard%20(S'wak)%20Sdn%20Bhd\Tax\safegu20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AabsData\Audit\Aa2004\Heng%20Feng%20Industry%20Sdn.%20Bhd\Audit\Aa1999\Safeguard%20(S'wak)%20Sdn%20Bhd\Tax\safegu20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UEM%20Accounts\UEM%2006-2000\Accounts0600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laudnibm492\Consol\weihweihong\WHH\Scientex\07%20-%20Texland%20Group\Audit%20of%20holding%20company\Texland%20Sdn%20Bhd\Jenny\Yuasa%20Mechatronics\WINDOWS\Desktop\DATA\dsfurniture\dsawps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laudnibm492\Consol\weihweihong\WHH\Scientex\07%20-%20Texland%20Group\Audit%20of%20holding%20company\Texland%20Sdn%20Bhd\Jenny\Yuasa%20Mechatronics\DATA\AUDIT\Pelangi%20Group\Pelangi\Ye2000\11-AWPs\FAs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/personal/admin_mdkiopto_com/Documents/Desktop/WHT/Combustion%20Solution%20PL/2022/TB%20&amp;%20J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F_21_a_"/>
      <sheetName val="FF-21(a)"/>
      <sheetName val="0000"/>
      <sheetName val="BPR"/>
      <sheetName val="F-1"/>
      <sheetName val="F-2"/>
      <sheetName val="F-3"/>
      <sheetName val="Materiality"/>
      <sheetName val="F-4"/>
      <sheetName val="F-5"/>
      <sheetName val="F-6"/>
      <sheetName val="F-7"/>
      <sheetName val="F7wkg"/>
      <sheetName val="F-9"/>
      <sheetName val="F-22"/>
      <sheetName val="Cashflow"/>
      <sheetName val="BPR balance sheet"/>
      <sheetName val="BPR profit &amp; loss"/>
      <sheetName val="BPR BS analysis"/>
      <sheetName val="BPR PL analysis"/>
      <sheetName val="A-22"/>
      <sheetName val="B"/>
      <sheetName val="B-1"/>
      <sheetName val="C"/>
      <sheetName val="C-1"/>
      <sheetName val="L"/>
      <sheetName val="M"/>
      <sheetName val="N"/>
      <sheetName val="U"/>
      <sheetName val="U-100"/>
      <sheetName val="FF"/>
      <sheetName val="FF-1"/>
      <sheetName val="FF-10"/>
      <sheetName val="FF-20"/>
      <sheetName val="CA"/>
      <sheetName val="FF-22(hp)"/>
      <sheetName val="FF-23(d)"/>
      <sheetName val="FF-30"/>
      <sheetName val="FF-31"/>
      <sheetName val="FF-40"/>
      <sheetName val="PP"/>
      <sheetName val="PP(spare)"/>
      <sheetName val="PP-20"/>
      <sheetName val="31"/>
      <sheetName val="AA"/>
      <sheetName val="BB"/>
      <sheetName val="BB-1"/>
      <sheetName val="MM"/>
      <sheetName val="10"/>
      <sheetName val="Sheet1"/>
      <sheetName val="13"/>
      <sheetName val="14"/>
      <sheetName val="20"/>
      <sheetName val="30"/>
      <sheetName val="NN-12"/>
      <sheetName val="PP-30"/>
      <sheetName val="PP-31"/>
      <sheetName val="PP-40"/>
      <sheetName val="Sheet2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3"/>
      <sheetName val="_REF"/>
      <sheetName val="APM _ DPL"/>
      <sheetName val="DPL2"/>
      <sheetName val="nta_fa_company"/>
      <sheetName val="NTFS_Taxation"/>
      <sheetName val="Book2"/>
    </sheetNames>
    <sheetDataSet>
      <sheetData sheetId="0"/>
      <sheetData sheetId="1"/>
      <sheetData sheetId="2"/>
      <sheetData sheetId="3"/>
      <sheetData sheetId="4"/>
      <sheetData sheetId="5"/>
      <sheetData sheetId="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F_3"/>
      <sheetName val="F-1"/>
      <sheetName val="F-2"/>
      <sheetName val="F-3"/>
      <sheetName val="F-4"/>
      <sheetName val="F-5"/>
      <sheetName val="F-11"/>
      <sheetName val="F-11a"/>
      <sheetName val="F-22"/>
      <sheetName val="B-40"/>
      <sheetName val="B-50"/>
      <sheetName val="U "/>
      <sheetName val="U-10"/>
      <sheetName val="U-30"/>
      <sheetName val="BB-30"/>
      <sheetName val="CC-30"/>
      <sheetName val="FF-1"/>
      <sheetName val="FF-2"/>
      <sheetName val="FF-3"/>
      <sheetName val="FF-4"/>
      <sheetName val="FF-4a"/>
      <sheetName val="FF-5"/>
      <sheetName val="FF-6"/>
      <sheetName val="FF-7"/>
      <sheetName val="FF-8"/>
      <sheetName val="10"/>
      <sheetName val="11"/>
      <sheetName val="20"/>
      <sheetName val="21"/>
      <sheetName val="30"/>
      <sheetName val="40"/>
      <sheetName val="50"/>
      <sheetName val="DD-10"/>
      <sheetName val="ca"/>
      <sheetName val="Sheet3"/>
      <sheetName val="NTFS_Taxation"/>
      <sheetName val="DPL2"/>
      <sheetName val="APM _ DPL"/>
      <sheetName val="_REF"/>
      <sheetName val="nta_fa_company"/>
      <sheetName val="DPLA"/>
      <sheetName val="Interim --&gt; Top"/>
      <sheetName val="Expense Summar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>
        <row r="1">
          <cell r="A1" t="str">
            <v>NITE BEAUTY INDUSTRIES SDN. BHD.</v>
          </cell>
        </row>
        <row r="2">
          <cell r="A2" t="str">
            <v>FILE NUMBER   :  C 0887357-07</v>
          </cell>
        </row>
        <row r="3">
          <cell r="A3" t="str">
            <v>SECTION 108 CREDIT BALANCE</v>
          </cell>
        </row>
        <row r="6">
          <cell r="A6" t="str">
            <v>YEAR</v>
          </cell>
          <cell r="C6" t="str">
            <v>BALANCE</v>
          </cell>
          <cell r="E6" t="str">
            <v>CURRENT</v>
          </cell>
          <cell r="I6" t="str">
            <v>DIVIDENDS</v>
          </cell>
          <cell r="K6" t="str">
            <v>BALANCE</v>
          </cell>
        </row>
        <row r="7">
          <cell r="A7" t="str">
            <v>ENDED</v>
          </cell>
          <cell r="C7" t="str">
            <v>B/F</v>
          </cell>
          <cell r="E7" t="str">
            <v>YEAR</v>
          </cell>
          <cell r="G7" t="str">
            <v>BALANCE</v>
          </cell>
          <cell r="I7" t="str">
            <v>PAID</v>
          </cell>
          <cell r="K7" t="str">
            <v>C/F</v>
          </cell>
        </row>
        <row r="10">
          <cell r="A10" t="str">
            <v>31.12.1996</v>
          </cell>
          <cell r="C10">
            <v>14969.4</v>
          </cell>
          <cell r="E10">
            <v>518067.6</v>
          </cell>
          <cell r="G10">
            <v>533037</v>
          </cell>
          <cell r="I10">
            <v>0</v>
          </cell>
          <cell r="K10">
            <v>533037</v>
          </cell>
        </row>
        <row r="11">
          <cell r="G11" t="str">
            <v xml:space="preserve"> </v>
          </cell>
          <cell r="K11" t="str">
            <v xml:space="preserve"> </v>
          </cell>
        </row>
      </sheetData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shflowcomp"/>
      <sheetName val="cashflowcomp (2)"/>
      <sheetName val="Sheet3"/>
      <sheetName val="NTFS_Taxation"/>
      <sheetName val="Cashflow - working"/>
      <sheetName val="FF-3"/>
      <sheetName val="G1"/>
      <sheetName val="Main orig"/>
      <sheetName val="FFE"/>
      <sheetName val="PG05"/>
      <sheetName val="PG06"/>
      <sheetName val="PG07"/>
      <sheetName val="PG08"/>
      <sheetName val="PG09"/>
      <sheetName val="PG10"/>
      <sheetName val="PG11"/>
      <sheetName val="PG12"/>
      <sheetName val="PG13"/>
      <sheetName val="PG14"/>
      <sheetName val="PG02"/>
      <sheetName val="PG15"/>
      <sheetName val="PG16"/>
      <sheetName val="PG17"/>
      <sheetName val="PG03"/>
      <sheetName val="gl"/>
      <sheetName val="BALANCESHEET"/>
      <sheetName val="Summary of Opex"/>
      <sheetName val="Sheet1"/>
      <sheetName val="SUMMARY"/>
      <sheetName val="#REF"/>
      <sheetName val="5 Analysis"/>
      <sheetName val="Cum.91-93"/>
      <sheetName val="Dec 94"/>
      <sheetName val="P&amp;L"/>
      <sheetName val="F-5"/>
      <sheetName val="0000"/>
      <sheetName val="O3-Disposal"/>
      <sheetName val="U-10"/>
      <sheetName val="Interim --&gt; Top"/>
      <sheetName val="FF-1"/>
      <sheetName val="CRA-Detail"/>
      <sheetName val="DIV OH Reclass Allocation"/>
      <sheetName val="6A CA"/>
      <sheetName val="CA Sheet"/>
      <sheetName val="2001"/>
      <sheetName val="BS1-2"/>
      <sheetName val="31072001"/>
      <sheetName val="wbs"/>
      <sheetName val="accumdeprn"/>
      <sheetName val="K101"/>
      <sheetName val="BS-B"/>
      <sheetName val="10"/>
      <sheetName val="Lookup"/>
      <sheetName val="cashflowcomp_(2)"/>
      <sheetName val="Cum_91-93"/>
      <sheetName val="Dec_94"/>
      <sheetName val="CA_Sheet"/>
      <sheetName val="Interim_--&gt;_Top"/>
      <sheetName val="Cashflow_-_working"/>
      <sheetName val="Summary_of_Opex"/>
      <sheetName val="5_Analysis"/>
      <sheetName val="DIV_OH_Reclass_Allocation"/>
      <sheetName val="6A_CA"/>
      <sheetName val="Anx1"/>
      <sheetName val="n10"/>
      <sheetName val="FSA"/>
      <sheetName val="I-ProformaBS"/>
      <sheetName val="CAPEX"/>
      <sheetName val="OPEX"/>
      <sheetName val="NSWK-OPEX (new)"/>
      <sheetName val="DPLA"/>
      <sheetName val="S.33(2)"/>
      <sheetName val="BPR"/>
      <sheetName val="Oracle Info PBC"/>
      <sheetName val="tax-ss"/>
      <sheetName val="FF_3"/>
      <sheetName val="Sheet2"/>
      <sheetName val="U1income statm"/>
      <sheetName val="EX006-N100"/>
      <sheetName val="H101"/>
      <sheetName val="M101 "/>
      <sheetName val="U-13-2(disc)"/>
      <sheetName val="GENERAL"/>
      <sheetName val="SHF (CE)"/>
      <sheetName val="SHF (FF)"/>
      <sheetName val="SHF (OE)"/>
      <sheetName val="U10|20"/>
      <sheetName val="A2-3"/>
      <sheetName val="A-1"/>
      <sheetName val="B"/>
      <sheetName val="SCHE-F"/>
      <sheetName val="U1"/>
      <sheetName val="FF-2"/>
      <sheetName val="2001 Capitalisation"/>
      <sheetName val="MENU"/>
      <sheetName val="Accounts"/>
      <sheetName val="33(2)"/>
      <sheetName val="MDN"/>
      <sheetName val="NGA"/>
      <sheetName val="IBA &lt;O3&gt;"/>
      <sheetName val="JUNE EOH-MASTER (2)"/>
      <sheetName val="stock1020v1.3"/>
      <sheetName val="SUM2"/>
      <sheetName val="deptP&amp;NP"/>
      <sheetName val="FF-2 (1)"/>
      <sheetName val="ARP-P101"/>
      <sheetName val="U2 - Sales"/>
      <sheetName val="FF-13"/>
      <sheetName val="VOL PURCHASE"/>
      <sheetName val="FF-21(a)"/>
      <sheetName val="Paramdata"/>
      <sheetName val="ANALYSIS O-EXPNS"/>
      <sheetName val="E2-2"/>
      <sheetName val="cashflowcomp_(2)1"/>
      <sheetName val="CA_Sheet1"/>
      <sheetName val="Cum_91-931"/>
      <sheetName val="Dec_941"/>
      <sheetName val="Interim_--&gt;_Top1"/>
      <sheetName val="Cashflow_-_working1"/>
      <sheetName val="Summary_of_Opex1"/>
      <sheetName val="5_Analysis1"/>
      <sheetName val="DIV_OH_Reclass_Allocation1"/>
      <sheetName val="6A_CA1"/>
      <sheetName val="S_33(2)"/>
      <sheetName val="NSWK-OPEX_(new)"/>
      <sheetName val="Main_orig"/>
      <sheetName val="Oracle_Info_PBC"/>
      <sheetName val="SHF_(CE)"/>
      <sheetName val="SHF_(FF)"/>
      <sheetName val="SHF_(OE)"/>
      <sheetName val="U1income_statm"/>
      <sheetName val="FF-6"/>
    </sheetNames>
    <sheetDataSet>
      <sheetData sheetId="0" refreshError="1">
        <row r="3">
          <cell r="D3" t="str">
            <v>GAS DISTRICT COOLING (PJ) SDN. BHD.</v>
          </cell>
        </row>
        <row r="4">
          <cell r="D4" t="str">
            <v>( Incorporated in Malaysia)</v>
          </cell>
        </row>
        <row r="7">
          <cell r="D7" t="str">
            <v xml:space="preserve"> CASH FLOW STATEMENT </v>
          </cell>
        </row>
        <row r="8">
          <cell r="D8" t="str">
            <v>FOR THE YEAR ENDED 31 MARCH , 2001</v>
          </cell>
        </row>
        <row r="10">
          <cell r="I10" t="str">
            <v>2001</v>
          </cell>
          <cell r="J10" t="str">
            <v>2000</v>
          </cell>
        </row>
        <row r="11">
          <cell r="D11" t="str">
            <v>CASH FLOWS FROM OPERATING ACTIVITIES</v>
          </cell>
          <cell r="I11" t="str">
            <v>RM</v>
          </cell>
          <cell r="J11" t="str">
            <v>RM</v>
          </cell>
        </row>
        <row r="13">
          <cell r="D13" t="str">
            <v>Cash receipts from customers</v>
          </cell>
          <cell r="I13">
            <v>3697160.66</v>
          </cell>
          <cell r="J13">
            <v>716427</v>
          </cell>
        </row>
        <row r="14">
          <cell r="D14" t="str">
            <v>Cash paid to suppliers and employees</v>
          </cell>
          <cell r="I14">
            <v>-21667502.68</v>
          </cell>
          <cell r="J14">
            <v>-5367923</v>
          </cell>
        </row>
        <row r="15">
          <cell r="I15">
            <v>-17970342.02</v>
          </cell>
          <cell r="J15">
            <v>-4651496</v>
          </cell>
        </row>
        <row r="16">
          <cell r="D16" t="str">
            <v>Interest Income from fund investments  (in respect</v>
          </cell>
          <cell r="J16" t="str">
            <v>-</v>
          </cell>
        </row>
        <row r="17">
          <cell r="D17" t="str">
            <v>of operating activities only)</v>
          </cell>
        </row>
        <row r="18">
          <cell r="D18" t="str">
            <v>Interest Expenses(in respect of operating activities only)</v>
          </cell>
        </row>
        <row r="19">
          <cell r="D19" t="str">
            <v>Taxation paid</v>
          </cell>
          <cell r="J19">
            <v>-28700</v>
          </cell>
        </row>
        <row r="21">
          <cell r="D21" t="str">
            <v>Net cash generated from operating activities</v>
          </cell>
          <cell r="I21">
            <v>-17970342.02</v>
          </cell>
          <cell r="J21">
            <v>-4680196</v>
          </cell>
        </row>
        <row r="23">
          <cell r="D23" t="str">
            <v>CASH FLOWS FROM INVESTING ACTIVITIES</v>
          </cell>
        </row>
        <row r="25">
          <cell r="D25" t="str">
            <v>Investment in subsidiary/ies</v>
          </cell>
        </row>
        <row r="26">
          <cell r="D26" t="str">
            <v>Proceeds from partial disposal of investment in subsiadiary/ies</v>
          </cell>
        </row>
        <row r="27">
          <cell r="D27" t="str">
            <v>Interest Income from fund investments</v>
          </cell>
          <cell r="I27">
            <v>10269.969999999999</v>
          </cell>
        </row>
        <row r="28">
          <cell r="D28" t="str">
            <v>Purchase of property, plant and equipment</v>
          </cell>
          <cell r="I28">
            <v>-8539614.5199999996</v>
          </cell>
          <cell r="J28">
            <v>-38429521</v>
          </cell>
        </row>
        <row r="29">
          <cell r="D29" t="str">
            <v>Proceeds from sale of property, plant and equipment</v>
          </cell>
          <cell r="J29" t="str">
            <v>-</v>
          </cell>
        </row>
        <row r="30">
          <cell r="D30" t="str">
            <v>Redemption of loan stocks</v>
          </cell>
          <cell r="J30" t="str">
            <v>-</v>
          </cell>
        </row>
        <row r="31">
          <cell r="D31" t="str">
            <v>Dividends received</v>
          </cell>
          <cell r="J31" t="str">
            <v>-</v>
          </cell>
        </row>
        <row r="32">
          <cell r="D32" t="str">
            <v>Long Term receivables</v>
          </cell>
          <cell r="J32" t="str">
            <v>-</v>
          </cell>
        </row>
        <row r="33">
          <cell r="D33" t="str">
            <v>Investment in Associates</v>
          </cell>
          <cell r="J33" t="str">
            <v>-</v>
          </cell>
        </row>
        <row r="34">
          <cell r="D34" t="str">
            <v>Purchase of other investments</v>
          </cell>
          <cell r="J34" t="str">
            <v>-</v>
          </cell>
        </row>
        <row r="35">
          <cell r="D35" t="str">
            <v>Exp c/f</v>
          </cell>
          <cell r="J35">
            <v>-2961</v>
          </cell>
        </row>
        <row r="37">
          <cell r="D37" t="str">
            <v>Net cash used in investing activities</v>
          </cell>
          <cell r="I37">
            <v>-8529344.5499999989</v>
          </cell>
          <cell r="J37">
            <v>-38432482</v>
          </cell>
        </row>
        <row r="40">
          <cell r="D40" t="str">
            <v>CASH FLOWS FROM FINANCING ACTIVITIES</v>
          </cell>
        </row>
        <row r="42">
          <cell r="D42" t="str">
            <v>Drawdown of Murabahah Note Issuance facilities and</v>
          </cell>
        </row>
        <row r="43">
          <cell r="D43" t="str">
            <v>Al Bai'bithaman Ajil long term facility</v>
          </cell>
        </row>
        <row r="44">
          <cell r="D44" t="str">
            <v xml:space="preserve">Repayment of Murabahah Note Issuance facilities and </v>
          </cell>
        </row>
        <row r="45">
          <cell r="D45" t="str">
            <v>Redeemable Islamic Debt Securities</v>
          </cell>
        </row>
        <row r="46">
          <cell r="D46" t="str">
            <v>Repayment of term loans</v>
          </cell>
        </row>
        <row r="47">
          <cell r="D47" t="str">
            <v>Interest expenses paid</v>
          </cell>
        </row>
        <row r="48">
          <cell r="D48" t="str">
            <v>Drawdown of term loans</v>
          </cell>
        </row>
        <row r="49">
          <cell r="D49" t="str">
            <v>Payment of finance lease /hire purchase liabilities</v>
          </cell>
        </row>
        <row r="50">
          <cell r="D50" t="str">
            <v>Interco Loan Drawdown</v>
          </cell>
          <cell r="I50">
            <v>28740000</v>
          </cell>
          <cell r="J50">
            <v>126262800</v>
          </cell>
        </row>
        <row r="51">
          <cell r="D51" t="str">
            <v>Interco Interest Expense</v>
          </cell>
          <cell r="J51">
            <v>-83231800</v>
          </cell>
        </row>
        <row r="53">
          <cell r="D53" t="str">
            <v>Net cash (used in)/generated from financing activities</v>
          </cell>
          <cell r="I53">
            <v>28740000</v>
          </cell>
          <cell r="J53">
            <v>43031000</v>
          </cell>
        </row>
        <row r="55">
          <cell r="D55" t="str">
            <v>NET INCREASE/(DECREASE) IN CASH AND CASH EQUIVALENTS</v>
          </cell>
          <cell r="I55">
            <v>2240313.4300000034</v>
          </cell>
          <cell r="J55">
            <v>-81678</v>
          </cell>
        </row>
        <row r="56">
          <cell r="D56" t="str">
            <v>CASH AND CASH EQUIVALENTS AT BEGINNING OF THE YEAR</v>
          </cell>
          <cell r="I56">
            <v>87335</v>
          </cell>
          <cell r="J56">
            <v>169013</v>
          </cell>
        </row>
        <row r="57">
          <cell r="I57">
            <v>2327648.4300000034</v>
          </cell>
          <cell r="J57">
            <v>87335</v>
          </cell>
        </row>
        <row r="59">
          <cell r="D59" t="str">
            <v>CASH AND CASH EQUIVALENTS AT END OF THE YEAR</v>
          </cell>
          <cell r="I59">
            <v>2327648.4300000034</v>
          </cell>
          <cell r="J59">
            <v>87335</v>
          </cell>
        </row>
        <row r="62">
          <cell r="D62" t="str">
            <v>CASH AND CASH EQUIVALENTS AT END OF THE YEAR</v>
          </cell>
        </row>
        <row r="64">
          <cell r="D64" t="str">
            <v>Cash and bank balances</v>
          </cell>
          <cell r="I64">
            <v>53648</v>
          </cell>
          <cell r="J64">
            <v>87335</v>
          </cell>
        </row>
        <row r="65">
          <cell r="D65" t="str">
            <v>Deposits</v>
          </cell>
          <cell r="I65">
            <v>2274000</v>
          </cell>
        </row>
        <row r="66">
          <cell r="D66" t="str">
            <v>Bank overdrafts</v>
          </cell>
        </row>
        <row r="67">
          <cell r="I67">
            <v>2327648</v>
          </cell>
          <cell r="J67">
            <v>87335</v>
          </cell>
        </row>
      </sheetData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sm (2)"/>
      <sheetName val="F13"/>
      <sheetName val="(3)E1"/>
      <sheetName val="3B"/>
      <sheetName val="3G1"/>
      <sheetName val="(3)C"/>
      <sheetName val="(2)v3"/>
      <sheetName val="FD"/>
      <sheetName val="DIRECTOR"/>
      <sheetName val="RP"/>
      <sheetName val="STDCOMP-Ngiam...."/>
      <sheetName val="STDCOMP-Ngiam.....xls"/>
    </sheetNames>
    <definedNames>
      <definedName name="____p2" refersTo="#REF!" sheetId="0"/>
      <definedName name="_p2" refersTo="#REF!" sheetId="0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3"/>
      <sheetName val="_REF"/>
      <sheetName val="APM _ DPL"/>
      <sheetName val="DPL2"/>
      <sheetName val="nta_fa_company"/>
      <sheetName val="NTFS_Taxation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-60"/>
      <sheetName val="F-1,F-3"/>
      <sheetName val="F-4"/>
      <sheetName val="F-5"/>
      <sheetName val="F-6"/>
      <sheetName val="SFPCONSO"/>
      <sheetName val="CJE"/>
      <sheetName val="cashflow"/>
      <sheetName val="CF-U"/>
      <sheetName val="CF-FA"/>
      <sheetName val="Asset"/>
      <sheetName val="U-2"/>
      <sheetName val="DEPRE"/>
      <sheetName val="Liability"/>
      <sheetName val="CC-10"/>
      <sheetName val="FF-10"/>
      <sheetName val="P&amp;L"/>
      <sheetName val="30AR"/>
      <sheetName val="38"/>
      <sheetName val="38-1"/>
      <sheetName val="Fixed Assets (Group)"/>
      <sheetName val="Land  and Buildings "/>
      <sheetName val="Fixed Assets (Company)"/>
      <sheetName val="Sheet2"/>
      <sheetName val="Sheet5"/>
      <sheetName val="SFP98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erim ___ Top"/>
      <sheetName val="Instructions"/>
      <sheetName val="GL --&gt; Interim"/>
      <sheetName val="Interim --&gt; Top"/>
      <sheetName val="Top Summary"/>
      <sheetName val="GL Input Validations"/>
      <sheetName val="Scratchpad"/>
      <sheetName val="F-1,F-3"/>
    </sheetNames>
    <sheetDataSet>
      <sheetData sheetId="0"/>
      <sheetData sheetId="1" refreshError="1"/>
      <sheetData sheetId="2" refreshError="1"/>
      <sheetData sheetId="3" refreshError="1">
        <row r="4">
          <cell r="E4" t="str">
            <v>Cash</v>
          </cell>
        </row>
        <row r="5">
          <cell r="E5" t="str">
            <v>Cash at bank</v>
          </cell>
        </row>
        <row r="6">
          <cell r="E6" t="str">
            <v>Deposits and placements with financial institutions</v>
          </cell>
        </row>
        <row r="7">
          <cell r="E7" t="str">
            <v>Trade receivables</v>
          </cell>
        </row>
        <row r="8">
          <cell r="E8" t="str">
            <v>Prepayments</v>
          </cell>
        </row>
        <row r="9">
          <cell r="E9" t="str">
            <v>Interfund account</v>
          </cell>
        </row>
        <row r="10">
          <cell r="E10" t="str">
            <v>Other debtors</v>
          </cell>
        </row>
        <row r="11">
          <cell r="E11" t="str">
            <v>Other debtors - deposits</v>
          </cell>
        </row>
        <row r="12">
          <cell r="E12" t="str">
            <v>AR Debtors - Affiliated Companies</v>
          </cell>
        </row>
        <row r="13">
          <cell r="E13" t="str">
            <v>Due from Holding Company</v>
          </cell>
        </row>
        <row r="14">
          <cell r="E14" t="str">
            <v>Provision for bad and doubtful debts</v>
          </cell>
        </row>
        <row r="15">
          <cell r="E15" t="str">
            <v>Provision for bad and doubtful debts - Related Companies</v>
          </cell>
        </row>
        <row r="16">
          <cell r="E16" t="str">
            <v>Stocks - Consumables</v>
          </cell>
        </row>
        <row r="17">
          <cell r="E17" t="str">
            <v>Stocks - Promotional Items</v>
          </cell>
        </row>
        <row r="18">
          <cell r="E18" t="str">
            <v>Current Account - Overseas Operations</v>
          </cell>
        </row>
        <row r="19">
          <cell r="E19" t="str">
            <v>Intermember bank balances</v>
          </cell>
        </row>
        <row r="20">
          <cell r="E20" t="str">
            <v>Current Account - Subsidiaries</v>
          </cell>
        </row>
        <row r="21">
          <cell r="E21" t="str">
            <v>Loan/Advances -Subsidiaries</v>
          </cell>
        </row>
        <row r="22">
          <cell r="E22" t="str">
            <v>Loan/Advance - Holding/Ultimate Holding Co</v>
          </cell>
        </row>
        <row r="23">
          <cell r="E23" t="str">
            <v>Current Account - Fellow Subsidiaries</v>
          </cell>
        </row>
        <row r="24">
          <cell r="E24" t="str">
            <v>Loan/Advance - fellow subsidiaries</v>
          </cell>
        </row>
        <row r="25">
          <cell r="E25" t="str">
            <v>Current Account - Affiliated Companies</v>
          </cell>
        </row>
        <row r="26">
          <cell r="E26" t="str">
            <v>Loan/Advance - Affiliated Companies</v>
          </cell>
        </row>
        <row r="27">
          <cell r="E27" t="str">
            <v>Investment in Quoted Shares</v>
          </cell>
        </row>
        <row r="28">
          <cell r="E28" t="str">
            <v>Other Investments</v>
          </cell>
        </row>
        <row r="29">
          <cell r="E29" t="str">
            <v>Provision for diminution</v>
          </cell>
        </row>
        <row r="30">
          <cell r="E30" t="str">
            <v>Fixed Assets</v>
          </cell>
        </row>
        <row r="31">
          <cell r="E31" t="str">
            <v>Provision for depreciation</v>
          </cell>
        </row>
        <row r="32">
          <cell r="E32" t="str">
            <v>Deferred Expenditure</v>
          </cell>
        </row>
        <row r="33">
          <cell r="E33" t="str">
            <v>Unearned Premium Reserve</v>
          </cell>
        </row>
        <row r="34">
          <cell r="E34" t="str">
            <v>Due to Agents and Reinsurers</v>
          </cell>
        </row>
        <row r="35">
          <cell r="E35" t="str">
            <v>AP Creditors-Purchases-Subsidiary Co</v>
          </cell>
        </row>
        <row r="36">
          <cell r="E36" t="str">
            <v>AP Creditors-Purchases-Felllow Subsidiaries</v>
          </cell>
        </row>
        <row r="37">
          <cell r="E37" t="str">
            <v>Due to Holding Company</v>
          </cell>
        </row>
        <row r="38">
          <cell r="E38" t="str">
            <v>Accruals</v>
          </cell>
        </row>
        <row r="39">
          <cell r="E39" t="str">
            <v>Long term debt</v>
          </cell>
        </row>
        <row r="40">
          <cell r="E40" t="str">
            <v>Provision for Outstanding Claims</v>
          </cell>
        </row>
        <row r="41">
          <cell r="E41" t="str">
            <v>Other Creditors</v>
          </cell>
        </row>
        <row r="42">
          <cell r="E42" t="str">
            <v>Share Capital</v>
          </cell>
        </row>
        <row r="43">
          <cell r="E43" t="str">
            <v>Retained Profits</v>
          </cell>
        </row>
        <row r="44">
          <cell r="E44" t="str">
            <v>Operating Revenue</v>
          </cell>
        </row>
        <row r="45">
          <cell r="E45" t="str">
            <v>Non Operating Revenue</v>
          </cell>
        </row>
        <row r="46">
          <cell r="E46" t="str">
            <v>Personnel Cost</v>
          </cell>
        </row>
        <row r="47">
          <cell r="E47" t="str">
            <v>Establishment cost</v>
          </cell>
        </row>
        <row r="48">
          <cell r="E48" t="str">
            <v>Marketing Expenditure</v>
          </cell>
        </row>
        <row r="49">
          <cell r="E49" t="str">
            <v>Administrative and General Expenditure</v>
          </cell>
        </row>
        <row r="50">
          <cell r="E50" t="str">
            <v>Non Operating Expenses</v>
          </cell>
        </row>
        <row r="51">
          <cell r="E51" t="str">
            <v>Accrued discretionary compensation</v>
          </cell>
        </row>
        <row r="52">
          <cell r="E52" t="str">
            <v>Accrued product warranty reserve</v>
          </cell>
        </row>
        <row r="53">
          <cell r="E53" t="str">
            <v>Accrued product liability reserve</v>
          </cell>
        </row>
        <row r="54">
          <cell r="E54" t="str">
            <v>Accrued royalties payable</v>
          </cell>
        </row>
        <row r="55">
          <cell r="E55" t="str">
            <v>Accrued compensated absences</v>
          </cell>
        </row>
        <row r="56">
          <cell r="E56" t="str">
            <v>Amounts owed to related parties - ST</v>
          </cell>
        </row>
        <row r="57">
          <cell r="E57" t="str">
            <v>Interest payable</v>
          </cell>
        </row>
        <row r="58">
          <cell r="E58" t="str">
            <v>Taxes other than income</v>
          </cell>
        </row>
        <row r="59">
          <cell r="E59" t="str">
            <v>Dividends payable</v>
          </cell>
        </row>
        <row r="60">
          <cell r="E60" t="str">
            <v>Customer rebates</v>
          </cell>
        </row>
        <row r="61">
          <cell r="E61" t="str">
            <v>Other current liabilities</v>
          </cell>
        </row>
        <row r="62">
          <cell r="E62" t="str">
            <v>Income taxes payable</v>
          </cell>
        </row>
        <row r="63">
          <cell r="E63" t="str">
            <v>Current deferred income tax liabilities</v>
          </cell>
        </row>
        <row r="64">
          <cell r="E64" t="str">
            <v>Contingent liabilities</v>
          </cell>
        </row>
        <row r="65">
          <cell r="E65" t="str">
            <v>Long term debt</v>
          </cell>
        </row>
        <row r="66">
          <cell r="E66" t="str">
            <v>Capital lease obligations</v>
          </cell>
        </row>
        <row r="67">
          <cell r="E67" t="str">
            <v>Amounts owed to related parties - LT</v>
          </cell>
        </row>
        <row r="68">
          <cell r="E68" t="str">
            <v>Other long term obligations</v>
          </cell>
        </row>
        <row r="69">
          <cell r="E69" t="str">
            <v>Accr post-ret benefits/ pension oblig</v>
          </cell>
        </row>
        <row r="70">
          <cell r="E70" t="str">
            <v>Long term deferred income tax liab.</v>
          </cell>
        </row>
        <row r="71">
          <cell r="E71" t="str">
            <v>Deferred tax credits</v>
          </cell>
        </row>
        <row r="72">
          <cell r="E72" t="str">
            <v>Environmental reserves</v>
          </cell>
        </row>
        <row r="73">
          <cell r="E73" t="str">
            <v>Other liabilities and deferred credits</v>
          </cell>
        </row>
        <row r="74">
          <cell r="E74" t="str">
            <v>Common stock</v>
          </cell>
        </row>
        <row r="75">
          <cell r="E75" t="str">
            <v>Additional paid-in capital</v>
          </cell>
        </row>
        <row r="76">
          <cell r="E76" t="str">
            <v>Retained earnings</v>
          </cell>
        </row>
        <row r="77">
          <cell r="E77" t="str">
            <v>Preferred stock</v>
          </cell>
        </row>
        <row r="78">
          <cell r="E78" t="str">
            <v>Unrealized (gain) loss on securities</v>
          </cell>
        </row>
        <row r="79">
          <cell r="E79" t="str">
            <v>(Treasury stock)</v>
          </cell>
        </row>
        <row r="80">
          <cell r="E80" t="str">
            <v>Partnership equity</v>
          </cell>
        </row>
        <row r="81">
          <cell r="E81" t="str">
            <v>(Stock subscription receivable)</v>
          </cell>
        </row>
        <row r="82">
          <cell r="E82" t="str">
            <v>Cumulative translation adjustment</v>
          </cell>
        </row>
        <row r="83">
          <cell r="E83" t="str">
            <v>(ESOP debt)</v>
          </cell>
        </row>
        <row r="84">
          <cell r="E84" t="str">
            <v>Other equity</v>
          </cell>
        </row>
        <row r="85">
          <cell r="E85" t="str">
            <v>Gross Premiums</v>
          </cell>
        </row>
        <row r="86">
          <cell r="E86" t="str">
            <v>(Reinsurance Outwards)</v>
          </cell>
        </row>
        <row r="87">
          <cell r="E87" t="str">
            <v>Reinsurance Inwards</v>
          </cell>
        </row>
        <row r="88">
          <cell r="E88" t="str">
            <v>Commissions</v>
          </cell>
        </row>
        <row r="89">
          <cell r="E89" t="str">
            <v>Other Loss</v>
          </cell>
        </row>
        <row r="90">
          <cell r="E90" t="str">
            <v>Salaries &amp; employee benefit - expenses</v>
          </cell>
        </row>
        <row r="91">
          <cell r="E91" t="str">
            <v>Depreciation, deplet. and amortization</v>
          </cell>
        </row>
        <row r="92">
          <cell r="E92" t="str">
            <v>Warehousing expenses</v>
          </cell>
        </row>
        <row r="93">
          <cell r="E93" t="str">
            <v>Delivery expenses</v>
          </cell>
        </row>
        <row r="94">
          <cell r="E94" t="str">
            <v>Lease costs</v>
          </cell>
        </row>
        <row r="95">
          <cell r="E95" t="str">
            <v>Occupancy expense</v>
          </cell>
        </row>
        <row r="96">
          <cell r="E96" t="str">
            <v>Bad debt expense</v>
          </cell>
        </row>
        <row r="97">
          <cell r="E97" t="str">
            <v>Other operating expenses</v>
          </cell>
        </row>
        <row r="98">
          <cell r="E98" t="str">
            <v>Interest expense</v>
          </cell>
        </row>
        <row r="99">
          <cell r="E99" t="str">
            <v>Extraordinary items - gain</v>
          </cell>
        </row>
        <row r="100">
          <cell r="E100" t="str">
            <v>Extraordinary items - loss</v>
          </cell>
        </row>
        <row r="101">
          <cell r="E101" t="str">
            <v>Discontinued operations</v>
          </cell>
        </row>
        <row r="102">
          <cell r="E102" t="str">
            <v>Change in accounting principle</v>
          </cell>
        </row>
        <row r="103">
          <cell r="E103" t="str">
            <v>Interest income</v>
          </cell>
        </row>
        <row r="104">
          <cell r="E104" t="str">
            <v>Associated company income</v>
          </cell>
        </row>
        <row r="105">
          <cell r="E105" t="str">
            <v>Foreign exchange gain</v>
          </cell>
        </row>
        <row r="106">
          <cell r="E106" t="str">
            <v>Foreign exchange loss</v>
          </cell>
        </row>
        <row r="107">
          <cell r="E107" t="str">
            <v>Other income, net</v>
          </cell>
        </row>
        <row r="108">
          <cell r="E108" t="str">
            <v>Other expense</v>
          </cell>
        </row>
        <row r="109">
          <cell r="E109" t="str">
            <v>Tax on income</v>
          </cell>
        </row>
        <row r="110">
          <cell r="E110" t="str">
            <v>Investment Income</v>
          </cell>
        </row>
      </sheetData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l"/>
      <sheetName val="TB-gl"/>
      <sheetName val="Interim --&gt; Top"/>
      <sheetName val="1 LeadSchedule"/>
    </sheetNames>
    <sheetDataSet>
      <sheetData sheetId="0"/>
      <sheetData sheetId="1"/>
      <sheetData sheetId="2" refreshError="1"/>
      <sheetData sheetId="3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vestment"/>
      <sheetName val="Share of ret. profit"/>
      <sheetName val="Share of current profit"/>
      <sheetName val="Dividend"/>
      <sheetName val="gl"/>
    </sheetNames>
    <sheetDataSet>
      <sheetData sheetId="0" refreshError="1">
        <row r="1">
          <cell r="A1" t="str">
            <v>CLIENT :</v>
          </cell>
          <cell r="C1" t="str">
            <v>STIDC</v>
          </cell>
        </row>
        <row r="2">
          <cell r="A2" t="str">
            <v>CONSOLIDATION :</v>
          </cell>
          <cell r="C2" t="str">
            <v>31.12.97</v>
          </cell>
        </row>
        <row r="3">
          <cell r="A3" t="str">
            <v>SUBJECT :</v>
          </cell>
          <cell r="C3" t="str">
            <v>INVESTMENT IN ASSOCIATED CO. (SUMMARY)</v>
          </cell>
        </row>
        <row r="6">
          <cell r="A6" t="str">
            <v>-</v>
          </cell>
          <cell r="B6" t="str">
            <v>-</v>
          </cell>
          <cell r="C6" t="str">
            <v>-</v>
          </cell>
          <cell r="D6" t="str">
            <v>-</v>
          </cell>
          <cell r="E6" t="str">
            <v>-</v>
          </cell>
          <cell r="F6" t="str">
            <v>-</v>
          </cell>
          <cell r="G6" t="str">
            <v>-</v>
          </cell>
          <cell r="H6" t="str">
            <v>-</v>
          </cell>
          <cell r="I6" t="str">
            <v>-</v>
          </cell>
          <cell r="J6" t="str">
            <v>-</v>
          </cell>
          <cell r="K6" t="str">
            <v>-</v>
          </cell>
          <cell r="L6" t="str">
            <v>-</v>
          </cell>
          <cell r="M6" t="str">
            <v>-</v>
          </cell>
          <cell r="N6" t="str">
            <v>-</v>
          </cell>
          <cell r="O6" t="str">
            <v>-</v>
          </cell>
        </row>
        <row r="7">
          <cell r="M7" t="str">
            <v>BINTULU</v>
          </cell>
        </row>
        <row r="8">
          <cell r="D8" t="str">
            <v>W/P</v>
          </cell>
          <cell r="E8" t="str">
            <v>HOUTING</v>
          </cell>
          <cell r="F8" t="str">
            <v>HORNBILL</v>
          </cell>
          <cell r="G8" t="str">
            <v>SMC</v>
          </cell>
          <cell r="H8" t="str">
            <v>AMRA</v>
          </cell>
          <cell r="I8" t="str">
            <v>KESTREL</v>
          </cell>
          <cell r="J8" t="str">
            <v>TINAMOU</v>
          </cell>
          <cell r="K8" t="str">
            <v>SELAH</v>
          </cell>
          <cell r="L8" t="str">
            <v>BALAMRA</v>
          </cell>
          <cell r="M8" t="str">
            <v>ADHESIVES</v>
          </cell>
          <cell r="N8" t="str">
            <v>BORNEO PULP</v>
          </cell>
        </row>
        <row r="9">
          <cell r="D9" t="str">
            <v>REF.</v>
          </cell>
          <cell r="E9" t="str">
            <v>SDN. BHD.</v>
          </cell>
          <cell r="F9" t="str">
            <v>SKYWAYS S/B</v>
          </cell>
          <cell r="G9" t="str">
            <v>SDN. BHD.</v>
          </cell>
          <cell r="H9" t="str">
            <v>TIMBER S/B</v>
          </cell>
          <cell r="I9" t="str">
            <v>SDN. BHD.</v>
          </cell>
          <cell r="J9" t="str">
            <v>SDN. BHD.</v>
          </cell>
          <cell r="K9" t="str">
            <v>TIMBER S/B</v>
          </cell>
          <cell r="L9" t="str">
            <v>SDN. BHD.</v>
          </cell>
          <cell r="M9" t="str">
            <v>CHEMICALS S/B</v>
          </cell>
          <cell r="N9" t="str">
            <v>&amp; PAPER</v>
          </cell>
          <cell r="O9" t="str">
            <v>TOTAL</v>
          </cell>
        </row>
        <row r="10">
          <cell r="A10" t="str">
            <v>-</v>
          </cell>
          <cell r="B10" t="str">
            <v>-</v>
          </cell>
          <cell r="C10" t="str">
            <v>-</v>
          </cell>
          <cell r="D10" t="str">
            <v>-</v>
          </cell>
          <cell r="E10" t="str">
            <v>-</v>
          </cell>
          <cell r="F10" t="str">
            <v>-</v>
          </cell>
          <cell r="G10" t="str">
            <v>-</v>
          </cell>
          <cell r="H10" t="str">
            <v>-</v>
          </cell>
          <cell r="I10" t="str">
            <v>-</v>
          </cell>
          <cell r="J10" t="str">
            <v>-</v>
          </cell>
          <cell r="K10" t="str">
            <v>-</v>
          </cell>
          <cell r="L10" t="str">
            <v>-</v>
          </cell>
          <cell r="M10" t="str">
            <v>-</v>
          </cell>
          <cell r="N10" t="str">
            <v>-</v>
          </cell>
          <cell r="O10" t="str">
            <v>-</v>
          </cell>
        </row>
        <row r="11">
          <cell r="E11" t="str">
            <v>RM</v>
          </cell>
          <cell r="F11" t="str">
            <v>RM</v>
          </cell>
          <cell r="G11" t="str">
            <v>RM</v>
          </cell>
          <cell r="H11" t="str">
            <v>RM</v>
          </cell>
          <cell r="I11" t="str">
            <v>RM</v>
          </cell>
          <cell r="J11" t="str">
            <v>RM</v>
          </cell>
          <cell r="K11" t="str">
            <v>RM</v>
          </cell>
          <cell r="L11" t="str">
            <v>RM</v>
          </cell>
          <cell r="M11" t="str">
            <v>RM</v>
          </cell>
          <cell r="N11" t="str">
            <v>RM</v>
          </cell>
          <cell r="O11" t="str">
            <v>RM</v>
          </cell>
        </row>
        <row r="14">
          <cell r="A14" t="str">
            <v>Costs of investment</v>
          </cell>
          <cell r="E14">
            <v>30000</v>
          </cell>
          <cell r="F14">
            <v>15939795</v>
          </cell>
          <cell r="G14">
            <v>10415996</v>
          </cell>
          <cell r="H14">
            <v>30000</v>
          </cell>
          <cell r="I14">
            <v>30000</v>
          </cell>
          <cell r="J14">
            <v>30000</v>
          </cell>
          <cell r="K14">
            <v>30000</v>
          </cell>
          <cell r="L14">
            <v>30000</v>
          </cell>
          <cell r="M14">
            <v>4500000</v>
          </cell>
          <cell r="N14">
            <v>1</v>
          </cell>
          <cell r="O14">
            <v>31035792</v>
          </cell>
        </row>
        <row r="18">
          <cell r="A18" t="str">
            <v>Share of profit</v>
          </cell>
        </row>
        <row r="19">
          <cell r="B19" t="str">
            <v>- Prior to 1989</v>
          </cell>
          <cell r="O19">
            <v>889177</v>
          </cell>
        </row>
        <row r="20">
          <cell r="B20" t="str">
            <v>- 1989</v>
          </cell>
          <cell r="E20">
            <v>11085</v>
          </cell>
          <cell r="F20">
            <v>749806</v>
          </cell>
          <cell r="G20">
            <v>-1026451</v>
          </cell>
          <cell r="H20">
            <v>-786</v>
          </cell>
          <cell r="I20">
            <v>13111</v>
          </cell>
          <cell r="J20">
            <v>2179</v>
          </cell>
          <cell r="K20">
            <v>-1424</v>
          </cell>
          <cell r="L20">
            <v>8527</v>
          </cell>
          <cell r="M20">
            <v>0</v>
          </cell>
          <cell r="N20">
            <v>0</v>
          </cell>
          <cell r="O20">
            <v>-243953</v>
          </cell>
        </row>
        <row r="21">
          <cell r="B21" t="str">
            <v>- 1990 (Net)</v>
          </cell>
          <cell r="E21">
            <v>7292</v>
          </cell>
          <cell r="F21">
            <v>2143458</v>
          </cell>
          <cell r="G21">
            <v>-561915</v>
          </cell>
          <cell r="H21">
            <v>4250</v>
          </cell>
          <cell r="I21">
            <v>6995</v>
          </cell>
          <cell r="J21">
            <v>18955</v>
          </cell>
          <cell r="K21">
            <v>-69</v>
          </cell>
          <cell r="L21">
            <v>10244</v>
          </cell>
          <cell r="M21">
            <v>6116</v>
          </cell>
          <cell r="N21">
            <v>0</v>
          </cell>
          <cell r="O21">
            <v>1635326</v>
          </cell>
        </row>
        <row r="22">
          <cell r="B22" t="str">
            <v>- 1991</v>
          </cell>
          <cell r="E22">
            <v>950</v>
          </cell>
          <cell r="F22">
            <v>-611998</v>
          </cell>
          <cell r="G22">
            <v>225546</v>
          </cell>
          <cell r="H22">
            <v>909</v>
          </cell>
          <cell r="I22">
            <v>-1992</v>
          </cell>
          <cell r="J22">
            <v>523</v>
          </cell>
          <cell r="K22">
            <v>-17555</v>
          </cell>
          <cell r="L22">
            <v>-4345</v>
          </cell>
          <cell r="M22">
            <v>505483</v>
          </cell>
          <cell r="N22">
            <v>0</v>
          </cell>
          <cell r="O22">
            <v>97521</v>
          </cell>
        </row>
        <row r="23">
          <cell r="B23" t="str">
            <v>- 1992</v>
          </cell>
          <cell r="E23">
            <v>-3802</v>
          </cell>
          <cell r="F23">
            <v>1008711</v>
          </cell>
          <cell r="G23">
            <v>170405</v>
          </cell>
          <cell r="H23">
            <v>10788</v>
          </cell>
          <cell r="I23">
            <v>13308</v>
          </cell>
          <cell r="J23">
            <v>14307</v>
          </cell>
          <cell r="K23">
            <v>23681</v>
          </cell>
          <cell r="L23">
            <v>7601</v>
          </cell>
          <cell r="M23">
            <v>248991</v>
          </cell>
          <cell r="N23">
            <v>0</v>
          </cell>
          <cell r="O23">
            <v>1493990</v>
          </cell>
        </row>
        <row r="24">
          <cell r="B24" t="str">
            <v>- 1993</v>
          </cell>
          <cell r="E24">
            <v>38775</v>
          </cell>
          <cell r="F24">
            <v>2395031</v>
          </cell>
          <cell r="G24">
            <v>105882</v>
          </cell>
          <cell r="H24">
            <v>39144</v>
          </cell>
          <cell r="I24">
            <v>7655</v>
          </cell>
          <cell r="J24">
            <v>7468</v>
          </cell>
          <cell r="K24">
            <v>75242</v>
          </cell>
          <cell r="L24">
            <v>15424</v>
          </cell>
          <cell r="M24">
            <v>1774541</v>
          </cell>
          <cell r="N24">
            <v>0</v>
          </cell>
          <cell r="O24">
            <v>4459162</v>
          </cell>
        </row>
        <row r="25">
          <cell r="B25" t="str">
            <v>- 1994 (Net of tax)</v>
          </cell>
          <cell r="E25">
            <v>-9173</v>
          </cell>
          <cell r="F25">
            <v>326553</v>
          </cell>
          <cell r="G25">
            <v>-63955</v>
          </cell>
          <cell r="H25">
            <v>60902</v>
          </cell>
          <cell r="I25">
            <v>2705</v>
          </cell>
          <cell r="J25">
            <v>10945</v>
          </cell>
          <cell r="K25">
            <v>18910</v>
          </cell>
          <cell r="L25">
            <v>-6533</v>
          </cell>
          <cell r="M25">
            <v>1016057</v>
          </cell>
          <cell r="N25">
            <v>0</v>
          </cell>
          <cell r="O25">
            <v>1356411</v>
          </cell>
        </row>
        <row r="26">
          <cell r="B26" t="str">
            <v>- 1995</v>
          </cell>
          <cell r="E26">
            <v>-8047</v>
          </cell>
          <cell r="F26">
            <v>1309784</v>
          </cell>
          <cell r="G26">
            <v>-1607856</v>
          </cell>
          <cell r="H26">
            <v>55485</v>
          </cell>
          <cell r="I26">
            <v>-3299</v>
          </cell>
          <cell r="J26">
            <v>-1502</v>
          </cell>
          <cell r="K26">
            <v>34215</v>
          </cell>
          <cell r="L26">
            <v>-6479</v>
          </cell>
          <cell r="M26">
            <v>2496486</v>
          </cell>
          <cell r="N26">
            <v>0</v>
          </cell>
          <cell r="O26">
            <v>2268787</v>
          </cell>
        </row>
        <row r="27">
          <cell r="B27" t="str">
            <v>- 1996 (Net of tax)</v>
          </cell>
          <cell r="E27">
            <v>-7932</v>
          </cell>
          <cell r="F27">
            <v>1364550</v>
          </cell>
          <cell r="G27">
            <v>-1558172</v>
          </cell>
          <cell r="H27">
            <v>83877</v>
          </cell>
          <cell r="I27">
            <v>-8423</v>
          </cell>
          <cell r="J27">
            <v>1913</v>
          </cell>
          <cell r="K27">
            <v>34236</v>
          </cell>
          <cell r="L27">
            <v>17183</v>
          </cell>
          <cell r="M27">
            <v>1822963</v>
          </cell>
          <cell r="N27">
            <v>0</v>
          </cell>
          <cell r="O27">
            <v>1750195</v>
          </cell>
        </row>
        <row r="28">
          <cell r="B28" t="str">
            <v>- 1997 (Net of tax)</v>
          </cell>
          <cell r="E28">
            <v>-1223.3999999999999</v>
          </cell>
          <cell r="F28">
            <v>1229509.6000000003</v>
          </cell>
          <cell r="G28">
            <v>-1189056.26</v>
          </cell>
          <cell r="H28">
            <v>293669.40000000002</v>
          </cell>
          <cell r="I28">
            <v>5065.8</v>
          </cell>
          <cell r="J28">
            <v>9621.2999999999993</v>
          </cell>
          <cell r="K28">
            <v>33471.899999999994</v>
          </cell>
          <cell r="L28">
            <v>4749.3</v>
          </cell>
          <cell r="M28">
            <v>1282115.0999999999</v>
          </cell>
          <cell r="N28">
            <v>0</v>
          </cell>
          <cell r="O28">
            <v>1667922.7400000002</v>
          </cell>
        </row>
        <row r="30">
          <cell r="A30" t="str">
            <v>Share of dividend (Net)</v>
          </cell>
        </row>
        <row r="31">
          <cell r="B31" t="str">
            <v>- 1989</v>
          </cell>
          <cell r="E31">
            <v>-9750</v>
          </cell>
          <cell r="F31">
            <v>-208813</v>
          </cell>
          <cell r="G31">
            <v>0</v>
          </cell>
          <cell r="H31">
            <v>0</v>
          </cell>
          <cell r="I31">
            <v>0</v>
          </cell>
          <cell r="J31">
            <v>-5850</v>
          </cell>
          <cell r="K31">
            <v>-7800</v>
          </cell>
          <cell r="L31">
            <v>-19500</v>
          </cell>
          <cell r="M31">
            <v>0</v>
          </cell>
          <cell r="N31">
            <v>0</v>
          </cell>
          <cell r="O31">
            <v>-251713</v>
          </cell>
        </row>
        <row r="32">
          <cell r="B32" t="str">
            <v>- 1990</v>
          </cell>
          <cell r="E32">
            <v>-3900</v>
          </cell>
          <cell r="F32">
            <v>-160868</v>
          </cell>
          <cell r="G32">
            <v>0</v>
          </cell>
          <cell r="H32">
            <v>0</v>
          </cell>
          <cell r="I32">
            <v>0</v>
          </cell>
          <cell r="J32">
            <v>-15600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</row>
        <row r="33">
          <cell r="B33" t="str">
            <v>- 1991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</row>
        <row r="34">
          <cell r="B34" t="str">
            <v>- 1992 (Gross)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</row>
        <row r="35">
          <cell r="B35" t="str">
            <v>- 1993</v>
          </cell>
          <cell r="E35">
            <v>0</v>
          </cell>
          <cell r="F35">
            <v>-595000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-595000</v>
          </cell>
        </row>
        <row r="36">
          <cell r="B36" t="str">
            <v>- 1994</v>
          </cell>
          <cell r="E36">
            <v>0</v>
          </cell>
          <cell r="F36">
            <v>-595000</v>
          </cell>
          <cell r="G36">
            <v>0</v>
          </cell>
          <cell r="H36">
            <v>-10200</v>
          </cell>
          <cell r="I36">
            <v>-10200</v>
          </cell>
          <cell r="J36">
            <v>-19800</v>
          </cell>
          <cell r="K36">
            <v>-14280</v>
          </cell>
          <cell r="L36">
            <v>-10200</v>
          </cell>
          <cell r="M36">
            <v>-225000</v>
          </cell>
          <cell r="N36">
            <v>0</v>
          </cell>
          <cell r="O36">
            <v>-884680</v>
          </cell>
        </row>
        <row r="37">
          <cell r="B37" t="str">
            <v>- 1995</v>
          </cell>
          <cell r="E37">
            <v>0</v>
          </cell>
          <cell r="F37">
            <v>0</v>
          </cell>
          <cell r="G37">
            <v>0</v>
          </cell>
          <cell r="H37">
            <v>-21000</v>
          </cell>
          <cell r="I37">
            <v>-6300</v>
          </cell>
          <cell r="J37">
            <v>0</v>
          </cell>
          <cell r="K37">
            <v>-14700</v>
          </cell>
          <cell r="L37">
            <v>-10200</v>
          </cell>
          <cell r="M37">
            <v>-450000</v>
          </cell>
          <cell r="N37">
            <v>0</v>
          </cell>
          <cell r="O37">
            <v>-502200</v>
          </cell>
        </row>
        <row r="38">
          <cell r="B38" t="str">
            <v>- 1996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-225000</v>
          </cell>
          <cell r="N38">
            <v>0</v>
          </cell>
          <cell r="O38">
            <v>-225000</v>
          </cell>
        </row>
        <row r="39">
          <cell r="B39" t="str">
            <v>- 1997</v>
          </cell>
          <cell r="E39">
            <v>0</v>
          </cell>
          <cell r="F39">
            <v>0</v>
          </cell>
          <cell r="G39">
            <v>0</v>
          </cell>
          <cell r="H39">
            <v>-38150</v>
          </cell>
          <cell r="I39">
            <v>0</v>
          </cell>
          <cell r="J39">
            <v>0</v>
          </cell>
          <cell r="K39">
            <v>-114450</v>
          </cell>
          <cell r="L39">
            <v>0</v>
          </cell>
          <cell r="N39">
            <v>0</v>
          </cell>
          <cell r="O39">
            <v>-152600</v>
          </cell>
        </row>
        <row r="42">
          <cell r="E42">
            <v>14274.599999999999</v>
          </cell>
          <cell r="F42">
            <v>8355723.5999999996</v>
          </cell>
          <cell r="G42">
            <v>-5505572.2599999998</v>
          </cell>
          <cell r="H42">
            <v>478888.4</v>
          </cell>
          <cell r="I42">
            <v>18625.800000000003</v>
          </cell>
          <cell r="J42">
            <v>23159.300000000003</v>
          </cell>
          <cell r="K42">
            <v>49477.899999999994</v>
          </cell>
          <cell r="L42">
            <v>6471.3000000000029</v>
          </cell>
          <cell r="M42">
            <v>8252752.0999999996</v>
          </cell>
          <cell r="N42">
            <v>0</v>
          </cell>
          <cell r="O42">
            <v>12763345.74</v>
          </cell>
        </row>
        <row r="46">
          <cell r="B46" t="str">
            <v>TOTAL</v>
          </cell>
          <cell r="E46">
            <v>44274.6</v>
          </cell>
          <cell r="F46">
            <v>24295518.600000001</v>
          </cell>
          <cell r="G46">
            <v>4910423.74</v>
          </cell>
          <cell r="H46">
            <v>508888.4</v>
          </cell>
          <cell r="I46">
            <v>48625.8</v>
          </cell>
          <cell r="J46">
            <v>53159.3</v>
          </cell>
          <cell r="K46">
            <v>79477.899999999994</v>
          </cell>
          <cell r="L46">
            <v>36471.300000000003</v>
          </cell>
          <cell r="M46">
            <v>12752752.1</v>
          </cell>
          <cell r="N46">
            <v>1</v>
          </cell>
          <cell r="O46">
            <v>43799137.740000002</v>
          </cell>
        </row>
        <row r="50">
          <cell r="F50" t="str">
            <v>EJE &lt;403&gt;</v>
          </cell>
        </row>
        <row r="52">
          <cell r="F52" t="str">
            <v>RETAINED PROFIT B/F</v>
          </cell>
          <cell r="I52">
            <v>2206880</v>
          </cell>
        </row>
        <row r="54">
          <cell r="F54" t="str">
            <v xml:space="preserve">                 INVESTMENT IN ASSOCIATED COMPANIES</v>
          </cell>
          <cell r="J54">
            <v>2206880</v>
          </cell>
        </row>
        <row r="56">
          <cell r="F56" t="str">
            <v>(BEING DIVIDEND INCOME RECEIVED FROM ASSOCIATED COMPANIES IN 1993, 1994 &amp; 1995 ACCOUNTED FOR USING EQUITY METHOD)</v>
          </cell>
        </row>
      </sheetData>
      <sheetData sheetId="1"/>
      <sheetData sheetId="2"/>
      <sheetData sheetId="3"/>
      <sheetData sheetId="4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 LeadSchedule"/>
      <sheetName val="ploss"/>
      <sheetName val="Investment"/>
    </sheetNames>
    <sheetDataSet>
      <sheetData sheetId="0"/>
      <sheetData sheetId="1"/>
      <sheetData sheetId="2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l"/>
      <sheetName val="TB-gl"/>
      <sheetName val="1 LeadSchedule"/>
      <sheetName val="Interim --&gt; Top"/>
      <sheetName val="M&amp;E"/>
      <sheetName val="C101"/>
      <sheetName val="G301(01)"/>
      <sheetName val="Register"/>
      <sheetName val="J9-1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reakdown (1)"/>
      <sheetName val="gl"/>
    </sheetNames>
    <sheetDataSet>
      <sheetData sheetId="0"/>
      <sheetData sheetId="1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F_6"/>
      <sheetName val="Hypothesis"/>
      <sheetName val="Profitability"/>
      <sheetName val="Profit anal"/>
      <sheetName val="BS"/>
      <sheetName val="FSA"/>
      <sheetName val="F-1&amp;2"/>
      <sheetName val="F-3"/>
      <sheetName val="F-4"/>
      <sheetName val="F-9"/>
      <sheetName val="F-11"/>
      <sheetName val="FF-2"/>
      <sheetName val="FF-4"/>
      <sheetName val="FF-6"/>
      <sheetName val="FF-10"/>
      <sheetName val="10"/>
      <sheetName val="20"/>
      <sheetName val="30"/>
      <sheetName val="os"/>
      <sheetName val="Breakdown (1)"/>
      <sheetName val="Bal Sheet"/>
      <sheetName val="Population"/>
      <sheetName val="RATE99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5">
          <cell r="A5" t="str">
            <v xml:space="preserve">SECTION 108 TAX CREDIT </v>
          </cell>
        </row>
        <row r="7">
          <cell r="A7" t="str">
            <v>YEAR</v>
          </cell>
          <cell r="C7" t="str">
            <v>BALANCE</v>
          </cell>
          <cell r="E7" t="str">
            <v>CURRENT</v>
          </cell>
          <cell r="I7" t="str">
            <v>DIVIDEND</v>
          </cell>
          <cell r="K7" t="str">
            <v>BALANCE</v>
          </cell>
        </row>
        <row r="8">
          <cell r="A8" t="str">
            <v>ENDED</v>
          </cell>
          <cell r="C8" t="str">
            <v>C/F</v>
          </cell>
          <cell r="E8" t="str">
            <v>YEAR</v>
          </cell>
          <cell r="G8" t="str">
            <v>BALANCE</v>
          </cell>
          <cell r="I8" t="str">
            <v>PAID</v>
          </cell>
          <cell r="K8" t="str">
            <v>C/F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5 Analysis"/>
      <sheetName val="   Contents"/>
      <sheetName val="1 LeadSchedule"/>
      <sheetName val="2 Sec108"/>
      <sheetName val="3 P&amp;L - 4 Op.Exp"/>
      <sheetName val="3A Turnover 3B COS"/>
      <sheetName val="   Directors"/>
      <sheetName val="Shareholders"/>
      <sheetName val="Dividend"/>
      <sheetName val="ITA-RA"/>
      <sheetName val="Int-rest"/>
      <sheetName val="OTHER (2)"/>
      <sheetName val="FF-6"/>
      <sheetName val="Checklist"/>
      <sheetName val="Sheet2"/>
      <sheetName val="Highlight"/>
      <sheetName val="A3-1"/>
      <sheetName val="A3-2"/>
      <sheetName val="A3-3"/>
      <sheetName val="A2-1"/>
      <sheetName val="A2-2"/>
      <sheetName val="A2-3"/>
      <sheetName val="A2-4"/>
      <sheetName val="A-8"/>
      <sheetName val="SAD"/>
      <sheetName val="A5-1 CPL"/>
      <sheetName val="A5-2 CBS"/>
      <sheetName val="A5-3 Inter bal"/>
      <sheetName val="A5-4 Inter trans"/>
      <sheetName val="A5-5 RPT"/>
      <sheetName val="A5-6 Notes"/>
      <sheetName val="A5-7 FC &amp; sale prop"/>
      <sheetName val="C"/>
      <sheetName val="C-10"/>
      <sheetName val="E"/>
      <sheetName val="F"/>
      <sheetName val="F-10"/>
      <sheetName val="G"/>
      <sheetName val="I"/>
      <sheetName val="I-10"/>
      <sheetName val="K"/>
      <sheetName val="K-8"/>
      <sheetName val="K-9"/>
      <sheetName val="K-10"/>
      <sheetName val="M"/>
      <sheetName val="M-2"/>
      <sheetName val="N"/>
      <sheetName val="N-20"/>
      <sheetName val="P"/>
      <sheetName val="O"/>
      <sheetName val="S"/>
      <sheetName val="T"/>
      <sheetName val="U10"/>
      <sheetName val="U11"/>
      <sheetName val="U20"/>
      <sheetName val="U21"/>
      <sheetName val="U-22"/>
      <sheetName val="U30"/>
      <sheetName val="U31"/>
      <sheetName val="U70"/>
      <sheetName val="FF_1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 refreshError="1"/>
      <sheetData sheetId="6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F_1"/>
      <sheetName val="pldt"/>
      <sheetName val="Sheet1"/>
      <sheetName val="F-1 F-2"/>
      <sheetName val="F-3"/>
      <sheetName val="F-4"/>
      <sheetName val="F-5"/>
      <sheetName val="F-9"/>
      <sheetName val="A"/>
      <sheetName val="D"/>
      <sheetName val="B "/>
      <sheetName val="B-3"/>
      <sheetName val="B-4"/>
      <sheetName val="B-10"/>
      <sheetName val="L"/>
      <sheetName val="M"/>
      <sheetName val="U-disc"/>
      <sheetName val="U "/>
      <sheetName val="U-2"/>
      <sheetName val="U-3"/>
      <sheetName val="U-4"/>
      <sheetName val="BB"/>
      <sheetName val="BB-1"/>
      <sheetName val="BB-5"/>
      <sheetName val="CC"/>
      <sheetName val="CC-3"/>
      <sheetName val="FF"/>
      <sheetName val="FF-1"/>
      <sheetName val="FF-2"/>
      <sheetName val="FF-3"/>
      <sheetName val="FF-4"/>
      <sheetName val="10"/>
      <sheetName val="10-1"/>
      <sheetName val="20 30"/>
      <sheetName val="30-1"/>
      <sheetName val="70 "/>
      <sheetName val="P-1"/>
      <sheetName val="0000"/>
      <sheetName val="5 Analysis"/>
      <sheetName val="Names"/>
      <sheetName val="Cash Flow"/>
      <sheetName val="Financial Summary"/>
      <sheetName val="c_data"/>
    </sheet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 LeadSchedule"/>
      <sheetName val="4 Analysis"/>
      <sheetName val="   Contents"/>
      <sheetName val="2 Sec108"/>
      <sheetName val="SCHEDULE 1"/>
      <sheetName val="SCHEDULE 3"/>
      <sheetName val="SCHEDULE 3A"/>
      <sheetName val="SCHEDULE 3B"/>
      <sheetName val="SCHEDULE 3C"/>
      <sheetName val="SCHEDULE 4"/>
      <sheetName val="SCHEDULE 4A"/>
      <sheetName val="SCHEDULE 5"/>
      <sheetName val="SCHEDULE 5A"/>
      <sheetName val="SCHEDULE 6"/>
      <sheetName val="SCHEDULE 7"/>
      <sheetName val="Dividend"/>
      <sheetName val="SCHEDULE 9"/>
      <sheetName val="INT2"/>
      <sheetName val="SCHEDULE 10C"/>
      <sheetName val="   Directors"/>
      <sheetName val="WORKING"/>
      <sheetName val="ATTACH"/>
      <sheetName val="ITA-RA"/>
      <sheetName val="OTHER (2)"/>
      <sheetName val="FF-1"/>
      <sheetName val="FF-2 (1)"/>
      <sheetName val="FSA"/>
      <sheetName val="B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/>
      <sheetData sheetId="1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F_2"/>
      <sheetName val="1 LeadSchedule"/>
      <sheetName val="4 Analysis"/>
    </sheetNames>
    <sheetDataSet>
      <sheetData sheetId="0"/>
      <sheetData sheetId="1" refreshError="1"/>
      <sheetData sheetId="2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PCODE"/>
      <sheetName val="ALL"/>
      <sheetName val="OUTSTANDING"/>
      <sheetName val="RELEASED CHEQUE"/>
      <sheetName val="UNCLEAR CQ"/>
      <sheetName val="PRINTING"/>
      <sheetName val="TESTING"/>
      <sheetName val="TESTING1"/>
      <sheetName val="Outstanding Payment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5"/>
      <sheetName val="Sheet14"/>
      <sheetName val="Sheet16"/>
      <sheetName val="Module1"/>
      <sheetName val="A2-1"/>
      <sheetName val="A3"/>
      <sheetName val="A8"/>
      <sheetName val="C-lead"/>
      <sheetName val="C2"/>
      <sheetName val="C1"/>
      <sheetName val="E-lead"/>
      <sheetName val="E1"/>
      <sheetName val="E2"/>
      <sheetName val="G-lead"/>
      <sheetName val="G1"/>
      <sheetName val="I-lead"/>
      <sheetName val="I1"/>
      <sheetName val="K-lead"/>
      <sheetName val="M-lead"/>
      <sheetName val="M1"/>
      <sheetName val="N-lead"/>
      <sheetName val="N1"/>
      <sheetName val="N3"/>
      <sheetName val="O-lead"/>
      <sheetName val="T-lead"/>
      <sheetName val="U-lead"/>
      <sheetName val="U1"/>
      <sheetName val="U2"/>
      <sheetName val="U2-1"/>
      <sheetName val="U2-2"/>
      <sheetName val="U3"/>
      <sheetName val="U4"/>
      <sheetName val="U5"/>
      <sheetName val="U6"/>
      <sheetName val="U7"/>
      <sheetName val="FF_2"/>
      <sheetName val="addl cost"/>
      <sheetName val="accumdeprn"/>
      <sheetName val="Weights"/>
      <sheetName val="N2 Detailed Listing (Pre-final)"/>
      <sheetName val="FF-2 (1)"/>
      <sheetName val="FSA"/>
      <sheetName val="B"/>
      <sheetName val="C"/>
      <sheetName val="F-1 F-2"/>
      <sheetName val="Activity Price"/>
      <sheetName val="F-3"/>
      <sheetName val="Sheet1"/>
      <sheetName val="LINKS TABLE"/>
      <sheetName val="E"/>
      <sheetName val="Money Market"/>
      <sheetName val="Setup"/>
      <sheetName val="Contract Inflation Base Info"/>
      <sheetName val="Inputs"/>
      <sheetName val="Reconciliation"/>
      <sheetName val="lead "/>
      <sheetName val="BlSheet"/>
      <sheetName val="PLOSS"/>
      <sheetName val="Control sheet"/>
      <sheetName val="1 LeadSchedule"/>
      <sheetName val="4 Analysis"/>
      <sheetName val="PARAMETERS"/>
      <sheetName val="NAME"/>
      <sheetName val="Contracts"/>
      <sheetName val="sales"/>
      <sheetName val="A2|4"/>
      <sheetName val="RELEASED_CHEQUE"/>
      <sheetName val="UNCLEAR_CQ"/>
      <sheetName val="Outstanding_Payment"/>
      <sheetName val="addl_cost"/>
      <sheetName val="F-1_F-2"/>
      <sheetName val="N2_Detailed_Listing_(Pre-final)"/>
      <sheetName val="FF-2_(1)"/>
      <sheetName val="Activity_Price"/>
      <sheetName val="LINKS_TABLE"/>
      <sheetName val="Control_sheet"/>
      <sheetName val="lead_"/>
      <sheetName val="Money_Market"/>
      <sheetName val="Contract_Inflation_Base_Info"/>
      <sheetName val="consol"/>
      <sheetName val="FG2540"/>
      <sheetName val="Sheet2"/>
      <sheetName val="4.2.3"/>
      <sheetName val="details"/>
      <sheetName val="Stationeries"/>
      <sheetName val="A-P&amp;L"/>
      <sheetName val="sumdepn01"/>
      <sheetName val="CP4"/>
      <sheetName val="VOLUME ADJUSTED"/>
      <sheetName val="Cum.91-93"/>
      <sheetName val="CP Mgmt"/>
      <sheetName val="Ranges"/>
      <sheetName val="Assumptions"/>
      <sheetName val="Code"/>
      <sheetName val="FF-KL"/>
      <sheetName val="CR.AJE"/>
      <sheetName val="RELEASED_CHEQUE1"/>
      <sheetName val="UNCLEAR_CQ1"/>
      <sheetName val="Outstanding_Payment1"/>
      <sheetName val="addl_cost1"/>
      <sheetName val="N2_Detailed_Listing_(Pre-final1"/>
      <sheetName val="F-1_F-21"/>
      <sheetName val="FF-2_(1)1"/>
      <sheetName val="Activity_Price1"/>
      <sheetName val="LINKS_TABLE1"/>
      <sheetName val="Control_sheet1"/>
      <sheetName val="#REF"/>
      <sheetName val="4FA-ADD"/>
      <sheetName val="Du_lieu"/>
      <sheetName val="AFA"/>
      <sheetName val="ADM"/>
      <sheetName val="TC-M"/>
      <sheetName val="J2"/>
      <sheetName val="J3.4"/>
      <sheetName val="J1"/>
      <sheetName val="AFEMAI"/>
      <sheetName val="FF-1"/>
      <sheetName val="lead_1"/>
      <sheetName val="Money_Market1"/>
      <sheetName val="Contract_Inflation_Base_Info1"/>
      <sheetName val="4_2_3"/>
      <sheetName val="VOLUME_ADJUSTED"/>
      <sheetName val="Read me"/>
      <sheetName val="Off. Equipm.-Nov"/>
      <sheetName val="Renovation-Nov"/>
      <sheetName val="Computer-Nov"/>
      <sheetName val="F&amp;F-Nov"/>
      <sheetName val="Rates"/>
      <sheetName val="C-2"/>
      <sheetName val="RATE"/>
      <sheetName val="O1-1CA "/>
      <sheetName val="hsbc"/>
      <sheetName val="Bank Balance"/>
      <sheetName val="Index"/>
      <sheetName val="Appendix1"/>
      <sheetName val="U2 - Sales"/>
      <sheetName val="gVL"/>
      <sheetName val="SAD Conclusion"/>
      <sheetName val="SAD Schedule"/>
      <sheetName val="Control"/>
      <sheetName val="D"/>
      <sheetName val="Traffic"/>
      <sheetName val="Cashflow"/>
      <sheetName val="CA Comp"/>
      <sheetName val="Company Info"/>
      <sheetName val="c. COMPUTER "/>
      <sheetName val="d. F&amp;F"/>
      <sheetName val="N2 Detailed Listing _Pre_final_"/>
      <sheetName val="TB"/>
      <sheetName val="FS"/>
      <sheetName val="CostCde"/>
      <sheetName val="FF-2"/>
      <sheetName val="Cost Allocation"/>
      <sheetName val="destination"/>
      <sheetName val="PURPOSE"/>
      <sheetName val="Notes"/>
      <sheetName val="ACCRUALS"/>
      <sheetName val="Menu"/>
      <sheetName val="Assumptions 1"/>
      <sheetName val="BS"/>
      <sheetName val="20.0"/>
      <sheetName val="100.1"/>
      <sheetName val="03.0"/>
      <sheetName val="Appx B"/>
      <sheetName val="CA2000"/>
      <sheetName val="FF-21(a)"/>
      <sheetName val="gl"/>
      <sheetName val="FF-6"/>
      <sheetName val="FF-3"/>
      <sheetName val="BPR"/>
      <sheetName val="U"/>
      <sheetName val="1120"/>
      <sheetName val="AE"/>
      <sheetName val="IXC"/>
      <sheetName val="DAILY BANK"/>
      <sheetName val="U8"/>
      <sheetName val="Inventory"/>
      <sheetName val="BS01-BS"/>
      <sheetName val="Leasehold improvement"/>
      <sheetName val="CA"/>
      <sheetName val="IS (F2)"/>
      <sheetName val="Sheet 1"/>
      <sheetName val="ORC-TB"/>
      <sheetName val="TB - NorCE (S)"/>
      <sheetName val="CUS-MA"/>
      <sheetName val="Asia"/>
      <sheetName val="co_code"/>
      <sheetName val="FBr10"/>
      <sheetName val="QBr10"/>
      <sheetName val="12月到货 "/>
      <sheetName val="Parameter"/>
      <sheetName val="CHART_E"/>
      <sheetName val="leasehold"/>
      <sheetName val="Cash&amp;Bank - A"/>
      <sheetName val="CFlow2"/>
      <sheetName val="K10"/>
      <sheetName val="cash &amp; bank"/>
      <sheetName val="FF-5"/>
      <sheetName val="MMIP(JU)"/>
      <sheetName val="F-1&amp;F-2"/>
      <sheetName val="Sch1"/>
      <sheetName val="Sch4"/>
      <sheetName val="Sch4C"/>
      <sheetName val="Sch3"/>
      <sheetName val="Sch4D"/>
      <sheetName val="HistogramCalcs"/>
      <sheetName val="SPC_Calcs"/>
      <sheetName val="CA Sheet"/>
      <sheetName val="Marshal"/>
      <sheetName val="final expense 04"/>
      <sheetName val="Period "/>
      <sheetName val="703-4100-117446"/>
      <sheetName val="222-115176"/>
      <sheetName val="703-114847"/>
      <sheetName val="Countries"/>
      <sheetName val="Info"/>
      <sheetName val="GB1 PPE Lead"/>
      <sheetName val="COST"/>
      <sheetName val="RELEASED_CHEQUE2"/>
      <sheetName val="UNCLEAR_CQ2"/>
      <sheetName val="Outstanding_Payment2"/>
      <sheetName val="addl_cost2"/>
      <sheetName val="N2_Detailed_Listing_(Pre-final2"/>
      <sheetName val="F-1_F-22"/>
      <sheetName val="FF-2_(1)2"/>
      <sheetName val="Activity_Price2"/>
      <sheetName val="Control_sheet2"/>
      <sheetName val="LINKS_TABLE2"/>
      <sheetName val="lead_2"/>
      <sheetName val="Contract_Inflation_Base_Info2"/>
      <sheetName val="Money_Market2"/>
      <sheetName val="4_2_31"/>
      <sheetName val="CP_Mgmt"/>
      <sheetName val="Cum_91-93"/>
      <sheetName val="CR_AJE"/>
      <sheetName val="VOLUME_ADJUSTED1"/>
      <sheetName val="Read_me"/>
      <sheetName val="Bank_Balance"/>
      <sheetName val="Off__Equipm_-Nov"/>
      <sheetName val="J3_4"/>
      <sheetName val="O1-1CA_"/>
      <sheetName val="1_LeadSchedule"/>
      <sheetName val="4_Analysis"/>
      <sheetName val="U2_-_Sales"/>
      <sheetName val="N2_Detailed_Listing__Pre_final_"/>
      <sheetName val="c__COMPUTER_"/>
      <sheetName val="d__F&amp;F"/>
      <sheetName val="SAD_Conclusion"/>
      <sheetName val="SAD_Schedule"/>
      <sheetName val="Input_sheet"/>
      <sheetName val="WA"/>
      <sheetName val="MarkUp"/>
      <sheetName val=""/>
      <sheetName val="Company_Info"/>
      <sheetName val="CA_Comp"/>
      <sheetName val="20_0"/>
      <sheetName val="100_1"/>
      <sheetName val="03_0"/>
      <sheetName val="Cost_Allocation"/>
      <sheetName val="Instructions"/>
      <sheetName val="Appx_B"/>
      <sheetName val="Assumptions_1"/>
      <sheetName val="DAILY_BANK"/>
      <sheetName val="IS_(F2)"/>
      <sheetName val="Leasehold_improvement"/>
      <sheetName val="Sheet_1"/>
      <sheetName val="Cash&amp;Bank_-_A"/>
      <sheetName val="RELEASED_CHEQUE3"/>
      <sheetName val="UNCLEAR_CQ3"/>
      <sheetName val="Outstanding_Payment3"/>
      <sheetName val="addl_cost3"/>
      <sheetName val="N2_Detailed_Listing_(Pre-final3"/>
      <sheetName val="F-1_F-23"/>
      <sheetName val="FF-2_(1)3"/>
      <sheetName val="LINKS_TABLE3"/>
      <sheetName val="Money_Market3"/>
      <sheetName val="Activity_Price3"/>
      <sheetName val="lead_3"/>
      <sheetName val="Control_sheet3"/>
      <sheetName val="Contract_Inflation_Base_Info3"/>
      <sheetName val="4_2_32"/>
      <sheetName val="CP_Mgmt1"/>
      <sheetName val="CR_AJE1"/>
      <sheetName val="VOLUME_ADJUSTED2"/>
      <sheetName val="Cum_91-931"/>
      <sheetName val="Off__Equipm_-Nov1"/>
      <sheetName val="U2_-_Sales1"/>
      <sheetName val="Read_me1"/>
      <sheetName val="1_LeadSchedule1"/>
      <sheetName val="4_Analysis1"/>
      <sheetName val="J3_41"/>
      <sheetName val="O1-1CA_1"/>
      <sheetName val="Bank_Balance1"/>
      <sheetName val="N2_Detailed_Listing__Pre_final1"/>
      <sheetName val="Company_Info1"/>
      <sheetName val="CA_Comp1"/>
      <sheetName val="c__COMPUTER_1"/>
      <sheetName val="d__F&amp;F1"/>
      <sheetName val="SAD_Conclusion1"/>
      <sheetName val="SAD_Schedule1"/>
      <sheetName val="Cost_Allocation1"/>
      <sheetName val="20_01"/>
      <sheetName val="100_11"/>
      <sheetName val="03_01"/>
      <sheetName val="Appx_B1"/>
      <sheetName val="Assumptions_11"/>
      <sheetName val="DAILY_BANK1"/>
      <sheetName val="IS_(F2)1"/>
      <sheetName val="Leasehold_improvement1"/>
      <sheetName val="Sheet_11"/>
      <sheetName val="Cash&amp;Bank_-_A1"/>
      <sheetName val="RELEASED_CHEQUE4"/>
      <sheetName val="UNCLEAR_CQ4"/>
      <sheetName val="Outstanding_Payment4"/>
      <sheetName val="addl_cost4"/>
      <sheetName val="N2_Detailed_Listing_(Pre-final4"/>
      <sheetName val="F-1_F-24"/>
      <sheetName val="FF-2_(1)4"/>
      <sheetName val="Activity_Price4"/>
      <sheetName val="LINKS_TABLE4"/>
      <sheetName val="Money_Market4"/>
      <sheetName val="lead_4"/>
      <sheetName val="Control_sheet4"/>
      <sheetName val="Contract_Inflation_Base_Info4"/>
      <sheetName val="4_2_33"/>
      <sheetName val="CP_Mgmt2"/>
      <sheetName val="CR_AJE2"/>
      <sheetName val="Cum_91-932"/>
      <sheetName val="VOLUME_ADJUSTED3"/>
      <sheetName val="Off__Equipm_-Nov2"/>
      <sheetName val="U2_-_Sales2"/>
      <sheetName val="Read_me2"/>
      <sheetName val="1_LeadSchedule2"/>
      <sheetName val="4_Analysis2"/>
      <sheetName val="J3_42"/>
      <sheetName val="O1-1CA_2"/>
      <sheetName val="Bank_Balance2"/>
      <sheetName val="Company_Info2"/>
      <sheetName val="CA_Comp2"/>
      <sheetName val="N2_Detailed_Listing__Pre_final2"/>
      <sheetName val="c__COMPUTER_2"/>
      <sheetName val="d__F&amp;F2"/>
      <sheetName val="SAD_Conclusion2"/>
      <sheetName val="SAD_Schedule2"/>
      <sheetName val="Cost_Allocation2"/>
      <sheetName val="Appx_B2"/>
      <sheetName val="20_02"/>
      <sheetName val="100_12"/>
      <sheetName val="03_02"/>
      <sheetName val="Assumptions_12"/>
      <sheetName val="DAILY_BANK2"/>
      <sheetName val="Leasehold_improvement2"/>
      <sheetName val="Sheet_12"/>
      <sheetName val="IS_(F2)2"/>
      <sheetName val="Country Index"/>
      <sheetName val="(5) Workings"/>
      <sheetName val="FTF"/>
      <sheetName val="AP110sup-b"/>
      <sheetName val="24100 Accr Liab"/>
      <sheetName val="fa-c"/>
      <sheetName val="shCap"/>
      <sheetName val="CostAnly"/>
      <sheetName val="Cours Budget"/>
      <sheetName val="Synthese company"/>
      <sheetName val="1-11"/>
      <sheetName val="Interim --&gt; Top"/>
      <sheetName val="CONTRACT REGISTER"/>
      <sheetName val="Cost centre expenditure"/>
      <sheetName val="COVER-UEM"/>
      <sheetName val="Main orig"/>
      <sheetName val="BPR-Bloom"/>
      <sheetName val="BS_s_"/>
      <sheetName val="p&amp;L"/>
      <sheetName val="Days"/>
      <sheetName val="Projects - SUBSEA SERVICES"/>
      <sheetName val="Projects - SUBSEA CONSTRUCTION"/>
      <sheetName val="Projects - PIPELAY &amp; EPIC"/>
      <sheetName val="Projects - FIELD DEVELOPMENT"/>
      <sheetName val="Premium"/>
      <sheetName val="Nationality Codes"/>
      <sheetName val="PC &amp; VR Budget and Actual Units"/>
      <sheetName val="RELEASED_CHEQUE5"/>
      <sheetName val="UNCLEAR_CQ5"/>
      <sheetName val="Outstanding_Payment5"/>
      <sheetName val="addl_cost5"/>
      <sheetName val="FF-2_(1)5"/>
      <sheetName val="N2_Detailed_Listing_(Pre-final5"/>
      <sheetName val="F-1_F-25"/>
      <sheetName val="Activity_Price5"/>
      <sheetName val="LINKS_TABLE5"/>
      <sheetName val="lead_5"/>
      <sheetName val="Control_sheet5"/>
      <sheetName val="Contract_Inflation_Base_Info5"/>
      <sheetName val="Money_Market5"/>
      <sheetName val="4_2_34"/>
      <sheetName val="CP_Mgmt3"/>
      <sheetName val="VOLUME_ADJUSTED4"/>
      <sheetName val="CR_AJE3"/>
      <sheetName val="Cum_91-933"/>
      <sheetName val="Read_me3"/>
      <sheetName val="Off__Equipm_-Nov3"/>
      <sheetName val="J3_43"/>
      <sheetName val="O1-1CA_3"/>
      <sheetName val="1_LeadSchedule3"/>
      <sheetName val="4_Analysis3"/>
      <sheetName val="N2_Detailed_Listing__Pre_final3"/>
      <sheetName val="Bank_Balance3"/>
      <sheetName val="U2_-_Sales3"/>
      <sheetName val="SAD_Conclusion3"/>
      <sheetName val="SAD_Schedule3"/>
      <sheetName val="c__COMPUTER_3"/>
      <sheetName val="d__F&amp;F3"/>
      <sheetName val="Company_Info3"/>
      <sheetName val="CA_Comp3"/>
      <sheetName val="20_03"/>
      <sheetName val="100_13"/>
      <sheetName val="03_03"/>
      <sheetName val="Cost_Allocation3"/>
      <sheetName val="FF-4"/>
      <sheetName val="n7-e"/>
      <sheetName val="Sum_View"/>
      <sheetName val="SUMMARY&gt;&gt;&gt;"/>
      <sheetName val="P1"/>
      <sheetName val="FF-13"/>
      <sheetName val="Estimated AP 9.03"/>
      <sheetName val="Rev. Assumptions"/>
      <sheetName val="CRC database"/>
      <sheetName val="manpower"/>
      <sheetName val="CANDOI"/>
      <sheetName val="Nhap VT oto"/>
      <sheetName val="E3.1"/>
      <sheetName val="E1.1"/>
      <sheetName val="E2.1"/>
      <sheetName val="Cover2012"/>
      <sheetName val="61 HR"/>
      <sheetName val="65 FINANCE"/>
      <sheetName val="Tabelle3"/>
      <sheetName val="Workings"/>
      <sheetName val="KKN"/>
      <sheetName val="tax-ss"/>
      <sheetName val="WPKL 01 KI-ori (2)"/>
      <sheetName val="WPKL01 Handheld MEI KI"/>
      <sheetName val="WPKL 01 KI-ori"/>
      <sheetName val="Age311299TESP"/>
      <sheetName val="Profitability"/>
      <sheetName val="A-1"/>
      <sheetName val="Sort Of SAP-GL"/>
    </sheetNames>
    <sheetDataSet>
      <sheetData sheetId="0" refreshError="1">
        <row r="3">
          <cell r="A3">
            <v>1</v>
          </cell>
          <cell r="B3" t="str">
            <v>MAZROL BIN SARMAN</v>
          </cell>
          <cell r="C3">
            <v>1</v>
          </cell>
        </row>
        <row r="4">
          <cell r="A4" t="str">
            <v>ALI</v>
          </cell>
          <cell r="B4" t="str">
            <v>ALI JAHITAN SDN BHD</v>
          </cell>
          <cell r="C4" t="str">
            <v>ALI</v>
          </cell>
        </row>
        <row r="5">
          <cell r="A5" t="str">
            <v>AR</v>
          </cell>
          <cell r="B5" t="str">
            <v>AREMEN PROPERTIES SDN. BHD.</v>
          </cell>
          <cell r="C5" t="str">
            <v>AR</v>
          </cell>
        </row>
        <row r="6">
          <cell r="A6" t="str">
            <v>ATR</v>
          </cell>
          <cell r="B6" t="str">
            <v>ATRAN BIN ISMAIL</v>
          </cell>
        </row>
        <row r="7">
          <cell r="A7" t="str">
            <v>TB19</v>
          </cell>
          <cell r="B7" t="str">
            <v>BASRI BIN MANAN K/P NO 8329641</v>
          </cell>
        </row>
        <row r="8">
          <cell r="A8" t="str">
            <v>BUMI</v>
          </cell>
          <cell r="B8" t="str">
            <v>BUMEE BAKTI</v>
          </cell>
          <cell r="C8" t="str">
            <v>BUMI</v>
          </cell>
        </row>
        <row r="9">
          <cell r="A9" t="str">
            <v>C</v>
          </cell>
          <cell r="B9" t="str">
            <v>CASH</v>
          </cell>
          <cell r="C9" t="str">
            <v>C</v>
          </cell>
        </row>
        <row r="10">
          <cell r="A10" t="str">
            <v>CAN</v>
          </cell>
          <cell r="B10" t="str">
            <v>CANCELLED</v>
          </cell>
          <cell r="C10" t="str">
            <v>CAN</v>
          </cell>
        </row>
        <row r="11">
          <cell r="A11" t="str">
            <v>CHE</v>
          </cell>
          <cell r="B11" t="str">
            <v>CHEONG SWEE LIAN</v>
          </cell>
          <cell r="C11" t="str">
            <v>CHE</v>
          </cell>
        </row>
        <row r="12">
          <cell r="A12" t="str">
            <v>CKH</v>
          </cell>
          <cell r="B12" t="str">
            <v>CASH - KHAZALI HAMID</v>
          </cell>
          <cell r="C12" t="str">
            <v>CKH</v>
          </cell>
        </row>
        <row r="13">
          <cell r="A13" t="str">
            <v>CZ01</v>
          </cell>
          <cell r="B13" t="str">
            <v>CASH - ZAINAL ABIDIN</v>
          </cell>
          <cell r="C13" t="str">
            <v>CZ01</v>
          </cell>
        </row>
        <row r="14">
          <cell r="A14" t="str">
            <v>DBKL</v>
          </cell>
          <cell r="B14" t="str">
            <v>DEWAN BANDARAYA KUALA LUMPUR</v>
          </cell>
          <cell r="C14" t="str">
            <v>DBKL</v>
          </cell>
        </row>
        <row r="15">
          <cell r="A15" t="str">
            <v>DING</v>
          </cell>
          <cell r="B15" t="str">
            <v>ANDREW DING SOON LEONG</v>
          </cell>
          <cell r="C15" t="str">
            <v>DING</v>
          </cell>
        </row>
        <row r="16">
          <cell r="A16" t="str">
            <v>EDU</v>
          </cell>
          <cell r="B16" t="str">
            <v>EDUCATIONAL FILM SERVICES SDN. BHD.</v>
          </cell>
          <cell r="C16" t="str">
            <v>EDU</v>
          </cell>
        </row>
        <row r="17">
          <cell r="A17" t="str">
            <v>ELE</v>
          </cell>
          <cell r="B17" t="str">
            <v>ELECTCOMS SDN BHD</v>
          </cell>
        </row>
        <row r="18">
          <cell r="A18" t="str">
            <v>EPF</v>
          </cell>
          <cell r="B18" t="str">
            <v>KUMPULAN WANG SIMPANAN PEKERJA</v>
          </cell>
          <cell r="C18" t="str">
            <v>EPF</v>
          </cell>
        </row>
        <row r="19">
          <cell r="A19" t="str">
            <v>GUO</v>
          </cell>
          <cell r="B19" t="str">
            <v>GUOMAN PORT DICKSON</v>
          </cell>
          <cell r="C19" t="str">
            <v>GUO</v>
          </cell>
        </row>
        <row r="20">
          <cell r="A20" t="str">
            <v>HALIM</v>
          </cell>
          <cell r="B20" t="str">
            <v>H.ABDUL HALIM BIN HAMEED</v>
          </cell>
          <cell r="C20" t="str">
            <v>HALIM</v>
          </cell>
        </row>
        <row r="21">
          <cell r="A21" t="str">
            <v>J</v>
          </cell>
          <cell r="B21" t="str">
            <v>JIA WA TRADING</v>
          </cell>
          <cell r="C21" t="str">
            <v>J</v>
          </cell>
        </row>
        <row r="22">
          <cell r="A22" t="str">
            <v>JAS</v>
          </cell>
          <cell r="B22" t="str">
            <v>JASHIN CABINS (M) SDN BHD</v>
          </cell>
        </row>
        <row r="23">
          <cell r="A23" t="str">
            <v>k</v>
          </cell>
          <cell r="B23" t="str">
            <v>HONG LEONG LEASING SDN. BHD.</v>
          </cell>
          <cell r="C23" t="str">
            <v>k</v>
          </cell>
        </row>
        <row r="24">
          <cell r="A24" t="str">
            <v>KA01</v>
          </cell>
          <cell r="B24" t="str">
            <v>ABDOL MALIK DUMON</v>
          </cell>
          <cell r="C24" t="str">
            <v>KA01</v>
          </cell>
        </row>
        <row r="25">
          <cell r="A25" t="str">
            <v>KA02</v>
          </cell>
          <cell r="B25" t="str">
            <v>AHMAD SEMAIL</v>
          </cell>
          <cell r="C25" t="str">
            <v>KA02</v>
          </cell>
        </row>
        <row r="26">
          <cell r="A26" t="str">
            <v>KA04</v>
          </cell>
          <cell r="B26" t="str">
            <v>AHMAD FAIZAL IDRIS</v>
          </cell>
          <cell r="C26" t="str">
            <v>KA04</v>
          </cell>
        </row>
        <row r="27">
          <cell r="A27" t="str">
            <v>KA05</v>
          </cell>
          <cell r="B27" t="str">
            <v>AZHAR BIN HARON</v>
          </cell>
        </row>
        <row r="28">
          <cell r="A28" t="str">
            <v>KH01</v>
          </cell>
          <cell r="B28" t="str">
            <v>HASMERA IBRAHIM</v>
          </cell>
          <cell r="C28" t="str">
            <v>KH01</v>
          </cell>
        </row>
        <row r="29">
          <cell r="A29" t="str">
            <v>KHZ</v>
          </cell>
          <cell r="B29" t="str">
            <v>KHAZALI BIN HAMID</v>
          </cell>
          <cell r="C29" t="str">
            <v>KHZ</v>
          </cell>
        </row>
        <row r="30">
          <cell r="A30" t="str">
            <v>KI01</v>
          </cell>
          <cell r="B30" t="str">
            <v>IDRIS MOHD ISA</v>
          </cell>
          <cell r="C30" t="str">
            <v>KI01</v>
          </cell>
        </row>
        <row r="31">
          <cell r="A31" t="str">
            <v>KIM</v>
          </cell>
          <cell r="B31" t="str">
            <v>KLINIK INTER-MED</v>
          </cell>
          <cell r="C31" t="str">
            <v>KIM</v>
          </cell>
        </row>
        <row r="32">
          <cell r="A32" t="str">
            <v>KJ01</v>
          </cell>
          <cell r="B32" t="str">
            <v>JAMAAN BIN SULAIMAN</v>
          </cell>
          <cell r="C32" t="str">
            <v>KJ01</v>
          </cell>
        </row>
        <row r="33">
          <cell r="A33" t="str">
            <v>KK01</v>
          </cell>
          <cell r="B33" t="str">
            <v>KHAIRIL ANUAR BIN OMAR</v>
          </cell>
        </row>
        <row r="34">
          <cell r="A34" t="str">
            <v>KL01</v>
          </cell>
          <cell r="B34" t="str">
            <v>LAI CHUNG WAH</v>
          </cell>
          <cell r="C34" t="str">
            <v>KL01</v>
          </cell>
        </row>
        <row r="35">
          <cell r="A35" t="str">
            <v>KM01</v>
          </cell>
          <cell r="B35" t="str">
            <v>MOHD. NOOR AWANG</v>
          </cell>
          <cell r="C35" t="str">
            <v>KM01</v>
          </cell>
        </row>
        <row r="36">
          <cell r="A36" t="str">
            <v>KM02</v>
          </cell>
          <cell r="B36" t="str">
            <v>M/GENERAL (R) LAI CHUNG WAH</v>
          </cell>
          <cell r="C36" t="str">
            <v>KM02</v>
          </cell>
        </row>
        <row r="37">
          <cell r="A37" t="str">
            <v>KM03</v>
          </cell>
          <cell r="B37" t="str">
            <v>MOHAMAD BIN IBRAHIM</v>
          </cell>
          <cell r="C37" t="str">
            <v>KM03</v>
          </cell>
        </row>
        <row r="38">
          <cell r="A38" t="str">
            <v>KM04</v>
          </cell>
          <cell r="B38" t="str">
            <v>MAZLAN BIN AHMAD</v>
          </cell>
          <cell r="C38" t="str">
            <v>KM04</v>
          </cell>
        </row>
        <row r="39">
          <cell r="A39" t="str">
            <v>KN01</v>
          </cell>
          <cell r="B39" t="str">
            <v>NORHAYATI KAPRAWI</v>
          </cell>
          <cell r="C39" t="str">
            <v>KN01</v>
          </cell>
        </row>
        <row r="40">
          <cell r="A40" t="str">
            <v>KN02</v>
          </cell>
          <cell r="B40" t="str">
            <v>NOUXMAN BURHANUDDIN</v>
          </cell>
          <cell r="C40" t="str">
            <v>KN02</v>
          </cell>
        </row>
        <row r="41">
          <cell r="A41" t="str">
            <v>KQ01</v>
          </cell>
          <cell r="B41" t="str">
            <v>OMERO CONTU</v>
          </cell>
          <cell r="C41" t="str">
            <v>KQ01</v>
          </cell>
        </row>
        <row r="42">
          <cell r="A42" t="str">
            <v>KS01</v>
          </cell>
          <cell r="B42" t="str">
            <v>SARIF KAMAL MUSTAFA</v>
          </cell>
          <cell r="C42" t="str">
            <v>KS01</v>
          </cell>
        </row>
        <row r="43">
          <cell r="A43" t="str">
            <v>KW01</v>
          </cell>
          <cell r="B43" t="str">
            <v>WAN AZAM WAN MUSA</v>
          </cell>
          <cell r="C43" t="str">
            <v>KW01</v>
          </cell>
        </row>
        <row r="44">
          <cell r="A44" t="str">
            <v>LA01</v>
          </cell>
          <cell r="B44" t="str">
            <v>ARAB-MALAYSIAN MERCHANT BANK BERHAD</v>
          </cell>
          <cell r="C44" t="str">
            <v>LA01</v>
          </cell>
        </row>
        <row r="45">
          <cell r="A45" t="str">
            <v>LA02</v>
          </cell>
          <cell r="B45" t="str">
            <v xml:space="preserve">ASEAMLEASE BERHAD </v>
          </cell>
          <cell r="C45" t="str">
            <v>LA02</v>
          </cell>
        </row>
        <row r="46">
          <cell r="A46" t="str">
            <v>LB01</v>
          </cell>
          <cell r="B46" t="str">
            <v>BANK ISLAM MALAYSIA BERHAD</v>
          </cell>
          <cell r="C46" t="str">
            <v>LB01</v>
          </cell>
        </row>
        <row r="47">
          <cell r="A47" t="str">
            <v>LE</v>
          </cell>
          <cell r="B47" t="str">
            <v>LE. ORIENTAL CATERING.</v>
          </cell>
          <cell r="C47" t="str">
            <v>LE</v>
          </cell>
        </row>
        <row r="48">
          <cell r="A48" t="str">
            <v>LHDN</v>
          </cell>
          <cell r="B48" t="str">
            <v>PENGARAH HASIL DALAM NEGERI</v>
          </cell>
          <cell r="C48" t="str">
            <v>LHDN</v>
          </cell>
        </row>
        <row r="49">
          <cell r="A49" t="str">
            <v>LM01</v>
          </cell>
          <cell r="B49" t="str">
            <v>MBF FINANCE BERHAD</v>
          </cell>
          <cell r="C49" t="str">
            <v>LM01</v>
          </cell>
        </row>
        <row r="50">
          <cell r="A50" t="str">
            <v>M1</v>
          </cell>
          <cell r="B50" t="str">
            <v>MOHD ADZHARI BIN YUSUF</v>
          </cell>
        </row>
        <row r="51">
          <cell r="A51" t="str">
            <v>M2</v>
          </cell>
          <cell r="B51" t="str">
            <v>MOHD NASHARUDIN BIN ABD JALIL</v>
          </cell>
        </row>
        <row r="52">
          <cell r="A52" t="str">
            <v>M3</v>
          </cell>
          <cell r="B52" t="str">
            <v>ABDULLAH BIN AYOB</v>
          </cell>
        </row>
        <row r="53">
          <cell r="A53" t="str">
            <v>M4</v>
          </cell>
          <cell r="B53" t="str">
            <v>NORHAFIZAN BIN MHD NOOR</v>
          </cell>
        </row>
        <row r="54">
          <cell r="A54" t="str">
            <v>MENON</v>
          </cell>
          <cell r="B54" t="str">
            <v>K  SASITHARAN KRISHNAN MENON</v>
          </cell>
          <cell r="C54" t="str">
            <v>MENON</v>
          </cell>
        </row>
        <row r="55">
          <cell r="A55" t="str">
            <v>MUS</v>
          </cell>
          <cell r="B55" t="str">
            <v>MUSTAFA ZAHIDIN &amp; ASSOCIATES SENDIRIAN BERHAD</v>
          </cell>
          <cell r="C55" t="str">
            <v>MUS</v>
          </cell>
        </row>
        <row r="56">
          <cell r="A56" t="str">
            <v>NA01</v>
          </cell>
          <cell r="B56" t="str">
            <v>AKISEV PERTAMA SDN. BHD.</v>
          </cell>
          <cell r="C56" t="str">
            <v>NA01</v>
          </cell>
        </row>
        <row r="57">
          <cell r="A57" t="str">
            <v>NA02</v>
          </cell>
          <cell r="B57" t="str">
            <v>AMAL AGENCY</v>
          </cell>
          <cell r="C57" t="str">
            <v>NA02</v>
          </cell>
        </row>
        <row r="58">
          <cell r="A58" t="str">
            <v>NA03</v>
          </cell>
          <cell r="B58" t="str">
            <v>ASSISTAD SDN. BHD.</v>
          </cell>
          <cell r="C58" t="str">
            <v>NA03</v>
          </cell>
        </row>
        <row r="59">
          <cell r="A59" t="str">
            <v>NA04</v>
          </cell>
          <cell r="B59" t="str">
            <v>UNITED PAPERS &amp; STATIONERY</v>
          </cell>
          <cell r="C59" t="str">
            <v>NA04</v>
          </cell>
        </row>
        <row r="60">
          <cell r="A60" t="str">
            <v>NA05</v>
          </cell>
          <cell r="B60" t="str">
            <v>AGM AUTO PARTS &amp; SERVICE SDN. BHD.</v>
          </cell>
          <cell r="C60" t="str">
            <v>NA05</v>
          </cell>
        </row>
        <row r="61">
          <cell r="A61" t="str">
            <v>NA06</v>
          </cell>
          <cell r="B61" t="str">
            <v>ASSP TRADING NETWORK SDN BHD</v>
          </cell>
          <cell r="C61" t="str">
            <v>NA06</v>
          </cell>
        </row>
        <row r="62">
          <cell r="A62" t="str">
            <v>NA07</v>
          </cell>
          <cell r="B62" t="str">
            <v>AZRA TRADING  &amp; ENGINEERING</v>
          </cell>
          <cell r="C62" t="str">
            <v>NA07</v>
          </cell>
        </row>
        <row r="63">
          <cell r="A63" t="str">
            <v>NB02</v>
          </cell>
          <cell r="B63" t="str">
            <v>BERANI GUARD SDN. BHD.</v>
          </cell>
          <cell r="C63" t="str">
            <v>NB02</v>
          </cell>
        </row>
        <row r="64">
          <cell r="A64" t="str">
            <v>NB03</v>
          </cell>
          <cell r="B64" t="str">
            <v>BUSINESS TRENDS PERSONNEL SDN. BHD.</v>
          </cell>
          <cell r="C64" t="str">
            <v>NB03</v>
          </cell>
        </row>
        <row r="65">
          <cell r="A65" t="str">
            <v>NB04</v>
          </cell>
          <cell r="B65" t="str">
            <v>BEYEN SALES &amp; SERVICES (M) SDN BHD</v>
          </cell>
          <cell r="C65" t="str">
            <v>NB04</v>
          </cell>
        </row>
        <row r="66">
          <cell r="A66" t="str">
            <v>NC01</v>
          </cell>
          <cell r="B66" t="str">
            <v>CELLULAR COMMUNICATIONS NETWORK (MALAYSIA) SDN. BHD.</v>
          </cell>
          <cell r="C66" t="str">
            <v>NC01</v>
          </cell>
        </row>
        <row r="67">
          <cell r="A67" t="str">
            <v>NC02</v>
          </cell>
          <cell r="B67" t="str">
            <v>CAIDMARK SDN. BHD.</v>
          </cell>
          <cell r="C67" t="str">
            <v>NC02</v>
          </cell>
        </row>
        <row r="68">
          <cell r="A68" t="str">
            <v>NC03</v>
          </cell>
          <cell r="B68" t="str">
            <v>CANON MARKETING (M) SDN. BHD.</v>
          </cell>
          <cell r="C68" t="str">
            <v>NC03</v>
          </cell>
        </row>
        <row r="69">
          <cell r="A69" t="str">
            <v>NC04</v>
          </cell>
          <cell r="B69" t="str">
            <v>CCS ELECTRICAL</v>
          </cell>
          <cell r="C69" t="str">
            <v>NC04</v>
          </cell>
        </row>
        <row r="70">
          <cell r="A70" t="str">
            <v>NC05</v>
          </cell>
          <cell r="B70" t="str">
            <v>CONCEPT CODE (M) SDN BHD</v>
          </cell>
          <cell r="C70" t="str">
            <v>NC05</v>
          </cell>
        </row>
        <row r="71">
          <cell r="A71" t="str">
            <v>NC07</v>
          </cell>
          <cell r="B71" t="str">
            <v>CHEEMA VIDEO PRODUCTIONS</v>
          </cell>
          <cell r="C71" t="str">
            <v>NC07</v>
          </cell>
        </row>
        <row r="72">
          <cell r="A72" t="str">
            <v>NC08</v>
          </cell>
          <cell r="B72" t="str">
            <v>CITY PEST CONTROL &amp; FUMIGATORS (M) SDN BHD</v>
          </cell>
          <cell r="C72" t="str">
            <v>NC08</v>
          </cell>
        </row>
        <row r="73">
          <cell r="A73" t="str">
            <v>ND01</v>
          </cell>
          <cell r="B73" t="str">
            <v>DINAMIK - FLICK (M) SDN. BHD.</v>
          </cell>
          <cell r="C73" t="str">
            <v>ND01</v>
          </cell>
        </row>
        <row r="74">
          <cell r="A74" t="str">
            <v>ND02</v>
          </cell>
          <cell r="B74" t="str">
            <v>DUSUN NYIUR SDN. BHD.</v>
          </cell>
          <cell r="C74" t="str">
            <v>ND02</v>
          </cell>
        </row>
        <row r="75">
          <cell r="A75" t="str">
            <v>ND03</v>
          </cell>
          <cell r="B75" t="str">
            <v>D'ELITTE</v>
          </cell>
          <cell r="C75" t="str">
            <v>ND03</v>
          </cell>
        </row>
        <row r="76">
          <cell r="A76" t="str">
            <v>ND04</v>
          </cell>
          <cell r="B76" t="str">
            <v>DELL ASIA PACIFIC SDN.</v>
          </cell>
          <cell r="C76" t="str">
            <v>ND04</v>
          </cell>
        </row>
        <row r="77">
          <cell r="A77" t="str">
            <v>ND05</v>
          </cell>
          <cell r="B77" t="str">
            <v>DUAN TAILOR.</v>
          </cell>
          <cell r="C77" t="str">
            <v>ND05</v>
          </cell>
        </row>
        <row r="78">
          <cell r="A78" t="str">
            <v>NE01</v>
          </cell>
          <cell r="B78" t="str">
            <v>EDART SDN. BHD.</v>
          </cell>
          <cell r="C78" t="str">
            <v>NE01</v>
          </cell>
        </row>
        <row r="79">
          <cell r="A79" t="str">
            <v>NE03</v>
          </cell>
          <cell r="B79" t="str">
            <v>ELECTCOMS SDN BHD</v>
          </cell>
        </row>
        <row r="80">
          <cell r="A80" t="str">
            <v>NF01</v>
          </cell>
          <cell r="B80" t="str">
            <v>SYSPRESS SDN BHD</v>
          </cell>
          <cell r="C80" t="str">
            <v>NF01</v>
          </cell>
        </row>
        <row r="81">
          <cell r="A81" t="str">
            <v>NF02</v>
          </cell>
          <cell r="B81" t="str">
            <v>FUJI XEROX ASIA PACIFIC PTE. LTD.</v>
          </cell>
          <cell r="C81" t="str">
            <v>NF02</v>
          </cell>
        </row>
        <row r="82">
          <cell r="A82" t="str">
            <v>NH01</v>
          </cell>
          <cell r="B82" t="str">
            <v>HENG ELECTRICAL</v>
          </cell>
          <cell r="C82" t="str">
            <v>NH01</v>
          </cell>
        </row>
        <row r="83">
          <cell r="A83" t="str">
            <v>NH02</v>
          </cell>
          <cell r="B83" t="str">
            <v>PERUNDING HASHIM &amp; NEH SDN. BHD.</v>
          </cell>
          <cell r="C83" t="str">
            <v>NH02</v>
          </cell>
        </row>
        <row r="84">
          <cell r="A84" t="str">
            <v>NH03</v>
          </cell>
          <cell r="B84" t="str">
            <v>HONG ADVERTISING &amp; TRADING CO</v>
          </cell>
          <cell r="C84" t="str">
            <v>NH03</v>
          </cell>
        </row>
        <row r="85">
          <cell r="A85" t="str">
            <v>NI01</v>
          </cell>
          <cell r="B85" t="str">
            <v>INTEGRATED AUTOMATION SYSTEMS (M) SDN BHD</v>
          </cell>
          <cell r="C85" t="str">
            <v>NI01</v>
          </cell>
        </row>
        <row r="86">
          <cell r="A86" t="str">
            <v>NJ01</v>
          </cell>
          <cell r="B86" t="str">
            <v>JABATAN PENGANGKUTAN JALAN WILAYAH PERSEKUTUAN.</v>
          </cell>
          <cell r="C86" t="str">
            <v>NJ01</v>
          </cell>
        </row>
        <row r="87">
          <cell r="A87" t="str">
            <v>NK01</v>
          </cell>
          <cell r="B87" t="str">
            <v>KOTA RAYA STATIONER</v>
          </cell>
          <cell r="C87" t="str">
            <v>NK01</v>
          </cell>
        </row>
        <row r="88">
          <cell r="A88" t="str">
            <v>NK02</v>
          </cell>
          <cell r="B88" t="str">
            <v>KONNAS AGENCIES TRAVEL SVS SDN .BHD.</v>
          </cell>
          <cell r="C88" t="str">
            <v>NK02</v>
          </cell>
        </row>
        <row r="89">
          <cell r="A89" t="str">
            <v>NK03</v>
          </cell>
          <cell r="B89" t="str">
            <v>KIT LOONG TYRE SERVICE SDN. BHD.</v>
          </cell>
          <cell r="C89" t="str">
            <v>NK03</v>
          </cell>
        </row>
        <row r="90">
          <cell r="A90" t="str">
            <v>NK04</v>
          </cell>
          <cell r="B90" t="str">
            <v>KLINIK KITA AMPANG</v>
          </cell>
          <cell r="C90" t="str">
            <v>NK04</v>
          </cell>
        </row>
        <row r="91">
          <cell r="A91" t="str">
            <v>NK05</v>
          </cell>
          <cell r="B91" t="str">
            <v>KLINIK SAUJANA</v>
          </cell>
          <cell r="C91" t="str">
            <v>NK05</v>
          </cell>
        </row>
        <row r="92">
          <cell r="A92" t="str">
            <v>NK06</v>
          </cell>
          <cell r="B92" t="str">
            <v>KENFIL DISTRIBUTION (M) SDN BHD</v>
          </cell>
          <cell r="C92" t="str">
            <v>NK06</v>
          </cell>
        </row>
        <row r="93">
          <cell r="A93" t="str">
            <v>NK07</v>
          </cell>
          <cell r="B93" t="str">
            <v>K.U. SISTEM SDN. BHD.</v>
          </cell>
          <cell r="C93" t="str">
            <v>NK07</v>
          </cell>
        </row>
        <row r="94">
          <cell r="A94" t="str">
            <v>NL01</v>
          </cell>
          <cell r="B94" t="str">
            <v>LI BIE D' TAILOR</v>
          </cell>
          <cell r="C94" t="str">
            <v>NL01</v>
          </cell>
        </row>
        <row r="95">
          <cell r="A95" t="str">
            <v>NM01</v>
          </cell>
          <cell r="B95" t="str">
            <v>MOBIKOM SDN. BHD</v>
          </cell>
          <cell r="C95" t="str">
            <v>NM01</v>
          </cell>
        </row>
        <row r="96">
          <cell r="A96" t="str">
            <v>NM03</v>
          </cell>
          <cell r="B96" t="str">
            <v>MUTIARA TELECOMMUNICATIONS SDN. BHD.</v>
          </cell>
          <cell r="C96" t="str">
            <v>NM03</v>
          </cell>
        </row>
        <row r="97">
          <cell r="A97" t="str">
            <v>NM04</v>
          </cell>
          <cell r="B97" t="str">
            <v>MULTIPAGE SDN. BHD.</v>
          </cell>
          <cell r="C97" t="str">
            <v>NM04</v>
          </cell>
        </row>
        <row r="98">
          <cell r="A98" t="str">
            <v>NM05</v>
          </cell>
          <cell r="B98" t="str">
            <v>MURAD HASHIM ASSOCIATES SN. BHD.</v>
          </cell>
          <cell r="C98" t="str">
            <v>NM05</v>
          </cell>
        </row>
        <row r="99">
          <cell r="A99" t="str">
            <v>NM06</v>
          </cell>
          <cell r="B99" t="str">
            <v>MITRA MALAYSIA SDN. BHD.</v>
          </cell>
          <cell r="C99" t="str">
            <v>NM06</v>
          </cell>
        </row>
        <row r="100">
          <cell r="A100" t="str">
            <v>NM07</v>
          </cell>
          <cell r="B100" t="str">
            <v>MAXIS COLLECTIONS SDN. BHD.</v>
          </cell>
          <cell r="C100" t="str">
            <v>NM07</v>
          </cell>
        </row>
        <row r="101">
          <cell r="A101" t="str">
            <v>NN01</v>
          </cell>
          <cell r="B101" t="str">
            <v>NEURAL SERVICES SDN. BHD.</v>
          </cell>
          <cell r="C101" t="str">
            <v>NN01</v>
          </cell>
        </row>
        <row r="102">
          <cell r="A102" t="str">
            <v>NP01</v>
          </cell>
          <cell r="B102" t="str">
            <v>PURE WATER (KL) SDN. BHD.</v>
          </cell>
          <cell r="C102" t="str">
            <v>NP01</v>
          </cell>
        </row>
        <row r="103">
          <cell r="A103" t="str">
            <v>NP02</v>
          </cell>
          <cell r="B103" t="str">
            <v>POLIKLINIK KUMPULAN CITY</v>
          </cell>
          <cell r="C103" t="str">
            <v>NP02</v>
          </cell>
        </row>
        <row r="104">
          <cell r="A104" t="str">
            <v>NP03</v>
          </cell>
          <cell r="B104" t="str">
            <v xml:space="preserve">PRO-ULTRA SDN BHD </v>
          </cell>
          <cell r="C104" t="str">
            <v>NP03</v>
          </cell>
        </row>
        <row r="105">
          <cell r="A105" t="str">
            <v>NP04</v>
          </cell>
          <cell r="B105" t="str">
            <v>PNK TRADING AND CONSTRUCTION</v>
          </cell>
          <cell r="C105" t="str">
            <v>NP04</v>
          </cell>
        </row>
        <row r="106">
          <cell r="A106" t="str">
            <v>NP06</v>
          </cell>
          <cell r="B106" t="str">
            <v>DR. FATEH MYDIN DAN RAKAN RAKAN SDN BHD</v>
          </cell>
          <cell r="C106" t="str">
            <v>NP06</v>
          </cell>
        </row>
        <row r="107">
          <cell r="A107" t="str">
            <v>NR01</v>
          </cell>
          <cell r="B107" t="str">
            <v>REPROCOPY SDN BHD.</v>
          </cell>
          <cell r="C107" t="str">
            <v>NR01</v>
          </cell>
        </row>
        <row r="108">
          <cell r="A108" t="str">
            <v>NS01</v>
          </cell>
          <cell r="B108" t="str">
            <v>STAR SECURITY SERVICES SDN. BHD.</v>
          </cell>
          <cell r="C108" t="str">
            <v>NS01</v>
          </cell>
        </row>
        <row r="109">
          <cell r="A109" t="str">
            <v>NS02</v>
          </cell>
          <cell r="B109" t="str">
            <v>SMJ MARKETING (M) SDN. BHD.</v>
          </cell>
          <cell r="C109" t="str">
            <v>NS02</v>
          </cell>
        </row>
        <row r="110">
          <cell r="A110" t="str">
            <v>NS03</v>
          </cell>
          <cell r="B110" t="str">
            <v>SYARIKAT MOTOR &amp; KREDIT K.F. SDN. BHD.</v>
          </cell>
          <cell r="C110" t="str">
            <v>NS03</v>
          </cell>
        </row>
        <row r="111">
          <cell r="A111" t="str">
            <v>NS04</v>
          </cell>
          <cell r="B111" t="str">
            <v>SOON FATT TYPEWRITER SERVICE</v>
          </cell>
          <cell r="C111" t="str">
            <v>NS04</v>
          </cell>
        </row>
        <row r="112">
          <cell r="A112" t="str">
            <v>NS05</v>
          </cell>
          <cell r="B112" t="str">
            <v>S.B FURNITURE</v>
          </cell>
          <cell r="C112" t="str">
            <v>NS05</v>
          </cell>
        </row>
        <row r="113">
          <cell r="A113" t="str">
            <v>NS06</v>
          </cell>
          <cell r="B113" t="str">
            <v>STANSALL (M) SDN BHD</v>
          </cell>
          <cell r="C113" t="str">
            <v>NS06</v>
          </cell>
        </row>
        <row r="114">
          <cell r="A114" t="str">
            <v>NT01</v>
          </cell>
          <cell r="B114" t="str">
            <v>TELEKOM MALAYSIA BERHAD</v>
          </cell>
          <cell r="C114" t="str">
            <v>NT01</v>
          </cell>
        </row>
        <row r="115">
          <cell r="A115" t="str">
            <v>NT02</v>
          </cell>
          <cell r="B115" t="str">
            <v>TRIPATI ENTERPRISE</v>
          </cell>
          <cell r="C115" t="str">
            <v>NT02</v>
          </cell>
        </row>
        <row r="116">
          <cell r="A116" t="str">
            <v>NT03</v>
          </cell>
          <cell r="B116" t="str">
            <v>TELE DYNAMICS SDN. BHD.</v>
          </cell>
          <cell r="C116" t="str">
            <v>NT03</v>
          </cell>
        </row>
        <row r="117">
          <cell r="A117" t="str">
            <v>NT03</v>
          </cell>
          <cell r="B117" t="str">
            <v>TELE DYNAMICS SDN BHD</v>
          </cell>
          <cell r="C117" t="str">
            <v>NT03</v>
          </cell>
        </row>
        <row r="118">
          <cell r="A118" t="str">
            <v>NT04</v>
          </cell>
          <cell r="B118" t="str">
            <v>TENAGA NASIONAL BERHAD</v>
          </cell>
          <cell r="C118" t="str">
            <v>NT04</v>
          </cell>
        </row>
        <row r="119">
          <cell r="A119" t="str">
            <v>NT05</v>
          </cell>
          <cell r="B119" t="str">
            <v>TIMUR CARPARK SDN. BHD.</v>
          </cell>
          <cell r="C119" t="str">
            <v>NT05</v>
          </cell>
        </row>
        <row r="120">
          <cell r="A120" t="str">
            <v>NT06</v>
          </cell>
          <cell r="B120" t="str">
            <v>TRANS-PEST CONTROL SERVICES</v>
          </cell>
          <cell r="C120" t="str">
            <v>NT06</v>
          </cell>
        </row>
        <row r="121">
          <cell r="A121" t="str">
            <v>NT07</v>
          </cell>
          <cell r="B121" t="str">
            <v>TOYO SETSUBI OFFICE SYSTEM SDN BHD</v>
          </cell>
          <cell r="C121" t="str">
            <v>NT07</v>
          </cell>
        </row>
        <row r="122">
          <cell r="A122" t="str">
            <v>NT08</v>
          </cell>
          <cell r="B122" t="str">
            <v>TETRIX SDN BHD</v>
          </cell>
          <cell r="C122" t="str">
            <v>NT08</v>
          </cell>
        </row>
        <row r="123">
          <cell r="A123" t="str">
            <v>NT09</v>
          </cell>
          <cell r="B123" t="str">
            <v xml:space="preserve">TWIN-TY ENTERPRISE </v>
          </cell>
          <cell r="C123" t="str">
            <v>NT09</v>
          </cell>
        </row>
        <row r="124">
          <cell r="A124" t="str">
            <v>NT11</v>
          </cell>
          <cell r="B124" t="str">
            <v>TRAPEZIUM (M) SDN BHD.</v>
          </cell>
          <cell r="C124" t="str">
            <v>NT11</v>
          </cell>
        </row>
        <row r="125">
          <cell r="A125" t="str">
            <v>NU01</v>
          </cell>
          <cell r="B125" t="str">
            <v>UNITED STRAITS FUSO SDN. BHD.</v>
          </cell>
          <cell r="C125" t="str">
            <v>NU01</v>
          </cell>
        </row>
        <row r="126">
          <cell r="A126" t="str">
            <v>NU02</v>
          </cell>
          <cell r="B126" t="str">
            <v>UNITEERS COMMUNICATIONS S/B</v>
          </cell>
          <cell r="C126" t="str">
            <v>NU02</v>
          </cell>
        </row>
        <row r="127">
          <cell r="A127" t="str">
            <v>NU03</v>
          </cell>
          <cell r="B127" t="str">
            <v>UNI INDUSTRIAL &amp; OFFICE SUPPLIES SDN. BHD.</v>
          </cell>
          <cell r="C127" t="str">
            <v>NU03</v>
          </cell>
        </row>
        <row r="128">
          <cell r="A128" t="str">
            <v>NW01</v>
          </cell>
          <cell r="B128" t="str">
            <v>WILLFINE INTERIORS</v>
          </cell>
          <cell r="C128" t="str">
            <v>NW01</v>
          </cell>
        </row>
        <row r="129">
          <cell r="A129" t="str">
            <v>NW02</v>
          </cell>
          <cell r="B129" t="str">
            <v>WYWY (MARKETING) SDN. BHD.</v>
          </cell>
          <cell r="C129" t="str">
            <v>NW02</v>
          </cell>
        </row>
        <row r="130">
          <cell r="A130" t="str">
            <v>NW03</v>
          </cell>
          <cell r="B130" t="str">
            <v>WILLIS FABER (MALAYSIA) S/B</v>
          </cell>
          <cell r="C130" t="str">
            <v>NW03</v>
          </cell>
        </row>
        <row r="131">
          <cell r="A131" t="str">
            <v>NW04</v>
          </cell>
          <cell r="B131" t="str">
            <v>WISMA CENTRAL MANAGEMENT CORPORATION</v>
          </cell>
          <cell r="C131" t="str">
            <v>NW04</v>
          </cell>
        </row>
        <row r="132">
          <cell r="A132" t="str">
            <v>NW05</v>
          </cell>
          <cell r="B132" t="str">
            <v>WYWY PACIFIC SDN BHD</v>
          </cell>
          <cell r="C132" t="str">
            <v>NW05</v>
          </cell>
        </row>
        <row r="133">
          <cell r="A133" t="str">
            <v>NZ01</v>
          </cell>
          <cell r="B133" t="str">
            <v>ZAIKO - KANRI (M) SDN BHD.</v>
          </cell>
          <cell r="C133" t="str">
            <v>NZ01</v>
          </cell>
        </row>
        <row r="134">
          <cell r="A134" t="str">
            <v>ORK01</v>
          </cell>
          <cell r="B134" t="str">
            <v>KELANA HILIR SDN BHD</v>
          </cell>
          <cell r="C134" t="str">
            <v>ORK01</v>
          </cell>
        </row>
        <row r="135">
          <cell r="A135" t="str">
            <v>P</v>
          </cell>
          <cell r="B135" t="str">
            <v>PERCON CORPORATION SDN. BHD.</v>
          </cell>
          <cell r="C135" t="str">
            <v>P</v>
          </cell>
        </row>
        <row r="136">
          <cell r="A136" t="str">
            <v>PA01</v>
          </cell>
          <cell r="B136" t="str">
            <v>AMPERO (M) SDN BHD</v>
          </cell>
          <cell r="C136" t="str">
            <v>PA01</v>
          </cell>
        </row>
        <row r="137">
          <cell r="A137" t="str">
            <v>PC01</v>
          </cell>
          <cell r="B137" t="str">
            <v>CAPITAL BLISS SDN BHD</v>
          </cell>
          <cell r="C137" t="str">
            <v>PC01</v>
          </cell>
        </row>
        <row r="138">
          <cell r="A138" t="str">
            <v>PC02</v>
          </cell>
          <cell r="B138" t="str">
            <v>CE INSTRUMENTS SDN BHD</v>
          </cell>
          <cell r="C138" t="str">
            <v>PC02</v>
          </cell>
        </row>
        <row r="139">
          <cell r="A139" t="str">
            <v>PC03</v>
          </cell>
          <cell r="B139" t="str">
            <v>C.T.A REALTY SDN BHD</v>
          </cell>
          <cell r="C139" t="str">
            <v>PC03</v>
          </cell>
        </row>
        <row r="140">
          <cell r="A140" t="str">
            <v>PC04</v>
          </cell>
          <cell r="B140" t="str">
            <v>CAN PILING &amp; CONSTRUCTION</v>
          </cell>
          <cell r="C140" t="str">
            <v>PC04</v>
          </cell>
        </row>
        <row r="141">
          <cell r="A141" t="str">
            <v>PC05</v>
          </cell>
          <cell r="B141" t="str">
            <v>SYARIKAT PEMBINAAN INDAH</v>
          </cell>
          <cell r="C141" t="str">
            <v>PC05</v>
          </cell>
        </row>
        <row r="142">
          <cell r="A142" t="str">
            <v>PC10</v>
          </cell>
          <cell r="B142" t="str">
            <v>PETTY CASH (HQ)</v>
          </cell>
          <cell r="C142" t="str">
            <v>PC10</v>
          </cell>
        </row>
        <row r="143">
          <cell r="A143" t="str">
            <v>PC20</v>
          </cell>
          <cell r="B143" t="str">
            <v>PETTY CASH (LOT 181)</v>
          </cell>
        </row>
        <row r="144">
          <cell r="A144" t="str">
            <v>PC24</v>
          </cell>
          <cell r="B144" t="str">
            <v>PETTY CASH (UDA)</v>
          </cell>
          <cell r="C144" t="str">
            <v>PC24</v>
          </cell>
        </row>
        <row r="145">
          <cell r="A145" t="str">
            <v>PC26</v>
          </cell>
          <cell r="B145" t="str">
            <v>PETTY CASH (VIADUCT)</v>
          </cell>
          <cell r="C145" t="str">
            <v>PC26</v>
          </cell>
        </row>
        <row r="146">
          <cell r="A146" t="str">
            <v>PC27</v>
          </cell>
          <cell r="B146" t="str">
            <v>PETTY CASH AKLEH-PACKAGE 1</v>
          </cell>
        </row>
        <row r="147">
          <cell r="A147" t="str">
            <v>PDRM</v>
          </cell>
          <cell r="B147" t="str">
            <v>PDRM-KETUA  CAWANGAN TRAFIK</v>
          </cell>
          <cell r="C147" t="str">
            <v>PDRM</v>
          </cell>
        </row>
        <row r="148">
          <cell r="A148" t="str">
            <v>PF01</v>
          </cell>
          <cell r="B148" t="str">
            <v>FOO HUAT SENG SDN BHD</v>
          </cell>
          <cell r="C148" t="str">
            <v>PF01</v>
          </cell>
        </row>
        <row r="149">
          <cell r="A149" t="str">
            <v>PF02</v>
          </cell>
          <cell r="B149" t="str">
            <v>FITRAH ENGINEERING</v>
          </cell>
          <cell r="C149" t="str">
            <v>PF02</v>
          </cell>
        </row>
        <row r="150">
          <cell r="A150" t="str">
            <v>PG01</v>
          </cell>
          <cell r="B150" t="str">
            <v>GEOLAB (M) SDN BHD</v>
          </cell>
          <cell r="C150" t="str">
            <v>PG01</v>
          </cell>
        </row>
        <row r="151">
          <cell r="A151" t="str">
            <v>PG02</v>
          </cell>
          <cell r="B151" t="str">
            <v>GEOSTRENGTH ENGINEERING SDN. BHD.</v>
          </cell>
          <cell r="C151" t="str">
            <v>PG02</v>
          </cell>
        </row>
        <row r="152">
          <cell r="A152" t="str">
            <v>PH01</v>
          </cell>
          <cell r="B152" t="str">
            <v>HULS TECHNOLOGIES (M) SDN BHD</v>
          </cell>
          <cell r="C152" t="str">
            <v>PH01</v>
          </cell>
        </row>
        <row r="153">
          <cell r="A153" t="str">
            <v>PI01</v>
          </cell>
          <cell r="B153" t="str">
            <v>IZOMA SDN BHD</v>
          </cell>
          <cell r="C153" t="str">
            <v>PI01</v>
          </cell>
        </row>
        <row r="154">
          <cell r="A154" t="str">
            <v>PI01</v>
          </cell>
          <cell r="B154" t="str">
            <v>IZOMA SDN BHD</v>
          </cell>
          <cell r="C154" t="str">
            <v>PI01</v>
          </cell>
        </row>
        <row r="155">
          <cell r="A155" t="str">
            <v>PI02</v>
          </cell>
          <cell r="B155" t="str">
            <v>IZOMA SDN. BHD.</v>
          </cell>
          <cell r="C155" t="str">
            <v>PI02</v>
          </cell>
        </row>
        <row r="156">
          <cell r="A156" t="str">
            <v>PJ01</v>
          </cell>
          <cell r="B156" t="str">
            <v>JURUKUR PERUNDING SERVICES</v>
          </cell>
          <cell r="C156" t="str">
            <v>PJ01</v>
          </cell>
        </row>
        <row r="157">
          <cell r="A157" t="str">
            <v>PJ01</v>
          </cell>
          <cell r="B157" t="str">
            <v>JURUKUR PERUNDING SERVICES</v>
          </cell>
          <cell r="C157" t="str">
            <v>PJ01</v>
          </cell>
        </row>
        <row r="158">
          <cell r="A158" t="str">
            <v>PK01</v>
          </cell>
          <cell r="B158" t="str">
            <v>KELPILE SDN BHD</v>
          </cell>
          <cell r="C158" t="str">
            <v>PK01</v>
          </cell>
        </row>
        <row r="159">
          <cell r="A159" t="str">
            <v>PK01</v>
          </cell>
          <cell r="B159" t="str">
            <v>KELPILE SDN. BHD.</v>
          </cell>
          <cell r="C159" t="str">
            <v>PK01</v>
          </cell>
        </row>
        <row r="160">
          <cell r="A160" t="str">
            <v>PK02</v>
          </cell>
          <cell r="B160" t="str">
            <v>KETARA TIMOR SDN BHD</v>
          </cell>
          <cell r="C160" t="str">
            <v>PK02</v>
          </cell>
        </row>
        <row r="161">
          <cell r="A161" t="str">
            <v>PK03</v>
          </cell>
          <cell r="B161" t="str">
            <v>KR CONSTRUCTION SDN . BHD.</v>
          </cell>
          <cell r="C161" t="str">
            <v>PK03</v>
          </cell>
        </row>
        <row r="162">
          <cell r="A162" t="str">
            <v>PK04</v>
          </cell>
          <cell r="B162" t="str">
            <v>KARLIN BIN SABAR</v>
          </cell>
          <cell r="C162" t="str">
            <v>PK04</v>
          </cell>
        </row>
        <row r="163">
          <cell r="A163" t="str">
            <v>PK04</v>
          </cell>
          <cell r="B163" t="str">
            <v>KARLIN BIN SABAR</v>
          </cell>
          <cell r="C163" t="str">
            <v>PK04</v>
          </cell>
        </row>
        <row r="164">
          <cell r="A164" t="str">
            <v>PK05</v>
          </cell>
          <cell r="B164" t="str">
            <v>KGD BUILDERS SDN BHD</v>
          </cell>
          <cell r="C164" t="str">
            <v>PK05</v>
          </cell>
        </row>
        <row r="165">
          <cell r="A165" t="str">
            <v>PL01</v>
          </cell>
          <cell r="B165" t="str">
            <v>L &amp; M STRUCTURES SDN BHD</v>
          </cell>
          <cell r="C165" t="str">
            <v>PL01</v>
          </cell>
        </row>
        <row r="166">
          <cell r="A166" t="str">
            <v>PM01</v>
          </cell>
          <cell r="B166" t="str">
            <v>MATRIX TRADING &amp; CONSTRUCTION</v>
          </cell>
          <cell r="C166" t="str">
            <v>PM01</v>
          </cell>
        </row>
        <row r="167">
          <cell r="A167" t="str">
            <v>PM01</v>
          </cell>
          <cell r="B167" t="str">
            <v>MATRIX TRADING &amp; CONSTRUCTION</v>
          </cell>
          <cell r="C167" t="str">
            <v>PM01</v>
          </cell>
        </row>
        <row r="168">
          <cell r="A168" t="str">
            <v>PM02</v>
          </cell>
          <cell r="B168" t="str">
            <v>MOHAMAD BASRI B SAID</v>
          </cell>
          <cell r="C168" t="str">
            <v>PM02</v>
          </cell>
        </row>
        <row r="169">
          <cell r="A169" t="str">
            <v>PM03</v>
          </cell>
          <cell r="B169" t="str">
            <v>MATRIX TRADING &amp; CONSTRUCTION</v>
          </cell>
          <cell r="C169" t="str">
            <v>PM03</v>
          </cell>
        </row>
        <row r="170">
          <cell r="A170" t="str">
            <v>PM04</v>
          </cell>
          <cell r="B170" t="str">
            <v>MATRIX TRADING AND CONSTRUCTION</v>
          </cell>
          <cell r="C170" t="str">
            <v>PM04</v>
          </cell>
        </row>
        <row r="171">
          <cell r="A171" t="str">
            <v>PM05</v>
          </cell>
          <cell r="B171" t="str">
            <v>MASTER BUILDERS TECHNOLOGIES</v>
          </cell>
          <cell r="C171" t="str">
            <v>PM05</v>
          </cell>
        </row>
        <row r="172">
          <cell r="A172" t="str">
            <v>PM06</v>
          </cell>
          <cell r="B172" t="str">
            <v>MATERIALS TESTING LABORATORY</v>
          </cell>
          <cell r="C172" t="str">
            <v>PM06</v>
          </cell>
        </row>
        <row r="173">
          <cell r="A173" t="str">
            <v>PM07</v>
          </cell>
          <cell r="B173" t="str">
            <v>MOHD. ANUAR OSMAN</v>
          </cell>
          <cell r="C173" t="str">
            <v>PM07</v>
          </cell>
        </row>
        <row r="174">
          <cell r="A174" t="str">
            <v>PM07</v>
          </cell>
          <cell r="B174" t="str">
            <v>MOHD. ANUAR BIN OSMAN</v>
          </cell>
          <cell r="C174" t="str">
            <v>PM07</v>
          </cell>
        </row>
        <row r="175">
          <cell r="A175" t="str">
            <v>PM08</v>
          </cell>
          <cell r="B175" t="str">
            <v>MAJUMEC BINA SDN. BHD.</v>
          </cell>
          <cell r="C175" t="str">
            <v>PM08</v>
          </cell>
        </row>
        <row r="176">
          <cell r="A176" t="str">
            <v>PM09</v>
          </cell>
          <cell r="B176" t="str">
            <v>MUCHAMAD MUJI BIN NURKASIM</v>
          </cell>
          <cell r="C176" t="str">
            <v>PM09</v>
          </cell>
        </row>
        <row r="177">
          <cell r="A177" t="str">
            <v>PN01</v>
          </cell>
          <cell r="B177" t="str">
            <v>NAZ'S CONSTRUCTION</v>
          </cell>
          <cell r="C177" t="str">
            <v>PN01</v>
          </cell>
        </row>
        <row r="178">
          <cell r="A178" t="str">
            <v>pnb</v>
          </cell>
          <cell r="B178" t="str">
            <v>PERMODALAN NASIONAL BERHAD</v>
          </cell>
          <cell r="C178" t="str">
            <v>PN02</v>
          </cell>
        </row>
        <row r="179">
          <cell r="A179" t="str">
            <v>PNM</v>
          </cell>
          <cell r="B179" t="str">
            <v>PNM MARKETING &amp; CONSULTANCY SERVICES</v>
          </cell>
          <cell r="C179" t="str">
            <v>PNM</v>
          </cell>
        </row>
        <row r="180">
          <cell r="A180" t="str">
            <v>PP01</v>
          </cell>
          <cell r="B180" t="str">
            <v>PREBORE PILING &amp; ENG. SDN BHD</v>
          </cell>
          <cell r="C180" t="str">
            <v>PP01</v>
          </cell>
        </row>
        <row r="181">
          <cell r="A181" t="str">
            <v>PP02</v>
          </cell>
          <cell r="B181" t="str">
            <v>PEMBINAAN KCG SDN BHD</v>
          </cell>
          <cell r="C181" t="str">
            <v>PP02</v>
          </cell>
        </row>
        <row r="182">
          <cell r="A182" t="str">
            <v>PP02</v>
          </cell>
          <cell r="B182" t="str">
            <v>P.L.L. CONSTRUCTION SDN. BHD.</v>
          </cell>
          <cell r="C182" t="str">
            <v>PP02</v>
          </cell>
        </row>
        <row r="183">
          <cell r="A183" t="str">
            <v>PP02</v>
          </cell>
          <cell r="B183" t="str">
            <v>PEMBINAAN KCG SDN. BHD.</v>
          </cell>
          <cell r="C183" t="str">
            <v>PP02</v>
          </cell>
        </row>
        <row r="184">
          <cell r="A184" t="str">
            <v>PP03</v>
          </cell>
          <cell r="B184" t="str">
            <v>PLL CONSTRUCTION SDN. BHD.</v>
          </cell>
          <cell r="C184" t="str">
            <v>PP03</v>
          </cell>
        </row>
        <row r="185">
          <cell r="A185" t="str">
            <v>PP04</v>
          </cell>
          <cell r="B185" t="str">
            <v>PEMBINAAN NILAM (M) SDN. BHD.</v>
          </cell>
          <cell r="C185" t="str">
            <v>PP04</v>
          </cell>
        </row>
        <row r="186">
          <cell r="A186" t="str">
            <v>PPSB-01</v>
          </cell>
          <cell r="B186" t="str">
            <v>PERCON PILING SDN BHD- BBMB A/C 011110095332</v>
          </cell>
          <cell r="C186" t="str">
            <v>PPSB-01</v>
          </cell>
        </row>
        <row r="187">
          <cell r="A187" t="str">
            <v>PQ01</v>
          </cell>
          <cell r="B187" t="str">
            <v>ONG PILING CO.</v>
          </cell>
          <cell r="C187" t="str">
            <v>PQ01</v>
          </cell>
        </row>
        <row r="188">
          <cell r="A188" t="str">
            <v>PQ01</v>
          </cell>
          <cell r="B188" t="str">
            <v>ONG PILING CO.</v>
          </cell>
          <cell r="C188" t="str">
            <v>PQ01</v>
          </cell>
        </row>
        <row r="189">
          <cell r="A189" t="str">
            <v>PQ02</v>
          </cell>
          <cell r="B189" t="str">
            <v>ONG PILING CO</v>
          </cell>
          <cell r="C189" t="str">
            <v>PQ02</v>
          </cell>
        </row>
        <row r="190">
          <cell r="A190" t="str">
            <v>PR01</v>
          </cell>
          <cell r="B190" t="str">
            <v>RNC TOTAL CORROSION CONTROL SDN BHD</v>
          </cell>
          <cell r="C190" t="str">
            <v>PR01</v>
          </cell>
        </row>
        <row r="191">
          <cell r="A191" t="str">
            <v>PS01</v>
          </cell>
          <cell r="B191" t="str">
            <v>SINARAN UNIK SDN BHD</v>
          </cell>
          <cell r="C191" t="str">
            <v>PS01</v>
          </cell>
        </row>
        <row r="192">
          <cell r="A192" t="str">
            <v>PS01</v>
          </cell>
          <cell r="B192" t="str">
            <v>SINARAN UNIK SDN BHD</v>
          </cell>
          <cell r="C192" t="str">
            <v>PS01</v>
          </cell>
        </row>
        <row r="193">
          <cell r="A193" t="str">
            <v>PS01</v>
          </cell>
          <cell r="B193" t="str">
            <v>SINARAN UNIK SDN. BHD.</v>
          </cell>
          <cell r="C193" t="str">
            <v>PS01</v>
          </cell>
        </row>
        <row r="194">
          <cell r="A194" t="str">
            <v>PS01</v>
          </cell>
          <cell r="B194" t="str">
            <v>SINARAN UNIK SDN. BHD.</v>
          </cell>
          <cell r="C194" t="str">
            <v>PS01</v>
          </cell>
        </row>
        <row r="195">
          <cell r="A195" t="str">
            <v>PS02</v>
          </cell>
          <cell r="B195" t="str">
            <v>SINKI PILING ENGINEERING S/B</v>
          </cell>
          <cell r="C195" t="str">
            <v>PS02</v>
          </cell>
        </row>
        <row r="196">
          <cell r="A196" t="str">
            <v>PS03</v>
          </cell>
          <cell r="B196" t="str">
            <v>SHINEI GEOTECHNIQUE (M) S. BHD</v>
          </cell>
          <cell r="C196" t="str">
            <v>PS03</v>
          </cell>
        </row>
        <row r="197">
          <cell r="A197" t="str">
            <v>PS03</v>
          </cell>
          <cell r="B197" t="str">
            <v>SHINEI GEOTECHNIQUE (M) SDN BHD</v>
          </cell>
          <cell r="C197" t="str">
            <v>PS03</v>
          </cell>
        </row>
        <row r="198">
          <cell r="A198" t="str">
            <v>PS04</v>
          </cell>
          <cell r="B198" t="str">
            <v>SIA KIM TOH &amp; SONSN PILING</v>
          </cell>
          <cell r="C198" t="str">
            <v>PS04</v>
          </cell>
        </row>
        <row r="199">
          <cell r="A199" t="str">
            <v>PT01</v>
          </cell>
          <cell r="B199" t="str">
            <v>TUAS ENTERPRISE</v>
          </cell>
          <cell r="C199" t="str">
            <v>PT01</v>
          </cell>
        </row>
        <row r="200">
          <cell r="A200" t="str">
            <v>PT02</v>
          </cell>
          <cell r="B200" t="str">
            <v>TKH CONSTRUCTION SDN. BHD</v>
          </cell>
          <cell r="C200" t="str">
            <v>PT02</v>
          </cell>
        </row>
        <row r="201">
          <cell r="A201" t="str">
            <v>PT03</v>
          </cell>
          <cell r="B201" t="str">
            <v>TR PILING &amp; CONSTRUCTION SDN. BHD.</v>
          </cell>
          <cell r="C201" t="str">
            <v>PT03</v>
          </cell>
        </row>
        <row r="202">
          <cell r="A202" t="str">
            <v>PU01</v>
          </cell>
          <cell r="B202" t="str">
            <v>URUS UKUR CONSULTANT</v>
          </cell>
          <cell r="C202" t="str">
            <v>PU01</v>
          </cell>
        </row>
        <row r="203">
          <cell r="A203" t="str">
            <v>PU02</v>
          </cell>
          <cell r="B203" t="str">
            <v>U&amp;P ENGINEERING SDN. BHD.</v>
          </cell>
          <cell r="C203" t="str">
            <v>PU02</v>
          </cell>
        </row>
        <row r="204">
          <cell r="A204" t="str">
            <v>PU02</v>
          </cell>
          <cell r="B204" t="str">
            <v>U &amp; P ENGINEERING SDN. BHD.</v>
          </cell>
          <cell r="C204" t="str">
            <v>PU02</v>
          </cell>
        </row>
        <row r="205">
          <cell r="A205" t="str">
            <v>PU03</v>
          </cell>
          <cell r="B205" t="str">
            <v>UNITED SPECIALIST CONTRACTOR</v>
          </cell>
          <cell r="C205" t="str">
            <v>PU03</v>
          </cell>
        </row>
        <row r="206">
          <cell r="A206" t="str">
            <v>PV01</v>
          </cell>
          <cell r="B206" t="str">
            <v>VIBREX ENGINEERING SDN BHD</v>
          </cell>
          <cell r="C206" t="str">
            <v>PV01</v>
          </cell>
        </row>
        <row r="207">
          <cell r="A207" t="str">
            <v>PV02</v>
          </cell>
          <cell r="B207" t="str">
            <v>V.PILE SYSTEM SDN BHD</v>
          </cell>
          <cell r="C207" t="str">
            <v>PV02</v>
          </cell>
        </row>
        <row r="208">
          <cell r="A208" t="str">
            <v>PV02</v>
          </cell>
          <cell r="B208" t="str">
            <v>V - PILE SYSTEM SDN. BHD.</v>
          </cell>
          <cell r="C208" t="str">
            <v>PV02</v>
          </cell>
        </row>
        <row r="209">
          <cell r="A209" t="str">
            <v>PW01</v>
          </cell>
          <cell r="B209" t="str">
            <v>W.T. CONSTRUCTION</v>
          </cell>
          <cell r="C209" t="str">
            <v>PW01</v>
          </cell>
        </row>
        <row r="210">
          <cell r="A210" t="str">
            <v>QR01</v>
          </cell>
          <cell r="B210" t="str">
            <v xml:space="preserve">RUBEN GIMONE </v>
          </cell>
          <cell r="C210" t="str">
            <v>QR01</v>
          </cell>
        </row>
        <row r="211">
          <cell r="A211" t="str">
            <v>QS01</v>
          </cell>
          <cell r="B211" t="str">
            <v>SYLSTINA SYLVESTER</v>
          </cell>
          <cell r="C211" t="str">
            <v>QS01</v>
          </cell>
        </row>
        <row r="212">
          <cell r="A212" t="str">
            <v>QS02</v>
          </cell>
          <cell r="B212" t="str">
            <v>SUWANDE - PASPORT NO. XA 811677</v>
          </cell>
          <cell r="C212" t="str">
            <v>QS02</v>
          </cell>
        </row>
        <row r="213">
          <cell r="A213" t="str">
            <v>QT01</v>
          </cell>
          <cell r="B213" t="str">
            <v xml:space="preserve">THAM TUCK WAH </v>
          </cell>
          <cell r="C213" t="str">
            <v>QT01</v>
          </cell>
        </row>
        <row r="214">
          <cell r="A214" t="str">
            <v>RA01</v>
          </cell>
          <cell r="B214" t="str">
            <v>ARSHAD HAMIDY HJ ASAAD</v>
          </cell>
          <cell r="C214" t="str">
            <v>RA01</v>
          </cell>
        </row>
        <row r="215">
          <cell r="A215" t="str">
            <v>RB01</v>
          </cell>
          <cell r="B215" t="str">
            <v>BAYALAND CORPORATION SDN BHD</v>
          </cell>
          <cell r="C215" t="str">
            <v>RB01</v>
          </cell>
        </row>
        <row r="216">
          <cell r="A216" t="str">
            <v>RD01</v>
          </cell>
          <cell r="B216" t="str">
            <v>DR. SWARAN SINGH</v>
          </cell>
          <cell r="C216" t="str">
            <v>RD01</v>
          </cell>
        </row>
        <row r="217">
          <cell r="A217" t="str">
            <v>RE01</v>
          </cell>
          <cell r="B217" t="str">
            <v>EINS (M) SDN BHD</v>
          </cell>
          <cell r="C217" t="str">
            <v>RE01</v>
          </cell>
        </row>
        <row r="218">
          <cell r="A218" t="str">
            <v>RK01</v>
          </cell>
          <cell r="B218" t="str">
            <v>KELANA HILIR SDN. BHD.</v>
          </cell>
          <cell r="C218" t="str">
            <v>RK01</v>
          </cell>
        </row>
        <row r="219">
          <cell r="A219" t="str">
            <v>RK02</v>
          </cell>
          <cell r="B219" t="str">
            <v xml:space="preserve">KHOO PEK LAIN @ KHOO PEK LIAN </v>
          </cell>
          <cell r="C219" t="str">
            <v>RK02</v>
          </cell>
        </row>
        <row r="220">
          <cell r="A220" t="str">
            <v>RL01</v>
          </cell>
          <cell r="B220" t="str">
            <v xml:space="preserve">LOW MEE NOY </v>
          </cell>
          <cell r="C220" t="str">
            <v>RL01</v>
          </cell>
        </row>
        <row r="221">
          <cell r="A221" t="str">
            <v>RL02</v>
          </cell>
          <cell r="B221" t="str">
            <v>LEE CHAI JOON, A/C NO.S/001/007613/0</v>
          </cell>
          <cell r="C221" t="str">
            <v>RL02</v>
          </cell>
        </row>
        <row r="222">
          <cell r="A222" t="str">
            <v>RL03</v>
          </cell>
          <cell r="B222" t="str">
            <v>LIM CHANG CHING</v>
          </cell>
          <cell r="C222" t="str">
            <v>RL03</v>
          </cell>
        </row>
        <row r="223">
          <cell r="A223" t="str">
            <v>RM02</v>
          </cell>
          <cell r="B223" t="str">
            <v>M-D RENT A CAR SDN. BHD.</v>
          </cell>
          <cell r="C223" t="str">
            <v>RM02</v>
          </cell>
        </row>
        <row r="224">
          <cell r="A224" t="str">
            <v>RN01</v>
          </cell>
          <cell r="B224" t="str">
            <v>NG LAI HOCK</v>
          </cell>
        </row>
        <row r="225">
          <cell r="A225" t="str">
            <v>RR01</v>
          </cell>
          <cell r="B225" t="str">
            <v>ROSLAN BIN JAMALUDIN</v>
          </cell>
          <cell r="C225" t="str">
            <v>RR01</v>
          </cell>
        </row>
        <row r="226">
          <cell r="A226" t="str">
            <v>RU01</v>
          </cell>
          <cell r="B226" t="str">
            <v>UDA HOLDINGS SDN. BHD.</v>
          </cell>
          <cell r="C226" t="str">
            <v>RU01</v>
          </cell>
        </row>
        <row r="227">
          <cell r="A227" t="str">
            <v>RU02</v>
          </cell>
          <cell r="B227" t="str">
            <v>URUS BANGUNAN SDN. BHD.</v>
          </cell>
          <cell r="C227" t="str">
            <v>UB</v>
          </cell>
        </row>
        <row r="228">
          <cell r="A228" t="str">
            <v>RW01</v>
          </cell>
          <cell r="B228" t="str">
            <v xml:space="preserve">WETEX FURNITURE MFRS SDN. BHD. </v>
          </cell>
          <cell r="C228" t="str">
            <v>RW01</v>
          </cell>
        </row>
        <row r="229">
          <cell r="A229" t="str">
            <v>RW02</v>
          </cell>
          <cell r="B229" t="str">
            <v>WAN AZIZAH WAN YUSOF</v>
          </cell>
          <cell r="C229" t="str">
            <v>RW02</v>
          </cell>
        </row>
        <row r="230">
          <cell r="A230" t="str">
            <v>SAM</v>
          </cell>
          <cell r="B230" t="str">
            <v>SHAMSUL AMRI SHAMSUDIN</v>
          </cell>
          <cell r="C230" t="str">
            <v>SAM</v>
          </cell>
        </row>
        <row r="231">
          <cell r="A231" t="str">
            <v>SK</v>
          </cell>
          <cell r="B231" t="str">
            <v>SKRINE &amp; CO.</v>
          </cell>
          <cell r="C231" t="str">
            <v>SK</v>
          </cell>
        </row>
        <row r="232">
          <cell r="A232" t="str">
            <v>SOCSO</v>
          </cell>
          <cell r="B232" t="str">
            <v>PERTUBUHAN KESELAMATAN SOSIAL</v>
          </cell>
          <cell r="C232" t="str">
            <v>SOCSO</v>
          </cell>
        </row>
        <row r="233">
          <cell r="A233" t="str">
            <v>STM01</v>
          </cell>
          <cell r="B233" t="str">
            <v xml:space="preserve">MOHD. NOOR YIED </v>
          </cell>
          <cell r="C233" t="str">
            <v>TEL01</v>
          </cell>
        </row>
        <row r="234">
          <cell r="A234" t="str">
            <v>SY</v>
          </cell>
          <cell r="B234" t="str">
            <v>SYED MOHAMED B. SYED HUSSIN</v>
          </cell>
          <cell r="C234" t="str">
            <v>SY</v>
          </cell>
        </row>
        <row r="235">
          <cell r="A235" t="str">
            <v>T</v>
          </cell>
          <cell r="B235" t="str">
            <v>TULISMA SDN. BHD.</v>
          </cell>
          <cell r="C235" t="str">
            <v>T</v>
          </cell>
        </row>
        <row r="236">
          <cell r="A236" t="str">
            <v>TA01</v>
          </cell>
          <cell r="B236" t="str">
            <v>ALPHA SUN SDN BHD</v>
          </cell>
          <cell r="C236" t="str">
            <v>TA01</v>
          </cell>
        </row>
        <row r="237">
          <cell r="A237" t="str">
            <v>TA02</v>
          </cell>
          <cell r="B237" t="str">
            <v>AMERICAN DRILING SUPPLIERS P/T</v>
          </cell>
          <cell r="C237" t="str">
            <v>TA02</v>
          </cell>
        </row>
        <row r="238">
          <cell r="A238" t="str">
            <v>TA03</v>
          </cell>
          <cell r="B238" t="str">
            <v>AR SAINTIFIK SDN BHD</v>
          </cell>
          <cell r="C238" t="str">
            <v>TA03</v>
          </cell>
        </row>
        <row r="239">
          <cell r="A239" t="str">
            <v>TA04</v>
          </cell>
          <cell r="B239" t="str">
            <v>ARTHUR ANDERSEN HRM (TAX SERVICES) S/BHD</v>
          </cell>
          <cell r="C239" t="str">
            <v>TA04</v>
          </cell>
        </row>
        <row r="240">
          <cell r="A240" t="str">
            <v>TA05</v>
          </cell>
          <cell r="B240" t="str">
            <v>AMANAH MERCHANT BANK BERHAD</v>
          </cell>
          <cell r="C240" t="str">
            <v>TA05</v>
          </cell>
        </row>
        <row r="241">
          <cell r="A241" t="str">
            <v>TA06</v>
          </cell>
          <cell r="B241" t="str">
            <v>AZIZAH MOHD NOOR</v>
          </cell>
          <cell r="C241" t="str">
            <v>TA06</v>
          </cell>
        </row>
        <row r="242">
          <cell r="A242" t="str">
            <v>TA07</v>
          </cell>
          <cell r="B242" t="str">
            <v>AMAL AGENCY</v>
          </cell>
          <cell r="C242" t="str">
            <v>TA07</v>
          </cell>
        </row>
        <row r="243">
          <cell r="A243" t="str">
            <v>TA08</v>
          </cell>
          <cell r="B243" t="str">
            <v>AGGREGATE MARKETING SDN BHD</v>
          </cell>
          <cell r="C243" t="str">
            <v>TA08</v>
          </cell>
        </row>
        <row r="244">
          <cell r="A244" t="str">
            <v>TA09</v>
          </cell>
          <cell r="B244" t="str">
            <v>SYARIKAT AKISEV PERTAMA</v>
          </cell>
          <cell r="C244" t="str">
            <v>TA09</v>
          </cell>
        </row>
        <row r="245">
          <cell r="A245" t="str">
            <v>TA10</v>
          </cell>
          <cell r="B245" t="str">
            <v>AUTOXPORTS SDN. BHD.</v>
          </cell>
          <cell r="C245" t="str">
            <v>TA10</v>
          </cell>
        </row>
        <row r="246">
          <cell r="A246" t="str">
            <v>TA11</v>
          </cell>
          <cell r="B246" t="str">
            <v>ARTWRIGHT MARKETING SDN. BHD.</v>
          </cell>
          <cell r="C246" t="str">
            <v>TA11</v>
          </cell>
        </row>
        <row r="247">
          <cell r="A247" t="str">
            <v>TA12</v>
          </cell>
          <cell r="B247" t="str">
            <v>AIKHENG MARKETING SDN. BHD.</v>
          </cell>
          <cell r="C247" t="str">
            <v>TA12</v>
          </cell>
        </row>
        <row r="248">
          <cell r="A248" t="str">
            <v>TA13</v>
          </cell>
          <cell r="B248" t="str">
            <v>AYS MARKETING SDN. BHD.</v>
          </cell>
          <cell r="C248" t="str">
            <v>TA13</v>
          </cell>
        </row>
        <row r="249">
          <cell r="A249" t="str">
            <v>TA14</v>
          </cell>
          <cell r="B249" t="str">
            <v>ASIAGROUP SDN. BHD.</v>
          </cell>
          <cell r="C249" t="str">
            <v>TA14</v>
          </cell>
        </row>
        <row r="250">
          <cell r="A250" t="str">
            <v>TA15</v>
          </cell>
          <cell r="B250" t="str">
            <v>ARAH JOINT SDN. BHD.</v>
          </cell>
          <cell r="C250" t="str">
            <v>TA15</v>
          </cell>
        </row>
        <row r="251">
          <cell r="A251" t="str">
            <v>TA16</v>
          </cell>
          <cell r="B251" t="str">
            <v>AIRMAN INDUSTRIAL MARKETING</v>
          </cell>
          <cell r="C251" t="str">
            <v>TA16</v>
          </cell>
        </row>
        <row r="252">
          <cell r="A252" t="str">
            <v>TA17</v>
          </cell>
          <cell r="B252" t="str">
            <v>ANN YAK SIONG HARDWARE SDN BHD.</v>
          </cell>
          <cell r="C252" t="str">
            <v>TA17</v>
          </cell>
        </row>
        <row r="253">
          <cell r="A253" t="str">
            <v>TA18</v>
          </cell>
          <cell r="B253" t="str">
            <v xml:space="preserve">ADLEEN ENTERPRISE </v>
          </cell>
          <cell r="C253" t="str">
            <v>TA18</v>
          </cell>
        </row>
        <row r="254">
          <cell r="A254" t="str">
            <v>TA19</v>
          </cell>
          <cell r="B254" t="str">
            <v>AGE INDUSTRIES &amp; TRADING SDN.BHD</v>
          </cell>
          <cell r="C254" t="str">
            <v>TA19</v>
          </cell>
        </row>
        <row r="255">
          <cell r="A255" t="str">
            <v>TA20</v>
          </cell>
          <cell r="B255" t="str">
            <v>ALIRAN PUSAKA SDN.BHD.</v>
          </cell>
          <cell r="C255" t="str">
            <v>TA20</v>
          </cell>
        </row>
        <row r="256">
          <cell r="A256" t="str">
            <v>TA21</v>
          </cell>
          <cell r="B256" t="str">
            <v>AQUACUT SDN BHD</v>
          </cell>
          <cell r="C256" t="str">
            <v>TA21</v>
          </cell>
        </row>
        <row r="257">
          <cell r="A257" t="str">
            <v>TB01</v>
          </cell>
          <cell r="B257" t="str">
            <v>BORED PILING (M) SDN BHD</v>
          </cell>
          <cell r="C257" t="str">
            <v>TB01</v>
          </cell>
        </row>
        <row r="258">
          <cell r="A258" t="str">
            <v>TB02</v>
          </cell>
          <cell r="B258" t="str">
            <v>BARNSBURRY (M) SDN BHD</v>
          </cell>
          <cell r="C258" t="str">
            <v>TB02</v>
          </cell>
        </row>
        <row r="259">
          <cell r="A259" t="str">
            <v>TB03</v>
          </cell>
          <cell r="B259" t="str">
            <v>BENG SOON ENTERPRISE</v>
          </cell>
          <cell r="C259" t="str">
            <v>TB03</v>
          </cell>
        </row>
        <row r="260">
          <cell r="A260" t="str">
            <v>TB04</v>
          </cell>
          <cell r="B260" t="str">
            <v>BLAZE CONSTRUCTION SDN BHD</v>
          </cell>
          <cell r="C260" t="str">
            <v>TB04</v>
          </cell>
        </row>
        <row r="261">
          <cell r="A261" t="str">
            <v>TB05</v>
          </cell>
          <cell r="B261" t="str">
            <v>BENAR ANTARA SDN. BHD.</v>
          </cell>
          <cell r="C261" t="str">
            <v>TB05</v>
          </cell>
        </row>
        <row r="262">
          <cell r="A262" t="str">
            <v>TB06</v>
          </cell>
          <cell r="B262" t="str">
            <v>BORAL CONCRETE (MALAYSIA) S/B</v>
          </cell>
          <cell r="C262" t="str">
            <v>TB06</v>
          </cell>
        </row>
        <row r="263">
          <cell r="A263" t="str">
            <v>TB07</v>
          </cell>
          <cell r="B263" t="str">
            <v>BIZFIELD RESOURCES SDN BHD</v>
          </cell>
          <cell r="C263" t="str">
            <v>TB07</v>
          </cell>
        </row>
        <row r="264">
          <cell r="A264" t="str">
            <v>TB08</v>
          </cell>
          <cell r="B264" t="str">
            <v>BINALIA MARKETING SDN BHD</v>
          </cell>
          <cell r="C264" t="str">
            <v>TB08</v>
          </cell>
        </row>
        <row r="265">
          <cell r="A265" t="str">
            <v>TB09</v>
          </cell>
          <cell r="B265" t="str">
            <v>BESCERAH SDN BHD</v>
          </cell>
          <cell r="C265" t="str">
            <v>TB09</v>
          </cell>
        </row>
        <row r="266">
          <cell r="A266" t="str">
            <v>TB10</v>
          </cell>
          <cell r="B266" t="str">
            <v>BOON HUAT SENG CONSTRUCTION &amp; TRADING CO,.</v>
          </cell>
          <cell r="C266" t="str">
            <v>TB10</v>
          </cell>
        </row>
        <row r="267">
          <cell r="A267" t="str">
            <v>TB11</v>
          </cell>
          <cell r="B267" t="str">
            <v>BUILDCON CONCRETE SDN. BHD.</v>
          </cell>
          <cell r="C267" t="str">
            <v>TB11</v>
          </cell>
        </row>
        <row r="268">
          <cell r="A268" t="str">
            <v>TB13</v>
          </cell>
          <cell r="B268" t="str">
            <v>BUILDTECH INDUSTRIES</v>
          </cell>
          <cell r="C268" t="str">
            <v>TB13</v>
          </cell>
        </row>
        <row r="269">
          <cell r="A269" t="str">
            <v>TB14</v>
          </cell>
          <cell r="B269" t="str">
            <v>SALEH MAT DESA</v>
          </cell>
          <cell r="C269" t="str">
            <v>TB14</v>
          </cell>
        </row>
        <row r="270">
          <cell r="A270" t="str">
            <v>TB15</v>
          </cell>
          <cell r="B270" t="str">
            <v>BAUER EQUIPMENT (MALAYSIA) SDN. BHD.</v>
          </cell>
          <cell r="C270" t="str">
            <v>TB15</v>
          </cell>
        </row>
        <row r="271">
          <cell r="A271" t="str">
            <v>TB16</v>
          </cell>
          <cell r="B271" t="str">
            <v>BUMIMEDIC (M) SDN BHD</v>
          </cell>
        </row>
        <row r="272">
          <cell r="A272" t="str">
            <v>TB17</v>
          </cell>
          <cell r="B272" t="str">
            <v>BESTLITE ELECTRICAL SDN.BHD.</v>
          </cell>
        </row>
        <row r="273">
          <cell r="A273" t="str">
            <v>TB18</v>
          </cell>
          <cell r="B273" t="str">
            <v>BRIGHT EXCAVATION &amp; CONSTRUCTION</v>
          </cell>
        </row>
        <row r="274">
          <cell r="A274" t="str">
            <v>TC01</v>
          </cell>
          <cell r="B274" t="str">
            <v>CHEW HENG ENGINEERING WORKS</v>
          </cell>
          <cell r="C274" t="str">
            <v>TC01</v>
          </cell>
        </row>
        <row r="275">
          <cell r="A275" t="str">
            <v>TC02</v>
          </cell>
          <cell r="B275" t="str">
            <v>COMSYSLINE SDN BHD</v>
          </cell>
          <cell r="C275" t="str">
            <v>TC02</v>
          </cell>
        </row>
        <row r="276">
          <cell r="A276" t="str">
            <v>TC03</v>
          </cell>
          <cell r="B276" t="str">
            <v>CMS MACHINERY TRADING</v>
          </cell>
          <cell r="C276" t="str">
            <v>TC03</v>
          </cell>
        </row>
        <row r="277">
          <cell r="A277" t="str">
            <v>TC04</v>
          </cell>
          <cell r="B277" t="str">
            <v>COPIERTECH SDN BHD</v>
          </cell>
          <cell r="C277" t="str">
            <v>TC04</v>
          </cell>
        </row>
        <row r="278">
          <cell r="A278" t="str">
            <v>TC05</v>
          </cell>
          <cell r="B278" t="str">
            <v>CONSTEEL MARKETING SDN BHD</v>
          </cell>
          <cell r="C278" t="str">
            <v>TC05</v>
          </cell>
        </row>
        <row r="279">
          <cell r="A279" t="str">
            <v>TC06</v>
          </cell>
          <cell r="B279" t="str">
            <v>CITY LINK EXPRESS</v>
          </cell>
          <cell r="C279" t="str">
            <v>TC06</v>
          </cell>
        </row>
        <row r="280">
          <cell r="A280" t="str">
            <v>TC08</v>
          </cell>
          <cell r="B280" t="str">
            <v>CATHAY MOTOR (M) SDN. BHD.</v>
          </cell>
          <cell r="C280" t="str">
            <v>TC08</v>
          </cell>
        </row>
        <row r="281">
          <cell r="A281" t="str">
            <v>TC09</v>
          </cell>
          <cell r="B281" t="str">
            <v>CAIDMARK SDN. BHD.</v>
          </cell>
          <cell r="C281" t="str">
            <v>TC09</v>
          </cell>
        </row>
        <row r="282">
          <cell r="A282" t="str">
            <v>TC10</v>
          </cell>
          <cell r="B282" t="str">
            <v>CONCRETE ENGINEERING PRODUCTS</v>
          </cell>
          <cell r="C282" t="str">
            <v>TC10</v>
          </cell>
        </row>
        <row r="283">
          <cell r="A283" t="str">
            <v>TC11</v>
          </cell>
          <cell r="B283" t="str">
            <v>CALTEX OIL MALAYSIA LIMITED</v>
          </cell>
          <cell r="C283" t="str">
            <v>TC11</v>
          </cell>
        </row>
        <row r="284">
          <cell r="A284" t="str">
            <v>TC12</v>
          </cell>
          <cell r="B284" t="str">
            <v>CFW ENTERPRISE</v>
          </cell>
          <cell r="C284" t="str">
            <v>TC12</v>
          </cell>
        </row>
        <row r="285">
          <cell r="A285" t="str">
            <v>TC13</v>
          </cell>
          <cell r="B285" t="str">
            <v>COLWELD ENGINEE</v>
          </cell>
          <cell r="C285" t="str">
            <v>TC13</v>
          </cell>
        </row>
        <row r="286">
          <cell r="A286" t="str">
            <v>TC14</v>
          </cell>
          <cell r="B286" t="str">
            <v>CITRA REKA SDN. BHD.</v>
          </cell>
          <cell r="C286" t="str">
            <v>TC14</v>
          </cell>
        </row>
        <row r="287">
          <cell r="A287" t="str">
            <v>TC15</v>
          </cell>
          <cell r="B287" t="str">
            <v>C.E.INSTRUMENTS SDN BHD</v>
          </cell>
          <cell r="C287" t="str">
            <v>TC15</v>
          </cell>
        </row>
        <row r="288">
          <cell r="A288" t="str">
            <v>TC16</v>
          </cell>
          <cell r="B288" t="str">
            <v>CMCM PERNIAGAAN SDN. BHD.</v>
          </cell>
          <cell r="C288" t="str">
            <v>TC16</v>
          </cell>
        </row>
        <row r="289">
          <cell r="A289" t="str">
            <v>TC17</v>
          </cell>
          <cell r="B289" t="str">
            <v>CHINNIAH A/L SHANMUGAM</v>
          </cell>
          <cell r="C289" t="str">
            <v>TC17</v>
          </cell>
        </row>
        <row r="290">
          <cell r="A290" t="str">
            <v>TC18</v>
          </cell>
          <cell r="B290" t="str">
            <v>CAHAYA ELECTRICAL TRADING</v>
          </cell>
          <cell r="C290" t="str">
            <v>TC18</v>
          </cell>
        </row>
        <row r="291">
          <cell r="A291" t="str">
            <v>TC19</v>
          </cell>
          <cell r="B291" t="str">
            <v>CITY -TWO CRANE ENTERPRISE</v>
          </cell>
          <cell r="C291" t="str">
            <v>TC19</v>
          </cell>
        </row>
        <row r="292">
          <cell r="A292" t="str">
            <v>TC20</v>
          </cell>
          <cell r="B292" t="str">
            <v>CEPAT SENANG TRADING</v>
          </cell>
          <cell r="C292" t="str">
            <v>TC20</v>
          </cell>
        </row>
        <row r="293">
          <cell r="A293" t="str">
            <v>TC21</v>
          </cell>
          <cell r="B293" t="str">
            <v>C &amp; M ENGINEERING &amp; CONSTRUCTION SDN. BHD.</v>
          </cell>
          <cell r="C293" t="str">
            <v>TC21</v>
          </cell>
        </row>
        <row r="294">
          <cell r="A294" t="str">
            <v>TC22</v>
          </cell>
          <cell r="B294" t="str">
            <v>CYGAL CONCRETEPUMP SDN BHD</v>
          </cell>
          <cell r="C294" t="str">
            <v>TC22</v>
          </cell>
        </row>
        <row r="295">
          <cell r="A295" t="str">
            <v>TC23</v>
          </cell>
          <cell r="B295" t="str">
            <v>CONCRETE CUT SDN BHD</v>
          </cell>
          <cell r="C295" t="str">
            <v>TC23</v>
          </cell>
        </row>
        <row r="296">
          <cell r="A296" t="str">
            <v>TC24</v>
          </cell>
          <cell r="B296" t="str">
            <v>CHUAN CHOON HENG CO.</v>
          </cell>
        </row>
        <row r="297">
          <cell r="A297" t="str">
            <v>TD01</v>
          </cell>
          <cell r="B297" t="str">
            <v>DAIDEN EQUIPMENT SDN BHD</v>
          </cell>
          <cell r="C297" t="str">
            <v>TD01</v>
          </cell>
        </row>
        <row r="298">
          <cell r="A298" t="str">
            <v>TD02</v>
          </cell>
          <cell r="B298" t="str">
            <v>DAUD AGAM TECH (M) SDN. BHD.</v>
          </cell>
          <cell r="C298" t="str">
            <v>TD02</v>
          </cell>
        </row>
        <row r="299">
          <cell r="A299" t="str">
            <v>TD03</v>
          </cell>
          <cell r="B299" t="str">
            <v>DYNAMIC PILE TESTING SDN. BHD.</v>
          </cell>
          <cell r="C299" t="str">
            <v>TD03</v>
          </cell>
        </row>
        <row r="300">
          <cell r="A300" t="str">
            <v>TD04</v>
          </cell>
          <cell r="B300" t="str">
            <v>DEZ M.STOWE ESQ</v>
          </cell>
          <cell r="C300" t="str">
            <v>TD04</v>
          </cell>
        </row>
        <row r="301">
          <cell r="A301" t="str">
            <v>TD05</v>
          </cell>
          <cell r="B301" t="str">
            <v>DATA SURVEY SERVICE SDN BHD</v>
          </cell>
          <cell r="C301" t="str">
            <v>TD05</v>
          </cell>
        </row>
        <row r="302">
          <cell r="A302" t="str">
            <v>TD06</v>
          </cell>
          <cell r="B302" t="str">
            <v>DPI KONSULT --------</v>
          </cell>
          <cell r="C302" t="str">
            <v>TD06</v>
          </cell>
        </row>
        <row r="303">
          <cell r="A303" t="str">
            <v>TE01</v>
          </cell>
          <cell r="B303" t="str">
            <v>ESSO MALAYSIA BERHAD</v>
          </cell>
          <cell r="C303" t="str">
            <v>TE01</v>
          </cell>
        </row>
        <row r="304">
          <cell r="A304" t="str">
            <v>TE02</v>
          </cell>
          <cell r="B304" t="str">
            <v>EASTERN MOTOR CRANES &amp; TRANSP.</v>
          </cell>
          <cell r="C304" t="str">
            <v>TE02</v>
          </cell>
        </row>
        <row r="305">
          <cell r="A305" t="str">
            <v>TE03</v>
          </cell>
          <cell r="B305" t="str">
            <v>EMTECH INDUSTRIAL SUPPLY</v>
          </cell>
          <cell r="C305" t="str">
            <v>TE03</v>
          </cell>
        </row>
        <row r="306">
          <cell r="A306" t="str">
            <v>TE04</v>
          </cell>
          <cell r="B306" t="str">
            <v>EASTERN  PLANT</v>
          </cell>
          <cell r="C306" t="str">
            <v>TE04</v>
          </cell>
        </row>
        <row r="307">
          <cell r="A307" t="str">
            <v>TE05</v>
          </cell>
          <cell r="B307" t="str">
            <v>EURO EFFICIENT SDN. BHD.</v>
          </cell>
          <cell r="C307" t="str">
            <v>TE05</v>
          </cell>
        </row>
        <row r="308">
          <cell r="A308" t="str">
            <v>TE06</v>
          </cell>
          <cell r="B308" t="str">
            <v>EPOXY TECH ENGINEERING &amp; CONSTRUCTION SDN. BHD.</v>
          </cell>
          <cell r="C308" t="str">
            <v>TE06</v>
          </cell>
        </row>
        <row r="309">
          <cell r="A309" t="str">
            <v>TE07</v>
          </cell>
          <cell r="B309" t="str">
            <v>EASTERN PROFILES SDN BHD</v>
          </cell>
          <cell r="C309" t="str">
            <v>TE07</v>
          </cell>
        </row>
        <row r="310">
          <cell r="A310" t="str">
            <v>TE08</v>
          </cell>
          <cell r="B310" t="str">
            <v>EMPIRE MACHINERY (M) SDN. BHD.</v>
          </cell>
          <cell r="C310" t="str">
            <v>TE08</v>
          </cell>
        </row>
        <row r="311">
          <cell r="A311" t="str">
            <v>TEL02</v>
          </cell>
          <cell r="B311" t="str">
            <v>AHMAD FAIZAL IDRIS</v>
          </cell>
          <cell r="C311" t="str">
            <v>TEL02</v>
          </cell>
        </row>
        <row r="312">
          <cell r="A312" t="str">
            <v>TEL03</v>
          </cell>
          <cell r="B312" t="str">
            <v>ROSLAN JAMALUDIN</v>
          </cell>
          <cell r="C312" t="str">
            <v>TEL03</v>
          </cell>
        </row>
        <row r="313">
          <cell r="A313" t="str">
            <v>TEL04</v>
          </cell>
          <cell r="B313" t="str">
            <v>AHMAD FUAD MOHAMAD JELANI.</v>
          </cell>
          <cell r="C313" t="str">
            <v>TEL04</v>
          </cell>
        </row>
        <row r="314">
          <cell r="A314" t="str">
            <v>TEL05</v>
          </cell>
          <cell r="B314" t="str">
            <v>JEFRI BIN JONIT</v>
          </cell>
          <cell r="C314" t="str">
            <v>TEL05</v>
          </cell>
        </row>
        <row r="315">
          <cell r="A315" t="str">
            <v>TEL06</v>
          </cell>
          <cell r="B315" t="str">
            <v>MOHD HAZRIL MUNIR BIN MANSOR</v>
          </cell>
          <cell r="C315" t="str">
            <v>TEL06</v>
          </cell>
        </row>
        <row r="316">
          <cell r="A316" t="str">
            <v>TEL07</v>
          </cell>
          <cell r="B316" t="str">
            <v>RUMSI BIN RAMSJAH</v>
          </cell>
          <cell r="C316" t="str">
            <v>RR02</v>
          </cell>
        </row>
        <row r="317">
          <cell r="A317" t="str">
            <v>TEL08</v>
          </cell>
          <cell r="B317" t="str">
            <v>SHAMSUDDIN BIN SHAARI</v>
          </cell>
        </row>
        <row r="318">
          <cell r="A318" t="str">
            <v>TEL09</v>
          </cell>
          <cell r="B318" t="str">
            <v>IDRIS BIN NAWAWI</v>
          </cell>
        </row>
        <row r="319">
          <cell r="A319" t="str">
            <v>TEL10</v>
          </cell>
          <cell r="B319" t="str">
            <v>MAT PIAH MENTOL</v>
          </cell>
        </row>
        <row r="320">
          <cell r="A320" t="str">
            <v>TEL11</v>
          </cell>
          <cell r="B320" t="str">
            <v>MOHAMAD HADZREE BIN ABDUL RAHMAN</v>
          </cell>
        </row>
        <row r="321">
          <cell r="A321" t="str">
            <v>TF01</v>
          </cell>
          <cell r="B321" t="str">
            <v>F00 HUAT SENG SDN BHD</v>
          </cell>
          <cell r="C321" t="str">
            <v>TF01</v>
          </cell>
        </row>
        <row r="322">
          <cell r="A322" t="str">
            <v>TF02</v>
          </cell>
          <cell r="B322" t="str">
            <v>FIROOZ AGENCIES</v>
          </cell>
          <cell r="C322" t="str">
            <v>TF02</v>
          </cell>
        </row>
        <row r="323">
          <cell r="A323" t="str">
            <v>TF03</v>
          </cell>
          <cell r="B323" t="str">
            <v>FADZILAH BT TAIB</v>
          </cell>
          <cell r="C323" t="str">
            <v>TF03</v>
          </cell>
        </row>
        <row r="324">
          <cell r="A324" t="str">
            <v>TF04</v>
          </cell>
          <cell r="B324" t="str">
            <v>FOSROC EXPANDITE SDN BHD</v>
          </cell>
          <cell r="C324" t="str">
            <v>TF04</v>
          </cell>
        </row>
        <row r="325">
          <cell r="A325" t="str">
            <v>TF05</v>
          </cell>
          <cell r="B325" t="str">
            <v>FOOK YEE HARDWARE SDN. BHD.</v>
          </cell>
          <cell r="C325" t="str">
            <v>TF05</v>
          </cell>
        </row>
        <row r="326">
          <cell r="A326" t="str">
            <v>TF06</v>
          </cell>
          <cell r="B326" t="str">
            <v>FORTDESA TRADING SDN. BHD.</v>
          </cell>
          <cell r="C326" t="str">
            <v>TF06</v>
          </cell>
        </row>
        <row r="327">
          <cell r="A327" t="str">
            <v>TF07</v>
          </cell>
          <cell r="B327" t="str">
            <v>FOAM PRODUCTS SDN. BHD.</v>
          </cell>
          <cell r="C327" t="str">
            <v>TF07</v>
          </cell>
        </row>
        <row r="328">
          <cell r="A328" t="str">
            <v>TF08</v>
          </cell>
          <cell r="B328" t="str">
            <v>FITRAH ENGINEERING</v>
          </cell>
          <cell r="C328" t="str">
            <v>TF08</v>
          </cell>
        </row>
        <row r="329">
          <cell r="A329" t="str">
            <v>TF09</v>
          </cell>
          <cell r="B329" t="str">
            <v>FLEXIFOAM SDN BHD</v>
          </cell>
          <cell r="C329" t="str">
            <v>TF09</v>
          </cell>
        </row>
        <row r="330">
          <cell r="A330" t="str">
            <v>TG01</v>
          </cell>
          <cell r="B330" t="str">
            <v>GAINVEST CORPORATION (M) S.B.</v>
          </cell>
          <cell r="C330" t="str">
            <v>TG01</v>
          </cell>
        </row>
        <row r="331">
          <cell r="A331" t="str">
            <v>TG02</v>
          </cell>
          <cell r="B331" t="str">
            <v>GEONAMICS (M) SDN. BHD.</v>
          </cell>
          <cell r="C331" t="str">
            <v>TG02</v>
          </cell>
        </row>
        <row r="332">
          <cell r="A332" t="str">
            <v>TG03</v>
          </cell>
          <cell r="B332" t="str">
            <v>GEOLAB (M) SDN. BHD.</v>
          </cell>
          <cell r="C332" t="str">
            <v>TG03</v>
          </cell>
        </row>
        <row r="333">
          <cell r="A333" t="str">
            <v>TG04</v>
          </cell>
          <cell r="B333" t="str">
            <v>GOLDEN PLUS GRANITE SDN. BHD.</v>
          </cell>
          <cell r="C333" t="str">
            <v>TG04</v>
          </cell>
        </row>
        <row r="334">
          <cell r="A334" t="str">
            <v>TG05</v>
          </cell>
          <cell r="B334" t="str">
            <v>GREAT WALL PLASTIC INDUSTRIES</v>
          </cell>
          <cell r="C334" t="str">
            <v>TG05</v>
          </cell>
        </row>
        <row r="335">
          <cell r="A335" t="str">
            <v>TG06</v>
          </cell>
          <cell r="B335" t="str">
            <v>GOLDEN HOCK TRACTOR &amp; TRADING</v>
          </cell>
          <cell r="C335" t="str">
            <v>TG06</v>
          </cell>
        </row>
        <row r="336">
          <cell r="A336" t="str">
            <v>TG07</v>
          </cell>
          <cell r="B336" t="str">
            <v>GBL EQUIPMENT SYSTEMS (M) SDN. BHD.</v>
          </cell>
          <cell r="C336" t="str">
            <v>TG07</v>
          </cell>
        </row>
        <row r="337">
          <cell r="A337" t="str">
            <v>TG08</v>
          </cell>
          <cell r="B337" t="str">
            <v>GEMA MARKETING SDN BHD</v>
          </cell>
          <cell r="C337" t="str">
            <v>TG08</v>
          </cell>
        </row>
        <row r="338">
          <cell r="A338" t="str">
            <v>TG09</v>
          </cell>
          <cell r="B338" t="str">
            <v>GAGGIOTTI FAR EAST PTE LTD</v>
          </cell>
        </row>
        <row r="339">
          <cell r="A339" t="str">
            <v>TG10</v>
          </cell>
          <cell r="B339" t="str">
            <v>GULFMAX VENTURES SDN. BHD.</v>
          </cell>
          <cell r="C339" t="str">
            <v>TG10</v>
          </cell>
        </row>
        <row r="340">
          <cell r="A340" t="str">
            <v>TG11</v>
          </cell>
          <cell r="B340" t="str">
            <v>GANDHI BROTHERS CRANE SERVICES &amp; ENTERPRISE</v>
          </cell>
          <cell r="C340" t="str">
            <v>TG11</v>
          </cell>
        </row>
        <row r="341">
          <cell r="A341" t="str">
            <v>TG12</v>
          </cell>
          <cell r="B341" t="str">
            <v>GIM SENG HARDWARE</v>
          </cell>
          <cell r="C341" t="str">
            <v>TG12</v>
          </cell>
        </row>
        <row r="342">
          <cell r="A342" t="str">
            <v>TG14</v>
          </cell>
          <cell r="B342" t="str">
            <v>GOLDEN PLUS RDC SDN BHD</v>
          </cell>
        </row>
        <row r="343">
          <cell r="A343" t="str">
            <v>TH01</v>
          </cell>
          <cell r="B343" t="str">
            <v>HARAPAN RAMAI SDN BHD</v>
          </cell>
          <cell r="C343" t="str">
            <v>TH01</v>
          </cell>
        </row>
        <row r="344">
          <cell r="A344" t="str">
            <v>TH02</v>
          </cell>
          <cell r="B344" t="str">
            <v>HOE LONG MACHINERY SDN BHD</v>
          </cell>
          <cell r="C344" t="str">
            <v>TH02</v>
          </cell>
        </row>
        <row r="345">
          <cell r="A345" t="str">
            <v>TH03</v>
          </cell>
          <cell r="B345" t="str">
            <v>H.C. MATERIAL SUPPLIES SDN BHD</v>
          </cell>
          <cell r="C345" t="str">
            <v>TH03</v>
          </cell>
        </row>
        <row r="346">
          <cell r="A346" t="str">
            <v>TH04</v>
          </cell>
          <cell r="B346" t="str">
            <v>HILTI (MALAYSIA) SDN BHD</v>
          </cell>
          <cell r="C346" t="str">
            <v>TH04</v>
          </cell>
        </row>
        <row r="347">
          <cell r="A347" t="str">
            <v>TH05</v>
          </cell>
          <cell r="B347" t="str">
            <v>HAMZAH BIN TALIB</v>
          </cell>
          <cell r="C347" t="str">
            <v>TH05</v>
          </cell>
        </row>
        <row r="348">
          <cell r="A348" t="str">
            <v>TH06</v>
          </cell>
          <cell r="B348" t="str">
            <v>HSS INTERSYS SDN. BHD.</v>
          </cell>
          <cell r="C348" t="str">
            <v>TH06</v>
          </cell>
        </row>
        <row r="349">
          <cell r="A349" t="str">
            <v>TH07</v>
          </cell>
          <cell r="B349" t="str">
            <v>HOONG BEE HARDWARE &amp; ENG. S/B</v>
          </cell>
          <cell r="C349" t="str">
            <v>TH07</v>
          </cell>
        </row>
        <row r="350">
          <cell r="A350" t="str">
            <v>TH08</v>
          </cell>
          <cell r="B350" t="str">
            <v>HUME READYMIX SDN. BHD.</v>
          </cell>
          <cell r="C350" t="str">
            <v>TH08</v>
          </cell>
        </row>
        <row r="351">
          <cell r="A351" t="str">
            <v>TH09</v>
          </cell>
          <cell r="B351" t="str">
            <v>HENG ELECTRICAL</v>
          </cell>
          <cell r="C351" t="str">
            <v>TH09</v>
          </cell>
        </row>
        <row r="352">
          <cell r="A352" t="str">
            <v>TH10</v>
          </cell>
          <cell r="B352" t="str">
            <v>HIAP WING BUILDING MATERIALS SDN. BHD.</v>
          </cell>
          <cell r="C352" t="str">
            <v>TH10</v>
          </cell>
        </row>
        <row r="353">
          <cell r="A353" t="str">
            <v>TH11</v>
          </cell>
          <cell r="B353" t="str">
            <v>H.K. TRANSPORT AGENCY</v>
          </cell>
          <cell r="C353" t="str">
            <v>TH11</v>
          </cell>
        </row>
        <row r="354">
          <cell r="A354" t="str">
            <v>TH12</v>
          </cell>
          <cell r="B354" t="str">
            <v>HAR LEN FOOK EXCAVATOR</v>
          </cell>
          <cell r="C354" t="str">
            <v>TH12</v>
          </cell>
        </row>
        <row r="355">
          <cell r="A355" t="str">
            <v>TH13</v>
          </cell>
          <cell r="B355" t="str">
            <v>HOE LONG MACHINERY SDN BHD</v>
          </cell>
          <cell r="C355" t="str">
            <v>TH13</v>
          </cell>
        </row>
        <row r="356">
          <cell r="A356" t="str">
            <v>TH14</v>
          </cell>
          <cell r="B356" t="str">
            <v>HUP CHOONG CRANE SERVICES</v>
          </cell>
          <cell r="C356" t="str">
            <v>TH14</v>
          </cell>
        </row>
        <row r="357">
          <cell r="A357" t="str">
            <v>TH15</v>
          </cell>
          <cell r="B357" t="str">
            <v>HURAY ENTERPRISES SDN. BHD.</v>
          </cell>
          <cell r="C357" t="str">
            <v>TH15</v>
          </cell>
        </row>
        <row r="358">
          <cell r="A358" t="str">
            <v>TH16</v>
          </cell>
          <cell r="B358" t="str">
            <v>HOASHIKI TRADING SDN. BHD.</v>
          </cell>
          <cell r="C358" t="str">
            <v>TH16</v>
          </cell>
        </row>
        <row r="359">
          <cell r="A359" t="str">
            <v>TH17</v>
          </cell>
          <cell r="B359" t="str">
            <v>HENG LEE AUTO SERVICE --------</v>
          </cell>
          <cell r="C359" t="str">
            <v>TH17</v>
          </cell>
        </row>
        <row r="360">
          <cell r="A360" t="str">
            <v>TH18</v>
          </cell>
          <cell r="B360" t="str">
            <v>HONG TAK ENGINEERING</v>
          </cell>
          <cell r="C360" t="str">
            <v>TH18</v>
          </cell>
        </row>
        <row r="361">
          <cell r="A361" t="str">
            <v>TH19</v>
          </cell>
          <cell r="B361" t="str">
            <v>H.T.SCAFFOLDING MANUFACTURING SDN BHD</v>
          </cell>
          <cell r="C361" t="str">
            <v>TH19</v>
          </cell>
        </row>
        <row r="362">
          <cell r="A362" t="str">
            <v>TH20</v>
          </cell>
          <cell r="B362" t="str">
            <v>HUP LEONG TRADING CO.</v>
          </cell>
        </row>
        <row r="363">
          <cell r="A363" t="str">
            <v>TI01</v>
          </cell>
          <cell r="B363" t="str">
            <v>ISMAIL ABDULLAH</v>
          </cell>
          <cell r="C363" t="str">
            <v>TI01</v>
          </cell>
        </row>
        <row r="364">
          <cell r="A364" t="str">
            <v>TI02</v>
          </cell>
          <cell r="B364" t="str">
            <v>ICP MARKETING SDN. BHD.</v>
          </cell>
          <cell r="C364" t="str">
            <v>TI02</v>
          </cell>
        </row>
        <row r="365">
          <cell r="A365" t="str">
            <v>TI03</v>
          </cell>
          <cell r="B365" t="str">
            <v>IPMUDA (MALAYSIA) SDN. BHD.</v>
          </cell>
          <cell r="C365" t="str">
            <v>TI03</v>
          </cell>
        </row>
        <row r="366">
          <cell r="A366" t="str">
            <v>TJ01</v>
          </cell>
          <cell r="B366" t="str">
            <v>JASA ELECTRIC CO</v>
          </cell>
          <cell r="C366" t="str">
            <v>TJ01</v>
          </cell>
        </row>
        <row r="367">
          <cell r="A367" t="str">
            <v>TJ03</v>
          </cell>
          <cell r="B367" t="str">
            <v>JJ OFFICE SUPPLIES</v>
          </cell>
          <cell r="C367" t="str">
            <v>TJ03</v>
          </cell>
        </row>
        <row r="368">
          <cell r="A368" t="str">
            <v>TJ04</v>
          </cell>
          <cell r="B368" t="str">
            <v>JAYA LINK TRADING</v>
          </cell>
          <cell r="C368" t="str">
            <v>TJ04</v>
          </cell>
        </row>
        <row r="369">
          <cell r="A369" t="str">
            <v>TJ05</v>
          </cell>
          <cell r="B369" t="str">
            <v>JASA KITA TRADING SDN. BHD.</v>
          </cell>
          <cell r="C369" t="str">
            <v>TJ05</v>
          </cell>
        </row>
        <row r="370">
          <cell r="A370" t="str">
            <v>TJ06</v>
          </cell>
          <cell r="B370" t="str">
            <v>JURUTERA PERUNDING SETIARAYA</v>
          </cell>
          <cell r="C370" t="str">
            <v>TJ06</v>
          </cell>
        </row>
        <row r="371">
          <cell r="A371" t="str">
            <v>TJ07</v>
          </cell>
          <cell r="B371" t="str">
            <v>JURUKUR KEMUNCAK</v>
          </cell>
          <cell r="C371" t="str">
            <v>TJ07</v>
          </cell>
        </row>
        <row r="372">
          <cell r="A372" t="str">
            <v>TJ08</v>
          </cell>
          <cell r="B372" t="str">
            <v>J.W. SURVEY MANAGEMENT</v>
          </cell>
          <cell r="C372" t="str">
            <v>TJ08</v>
          </cell>
        </row>
        <row r="373">
          <cell r="A373" t="str">
            <v>TJ09</v>
          </cell>
          <cell r="B373" t="str">
            <v>JALINAN WAWASAN (M) SDN. BHD.</v>
          </cell>
          <cell r="C373" t="str">
            <v>TJ09</v>
          </cell>
        </row>
        <row r="374">
          <cell r="A374" t="str">
            <v>TJ10</v>
          </cell>
          <cell r="B374" t="str">
            <v>JB &amp; MBS JOINT VENTURE SDN BHD</v>
          </cell>
          <cell r="C374" t="str">
            <v>TJ10</v>
          </cell>
        </row>
        <row r="375">
          <cell r="A375" t="str">
            <v>TK01</v>
          </cell>
          <cell r="B375" t="str">
            <v>KOBELKO EQUIPMENT</v>
          </cell>
          <cell r="C375" t="str">
            <v>TK01</v>
          </cell>
        </row>
        <row r="376">
          <cell r="A376" t="str">
            <v>TK02</v>
          </cell>
          <cell r="B376" t="str">
            <v>KONNAS AGENCIES TRAVEL SERVICE</v>
          </cell>
          <cell r="C376" t="str">
            <v>TK02</v>
          </cell>
        </row>
        <row r="377">
          <cell r="A377" t="str">
            <v>TK03</v>
          </cell>
          <cell r="B377" t="str">
            <v>KEENO HEAVY MACHINERY SDN BHD</v>
          </cell>
          <cell r="C377" t="str">
            <v>TK03</v>
          </cell>
        </row>
        <row r="378">
          <cell r="A378" t="str">
            <v>TK04</v>
          </cell>
          <cell r="B378" t="str">
            <v>KHIN GUAN LEASING &amp; CREDIT S/B</v>
          </cell>
          <cell r="C378" t="str">
            <v>TK04</v>
          </cell>
        </row>
        <row r="379">
          <cell r="A379" t="str">
            <v>TK05</v>
          </cell>
          <cell r="B379" t="str">
            <v>KEAT SENG MARDWARE TRADING</v>
          </cell>
          <cell r="C379" t="str">
            <v>TK05</v>
          </cell>
        </row>
        <row r="380">
          <cell r="A380" t="str">
            <v>TK06</v>
          </cell>
          <cell r="B380" t="str">
            <v>KINCO TRADING</v>
          </cell>
          <cell r="C380" t="str">
            <v>TK06</v>
          </cell>
        </row>
        <row r="381">
          <cell r="A381" t="str">
            <v>TK07</v>
          </cell>
          <cell r="B381" t="str">
            <v>KIM HONG MOTOR ENTERPRISE</v>
          </cell>
          <cell r="C381" t="str">
            <v>TK07</v>
          </cell>
        </row>
        <row r="382">
          <cell r="A382" t="str">
            <v>TK08</v>
          </cell>
          <cell r="B382" t="str">
            <v>KB TECHNOLOGIES LTD.</v>
          </cell>
          <cell r="C382" t="str">
            <v>TK08</v>
          </cell>
        </row>
        <row r="383">
          <cell r="A383" t="str">
            <v>TK09</v>
          </cell>
          <cell r="B383" t="str">
            <v>KOTA RAYA STATIONER</v>
          </cell>
          <cell r="C383" t="str">
            <v>TK09</v>
          </cell>
        </row>
        <row r="384">
          <cell r="A384" t="str">
            <v>TK10</v>
          </cell>
          <cell r="B384" t="str">
            <v>KIT LOONG TYRE SERVICE S/BHD</v>
          </cell>
          <cell r="C384" t="str">
            <v>TK10</v>
          </cell>
        </row>
        <row r="385">
          <cell r="A385" t="str">
            <v>TK11</v>
          </cell>
          <cell r="B385" t="str">
            <v>KEEN YEAP TRADING</v>
          </cell>
          <cell r="C385" t="str">
            <v>TK11</v>
          </cell>
        </row>
        <row r="386">
          <cell r="A386" t="str">
            <v>TK12</v>
          </cell>
          <cell r="B386" t="str">
            <v>KK FUEL PUMP SERVICE CENTRE</v>
          </cell>
          <cell r="C386" t="str">
            <v>TK12</v>
          </cell>
        </row>
        <row r="387">
          <cell r="A387" t="str">
            <v>TK13</v>
          </cell>
          <cell r="B387" t="str">
            <v>KHIAM HOE (HARDWARE) INDUSTRIES SDN. BHD.</v>
          </cell>
          <cell r="C387" t="str">
            <v>TK13</v>
          </cell>
        </row>
        <row r="388">
          <cell r="A388" t="str">
            <v>TK14</v>
          </cell>
          <cell r="B388" t="str">
            <v>KLANG HARDWARE SDN. BHD.</v>
          </cell>
          <cell r="C388" t="str">
            <v>TK14</v>
          </cell>
        </row>
        <row r="389">
          <cell r="A389" t="str">
            <v>TK15</v>
          </cell>
          <cell r="B389" t="str">
            <v>KIM GUAN TRANSPORT SDN BHD</v>
          </cell>
          <cell r="C389" t="str">
            <v>TK15</v>
          </cell>
        </row>
        <row r="390">
          <cell r="A390" t="str">
            <v>TK16</v>
          </cell>
          <cell r="B390" t="str">
            <v>KR CONSTRUCTION SDN BHD</v>
          </cell>
          <cell r="C390" t="str">
            <v>TK16</v>
          </cell>
        </row>
        <row r="391">
          <cell r="A391" t="str">
            <v>TK17</v>
          </cell>
          <cell r="B391" t="str">
            <v>KLIE RENTALS SDN BHD</v>
          </cell>
          <cell r="C391" t="str">
            <v>TK17</v>
          </cell>
        </row>
        <row r="392">
          <cell r="A392" t="str">
            <v>TK18</v>
          </cell>
          <cell r="B392" t="str">
            <v>KARLIN BIN SABAR</v>
          </cell>
          <cell r="C392" t="str">
            <v>TK18</v>
          </cell>
        </row>
        <row r="393">
          <cell r="A393" t="str">
            <v>TK19</v>
          </cell>
          <cell r="B393" t="str">
            <v>KAWANDA CORPORATION SDN BHD</v>
          </cell>
          <cell r="C393" t="str">
            <v>TK19</v>
          </cell>
        </row>
        <row r="394">
          <cell r="A394" t="str">
            <v>TK20</v>
          </cell>
          <cell r="B394" t="str">
            <v>KEAT SENG HARDWARE TRADING</v>
          </cell>
          <cell r="C394" t="str">
            <v>TK20</v>
          </cell>
        </row>
        <row r="395">
          <cell r="A395" t="str">
            <v>TK22</v>
          </cell>
          <cell r="B395" t="str">
            <v>KENNAMETAL HERTEL (MALAYSIA) SDN. BHD</v>
          </cell>
          <cell r="C395" t="str">
            <v>TK22</v>
          </cell>
        </row>
        <row r="396">
          <cell r="A396" t="str">
            <v>TL01</v>
          </cell>
          <cell r="B396" t="str">
            <v>MAJOR GENERAL(R) LAI CHUNG WAH</v>
          </cell>
          <cell r="C396" t="str">
            <v>TL01</v>
          </cell>
        </row>
        <row r="397">
          <cell r="A397" t="str">
            <v>TL02</v>
          </cell>
          <cell r="B397" t="str">
            <v>LION COM SDN BHD</v>
          </cell>
          <cell r="C397" t="str">
            <v>TL02</v>
          </cell>
        </row>
        <row r="398">
          <cell r="A398" t="str">
            <v>TL03</v>
          </cell>
          <cell r="B398" t="str">
            <v>LEN HONG MARKETING</v>
          </cell>
          <cell r="C398" t="str">
            <v>TL03</v>
          </cell>
        </row>
        <row r="399">
          <cell r="A399" t="str">
            <v>TL04</v>
          </cell>
          <cell r="B399" t="str">
            <v>LOH YOKE SANG TRADING</v>
          </cell>
          <cell r="C399" t="str">
            <v>TL04</v>
          </cell>
        </row>
        <row r="400">
          <cell r="A400" t="str">
            <v>TL05</v>
          </cell>
          <cell r="B400" t="str">
            <v>LIEN YOW CONSTRUCTION  EQ.</v>
          </cell>
          <cell r="C400" t="str">
            <v>TL05</v>
          </cell>
        </row>
        <row r="401">
          <cell r="A401" t="str">
            <v>TL06</v>
          </cell>
          <cell r="B401" t="str">
            <v>LIEW MIO CHIN</v>
          </cell>
          <cell r="C401" t="str">
            <v>TL06</v>
          </cell>
        </row>
        <row r="402">
          <cell r="A402" t="str">
            <v>TL07</v>
          </cell>
          <cell r="B402" t="str">
            <v>L &amp; A CRANE SDN. BHD.</v>
          </cell>
          <cell r="C402" t="str">
            <v>TL07</v>
          </cell>
        </row>
        <row r="403">
          <cell r="A403" t="str">
            <v>TL08</v>
          </cell>
          <cell r="B403" t="str">
            <v>L&amp;M AGENCIES SDN. BHD.</v>
          </cell>
          <cell r="C403" t="str">
            <v>TL08</v>
          </cell>
        </row>
        <row r="404">
          <cell r="A404" t="str">
            <v>TL09</v>
          </cell>
          <cell r="B404" t="str">
            <v>LENLEY CRANE &amp; TRANSPORT SDN. BHD</v>
          </cell>
          <cell r="C404" t="str">
            <v>TL09</v>
          </cell>
        </row>
        <row r="405">
          <cell r="A405" t="str">
            <v>TM01</v>
          </cell>
          <cell r="B405" t="str">
            <v>MATRIX TRADING &amp; CONSTRUCTION</v>
          </cell>
          <cell r="C405" t="str">
            <v>TM01</v>
          </cell>
        </row>
        <row r="406">
          <cell r="A406" t="str">
            <v>TM02</v>
          </cell>
          <cell r="B406" t="str">
            <v>MEE WAH TRADING</v>
          </cell>
          <cell r="C406" t="str">
            <v>TM02</v>
          </cell>
        </row>
        <row r="407">
          <cell r="A407" t="str">
            <v>TM03</v>
          </cell>
          <cell r="B407" t="str">
            <v>MOHAMAD BIN JAMALUDDIN</v>
          </cell>
          <cell r="C407" t="str">
            <v>TM03</v>
          </cell>
        </row>
        <row r="408">
          <cell r="A408" t="str">
            <v>TM04</v>
          </cell>
          <cell r="B408" t="str">
            <v>MD HILMI DATUK HJ MD NOOR</v>
          </cell>
          <cell r="C408" t="str">
            <v>TM04</v>
          </cell>
        </row>
        <row r="409">
          <cell r="A409" t="str">
            <v>TM05</v>
          </cell>
          <cell r="B409" t="str">
            <v>MANSOR BIN OSMAN</v>
          </cell>
          <cell r="C409" t="str">
            <v>TM05</v>
          </cell>
        </row>
        <row r="410">
          <cell r="A410" t="str">
            <v>TM06</v>
          </cell>
          <cell r="B410" t="str">
            <v>MOBIKOM SDN BHD</v>
          </cell>
          <cell r="C410" t="str">
            <v>TM06</v>
          </cell>
        </row>
        <row r="411">
          <cell r="A411" t="str">
            <v>TM07</v>
          </cell>
          <cell r="B411" t="str">
            <v>MICROART COMPUTERS SYSTEM</v>
          </cell>
          <cell r="C411" t="str">
            <v>TM07</v>
          </cell>
        </row>
        <row r="412">
          <cell r="A412" t="str">
            <v>TM08</v>
          </cell>
          <cell r="B412" t="str">
            <v>MOHD JOHAN BIN HARUN</v>
          </cell>
          <cell r="C412" t="str">
            <v>TM08</v>
          </cell>
        </row>
        <row r="413">
          <cell r="A413" t="str">
            <v>TM09</v>
          </cell>
          <cell r="B413" t="str">
            <v>MULTI WAY SERVICES</v>
          </cell>
          <cell r="C413" t="str">
            <v>TM09</v>
          </cell>
        </row>
        <row r="414">
          <cell r="A414" t="str">
            <v>TM10</v>
          </cell>
          <cell r="B414" t="str">
            <v>MOHD. ANUAR OSMAN.</v>
          </cell>
          <cell r="C414" t="str">
            <v>TM10</v>
          </cell>
        </row>
        <row r="415">
          <cell r="A415" t="str">
            <v>TM11</v>
          </cell>
          <cell r="B415" t="str">
            <v>MATERIALS TESTING LABORATORY SDN. BHD.</v>
          </cell>
          <cell r="C415" t="str">
            <v>TM11</v>
          </cell>
        </row>
        <row r="416">
          <cell r="A416" t="str">
            <v>TM12</v>
          </cell>
          <cell r="B416" t="str">
            <v>MOMENT ENGINEERING SDN BHD</v>
          </cell>
          <cell r="C416" t="str">
            <v>TM12</v>
          </cell>
        </row>
        <row r="417">
          <cell r="A417" t="str">
            <v>TM13</v>
          </cell>
          <cell r="B417" t="str">
            <v>METRO SECURITY SERVICES SDN.BHD.</v>
          </cell>
          <cell r="C417" t="str">
            <v>TM13</v>
          </cell>
        </row>
        <row r="418">
          <cell r="A418" t="str">
            <v>TM14</v>
          </cell>
          <cell r="B418" t="str">
            <v>MAKAL INDAH ENTERPRISE</v>
          </cell>
          <cell r="C418" t="str">
            <v>TM14</v>
          </cell>
        </row>
        <row r="419">
          <cell r="A419" t="str">
            <v>TM16</v>
          </cell>
          <cell r="B419" t="str">
            <v>MALAYSIAN RESOURCES CORPORATION BERHAD</v>
          </cell>
          <cell r="C419" t="str">
            <v>TM16</v>
          </cell>
        </row>
        <row r="420">
          <cell r="A420" t="str">
            <v>TM17</v>
          </cell>
          <cell r="B420" t="str">
            <v>MISBAH CORPORATION SDN BHD</v>
          </cell>
          <cell r="C420" t="str">
            <v>MIS</v>
          </cell>
        </row>
        <row r="421">
          <cell r="A421" t="str">
            <v>TN01</v>
          </cell>
          <cell r="B421" t="str">
            <v>NITTAR CONSTRUCTION</v>
          </cell>
          <cell r="C421" t="str">
            <v>TN01</v>
          </cell>
        </row>
        <row r="422">
          <cell r="A422" t="str">
            <v>TN02</v>
          </cell>
          <cell r="B422" t="str">
            <v>NEW ASIA AUTO SERVICE</v>
          </cell>
          <cell r="C422" t="str">
            <v>TN02</v>
          </cell>
        </row>
        <row r="423">
          <cell r="A423" t="str">
            <v>TN03</v>
          </cell>
          <cell r="B423" t="str">
            <v>NCK METAL SDN BHD</v>
          </cell>
          <cell r="C423" t="str">
            <v>TN03</v>
          </cell>
        </row>
        <row r="424">
          <cell r="A424" t="str">
            <v>TN04</v>
          </cell>
          <cell r="B424" t="str">
            <v>NORYONG BIN YAHYA</v>
          </cell>
          <cell r="C424" t="str">
            <v>TN04</v>
          </cell>
        </row>
        <row r="425">
          <cell r="A425" t="str">
            <v>TN05</v>
          </cell>
          <cell r="B425" t="str">
            <v>NOUXMAN BURHANUDDIN</v>
          </cell>
          <cell r="C425" t="str">
            <v>TN05</v>
          </cell>
        </row>
        <row r="426">
          <cell r="A426" t="str">
            <v>TN06</v>
          </cell>
          <cell r="B426" t="str">
            <v>NANYANG CRANE SERVICES</v>
          </cell>
        </row>
        <row r="427">
          <cell r="A427" t="str">
            <v>TP01</v>
          </cell>
          <cell r="B427" t="str">
            <v>PEMBINAAN RANI-RANI</v>
          </cell>
          <cell r="C427" t="str">
            <v>TP01</v>
          </cell>
        </row>
        <row r="428">
          <cell r="A428" t="str">
            <v>TP02</v>
          </cell>
          <cell r="B428" t="str">
            <v>PENGKALEN CONCRETE SDN BHD</v>
          </cell>
          <cell r="C428" t="str">
            <v>TP02</v>
          </cell>
        </row>
        <row r="429">
          <cell r="A429" t="str">
            <v>TP03</v>
          </cell>
          <cell r="B429" t="str">
            <v>PAK YING ENTERPRISE</v>
          </cell>
          <cell r="C429" t="str">
            <v>TP03</v>
          </cell>
        </row>
        <row r="430">
          <cell r="A430" t="str">
            <v>TP04</v>
          </cell>
          <cell r="B430" t="str">
            <v>PERNIAGAAN ALAT GANTI HWA HENG</v>
          </cell>
          <cell r="C430" t="str">
            <v>TP04</v>
          </cell>
        </row>
        <row r="431">
          <cell r="A431" t="str">
            <v>TP05</v>
          </cell>
          <cell r="B431" t="str">
            <v>PERCON CORPORATION SDN BHD</v>
          </cell>
          <cell r="C431" t="str">
            <v>TP05</v>
          </cell>
        </row>
        <row r="432">
          <cell r="A432" t="str">
            <v>TP06</v>
          </cell>
          <cell r="B432" t="str">
            <v>PERNAS TRADING SDN BHD</v>
          </cell>
          <cell r="C432" t="str">
            <v>TP06</v>
          </cell>
        </row>
        <row r="433">
          <cell r="A433" t="str">
            <v>TP07</v>
          </cell>
          <cell r="B433" t="str">
            <v>PERNIAGAAN SIMEN TENEGA DESA</v>
          </cell>
          <cell r="C433" t="str">
            <v>TP07</v>
          </cell>
        </row>
        <row r="434">
          <cell r="A434" t="str">
            <v>TP08</v>
          </cell>
          <cell r="B434" t="str">
            <v>PEMBINAAN PREFAH</v>
          </cell>
          <cell r="C434" t="str">
            <v>TP08</v>
          </cell>
        </row>
        <row r="435">
          <cell r="A435" t="str">
            <v>TP09</v>
          </cell>
          <cell r="B435" t="str">
            <v>PERKHIDMATAN ARZAN MOTOR</v>
          </cell>
          <cell r="C435" t="str">
            <v>TP09</v>
          </cell>
        </row>
        <row r="436">
          <cell r="A436" t="str">
            <v>TP10</v>
          </cell>
          <cell r="B436" t="str">
            <v>PROGRESSIVE PUBLISHING HOUSE</v>
          </cell>
          <cell r="C436" t="str">
            <v>TP10</v>
          </cell>
        </row>
        <row r="437">
          <cell r="A437" t="str">
            <v>TP11</v>
          </cell>
          <cell r="B437" t="str">
            <v>PERCON WIKA CONCRETE INDUSTRIE</v>
          </cell>
          <cell r="C437" t="str">
            <v>TP11</v>
          </cell>
        </row>
        <row r="438">
          <cell r="A438" t="str">
            <v>TP12</v>
          </cell>
          <cell r="B438" t="str">
            <v>POLIKLINIK KUMPULAN CITY</v>
          </cell>
          <cell r="C438" t="str">
            <v>TP12</v>
          </cell>
        </row>
        <row r="439">
          <cell r="A439" t="str">
            <v>TP13</v>
          </cell>
          <cell r="B439" t="str">
            <v>PERGABIN (M) SDN. BHD.</v>
          </cell>
          <cell r="C439" t="str">
            <v>TP13</v>
          </cell>
        </row>
        <row r="440">
          <cell r="A440" t="str">
            <v>TP14</v>
          </cell>
          <cell r="B440" t="str">
            <v>PAK YHING ENGINEERING SDN. BHD</v>
          </cell>
          <cell r="C440" t="str">
            <v>TP14</v>
          </cell>
        </row>
        <row r="441">
          <cell r="A441" t="str">
            <v>TP15</v>
          </cell>
          <cell r="B441" t="str">
            <v>PRIMASON SDN. BHD.</v>
          </cell>
          <cell r="C441" t="str">
            <v>TP15</v>
          </cell>
        </row>
        <row r="442">
          <cell r="A442" t="str">
            <v>TP16</v>
          </cell>
          <cell r="B442" t="str">
            <v>POLY GAS SDN. BHD.</v>
          </cell>
          <cell r="C442" t="str">
            <v>TP16</v>
          </cell>
        </row>
        <row r="443">
          <cell r="A443" t="str">
            <v>TP17</v>
          </cell>
          <cell r="B443" t="str">
            <v>PANGLIMA ACES SDN. BHD.</v>
          </cell>
          <cell r="C443" t="str">
            <v>TP17</v>
          </cell>
        </row>
        <row r="444">
          <cell r="A444" t="str">
            <v>TP18</v>
          </cell>
          <cell r="B444" t="str">
            <v>POLY ENGINEERING SUPPLIES</v>
          </cell>
          <cell r="C444" t="str">
            <v>TP18</v>
          </cell>
        </row>
        <row r="445">
          <cell r="A445" t="str">
            <v>TP19</v>
          </cell>
          <cell r="B445" t="str">
            <v>PRODEAL SDN. BHD.</v>
          </cell>
          <cell r="C445" t="str">
            <v>TP19</v>
          </cell>
        </row>
        <row r="446">
          <cell r="A446" t="str">
            <v>TP20</v>
          </cell>
          <cell r="B446" t="str">
            <v>PIONEER CONCRETE (MALAYSIA) SDN. BHD.</v>
          </cell>
          <cell r="C446" t="str">
            <v>TP20</v>
          </cell>
        </row>
        <row r="447">
          <cell r="A447" t="str">
            <v>TP21</v>
          </cell>
          <cell r="B447" t="str">
            <v>PERINDUSTRIAN TENAGA MIX SDN. BHD.</v>
          </cell>
          <cell r="C447" t="str">
            <v>TP21</v>
          </cell>
        </row>
        <row r="448">
          <cell r="A448" t="str">
            <v>TP22</v>
          </cell>
          <cell r="B448" t="str">
            <v>PARK SENG TRADING</v>
          </cell>
          <cell r="C448" t="str">
            <v>TP22</v>
          </cell>
        </row>
        <row r="449">
          <cell r="A449" t="str">
            <v>TP23</v>
          </cell>
          <cell r="B449" t="str">
            <v>PEEAUTO &amp; TRACTORS SDN. BHD.</v>
          </cell>
          <cell r="C449" t="str">
            <v>TP23</v>
          </cell>
        </row>
        <row r="450">
          <cell r="A450" t="str">
            <v>TP24</v>
          </cell>
          <cell r="B450" t="str">
            <v>PERNIAGAAN FARIDAH &amp; RAKAN - RAKAN SDN. BHD.--------</v>
          </cell>
          <cell r="C450" t="str">
            <v>TP24</v>
          </cell>
        </row>
        <row r="451">
          <cell r="A451" t="str">
            <v>TP25</v>
          </cell>
          <cell r="B451" t="str">
            <v>POWER THRIVE ENGINEERING SDN. BHD.</v>
          </cell>
          <cell r="C451" t="str">
            <v>TP25</v>
          </cell>
        </row>
        <row r="452">
          <cell r="A452" t="str">
            <v>TP26</v>
          </cell>
          <cell r="B452" t="str">
            <v>PERKASA PADU SDN BHD</v>
          </cell>
          <cell r="C452" t="str">
            <v>TP26</v>
          </cell>
        </row>
        <row r="453">
          <cell r="A453" t="str">
            <v>TP27</v>
          </cell>
          <cell r="B453" t="str">
            <v>POWER ELECTRICAL PLUMBING</v>
          </cell>
          <cell r="C453" t="str">
            <v>TP27</v>
          </cell>
        </row>
        <row r="454">
          <cell r="A454" t="str">
            <v>TP29</v>
          </cell>
          <cell r="B454" t="str">
            <v>PEMBINAAN MOHAMED NAZIR MERASLAM S/B</v>
          </cell>
          <cell r="C454" t="str">
            <v>TP29</v>
          </cell>
        </row>
        <row r="455">
          <cell r="A455" t="str">
            <v>TP30</v>
          </cell>
          <cell r="B455" t="str">
            <v>PERNIAGAAN KION HUAT</v>
          </cell>
          <cell r="C455" t="str">
            <v>TP30</v>
          </cell>
        </row>
        <row r="456">
          <cell r="A456" t="str">
            <v>TP31</v>
          </cell>
          <cell r="B456" t="str">
            <v>P &amp; N INDUSTRIALS TRADING SDN BHD</v>
          </cell>
          <cell r="C456" t="str">
            <v>TP31</v>
          </cell>
        </row>
        <row r="457">
          <cell r="A457" t="str">
            <v>TP32</v>
          </cell>
          <cell r="B457" t="str">
            <v>PERUNDING TAC</v>
          </cell>
          <cell r="C457" t="str">
            <v>TP32</v>
          </cell>
        </row>
        <row r="458">
          <cell r="A458" t="str">
            <v>TP33</v>
          </cell>
          <cell r="B458" t="str">
            <v>PEMBINAAN YKS (M) SDN. BHD.</v>
          </cell>
          <cell r="C458" t="str">
            <v>TP33</v>
          </cell>
        </row>
        <row r="459">
          <cell r="A459" t="str">
            <v>TQ01</v>
          </cell>
          <cell r="B459" t="str">
            <v>QUALITY CONTROL MATERIAL LABORATORY SDN. BHD.</v>
          </cell>
          <cell r="C459" t="str">
            <v>TQ01</v>
          </cell>
        </row>
        <row r="460">
          <cell r="A460" t="str">
            <v>TQ02</v>
          </cell>
          <cell r="B460" t="str">
            <v>OTOKENKI SHOJI SDN. BHD.</v>
          </cell>
          <cell r="C460" t="str">
            <v>TQ02</v>
          </cell>
        </row>
        <row r="461">
          <cell r="A461" t="str">
            <v>TR01</v>
          </cell>
          <cell r="B461" t="str">
            <v>RAPIDCON MACHINERY</v>
          </cell>
          <cell r="C461" t="str">
            <v>TR01</v>
          </cell>
        </row>
        <row r="462">
          <cell r="A462" t="str">
            <v>TR02</v>
          </cell>
          <cell r="B462" t="str">
            <v>RAMGATE SYSTEMS SDN. BHD.</v>
          </cell>
          <cell r="C462" t="str">
            <v>TR02</v>
          </cell>
        </row>
        <row r="463">
          <cell r="A463" t="str">
            <v>TR03</v>
          </cell>
          <cell r="B463" t="str">
            <v>ROSLI PLUMBING &amp; CONSTRUCTION</v>
          </cell>
          <cell r="C463" t="str">
            <v>TR03</v>
          </cell>
        </row>
        <row r="464">
          <cell r="A464" t="str">
            <v>TR04</v>
          </cell>
          <cell r="B464" t="str">
            <v>ROADTECH MAJU SDN. BHD.</v>
          </cell>
          <cell r="C464" t="str">
            <v>TR04</v>
          </cell>
        </row>
        <row r="465">
          <cell r="A465" t="str">
            <v>TR05</v>
          </cell>
          <cell r="B465" t="str">
            <v>RZ ENTERPRISE</v>
          </cell>
          <cell r="C465" t="str">
            <v>TR05</v>
          </cell>
        </row>
        <row r="466">
          <cell r="A466" t="str">
            <v>TR06</v>
          </cell>
          <cell r="B466" t="str">
            <v>RAMSET FASTENERS (M) SDN BHD</v>
          </cell>
          <cell r="C466" t="str">
            <v>TR06</v>
          </cell>
        </row>
        <row r="467">
          <cell r="A467" t="str">
            <v>TR07</v>
          </cell>
          <cell r="B467" t="str">
            <v>REKAL JAYA SECURITY SERVICES SDN BHD.</v>
          </cell>
          <cell r="C467" t="str">
            <v>TR07</v>
          </cell>
        </row>
        <row r="468">
          <cell r="A468" t="str">
            <v>TR08</v>
          </cell>
          <cell r="B468" t="str">
            <v>REECON ENTERPRISE</v>
          </cell>
        </row>
        <row r="469">
          <cell r="A469" t="str">
            <v>TR09</v>
          </cell>
          <cell r="B469" t="str">
            <v>RELIANCE ENVIRONMENTAL SERVICES SDN.BHD</v>
          </cell>
        </row>
        <row r="470">
          <cell r="A470" t="str">
            <v>TS01</v>
          </cell>
          <cell r="B470" t="str">
            <v>SENG BATTERIES &amp; MOTOR TRADING</v>
          </cell>
          <cell r="C470" t="str">
            <v>TS01</v>
          </cell>
        </row>
        <row r="471">
          <cell r="A471" t="str">
            <v>TS02</v>
          </cell>
          <cell r="B471" t="str">
            <v>SUPERLIFT MACHINERY SDN.BHD.</v>
          </cell>
          <cell r="C471" t="str">
            <v>TS02</v>
          </cell>
        </row>
        <row r="472">
          <cell r="A472" t="str">
            <v>TS03</v>
          </cell>
          <cell r="B472" t="str">
            <v>ST PROCUREMENT AGENT</v>
          </cell>
          <cell r="C472" t="str">
            <v>TS03</v>
          </cell>
        </row>
        <row r="473">
          <cell r="A473" t="str">
            <v>TS04</v>
          </cell>
          <cell r="B473" t="str">
            <v>SOIL DYNAMICS (M) SDN BHD</v>
          </cell>
          <cell r="C473" t="str">
            <v>TS04</v>
          </cell>
        </row>
        <row r="474">
          <cell r="A474" t="str">
            <v>TS05</v>
          </cell>
          <cell r="B474" t="str">
            <v>SINARAN UNIK SDN BHD</v>
          </cell>
          <cell r="C474" t="str">
            <v>TS05</v>
          </cell>
        </row>
        <row r="475">
          <cell r="A475" t="str">
            <v>TS06</v>
          </cell>
          <cell r="B475" t="str">
            <v>SUPERIOR MACHINERY (M) SDN BHD</v>
          </cell>
          <cell r="C475" t="str">
            <v>TS06</v>
          </cell>
        </row>
        <row r="476">
          <cell r="A476" t="str">
            <v>TS07</v>
          </cell>
          <cell r="B476" t="str">
            <v>SHD SDN BHD</v>
          </cell>
          <cell r="C476" t="str">
            <v>TS07</v>
          </cell>
        </row>
        <row r="477">
          <cell r="A477" t="str">
            <v>TS08</v>
          </cell>
          <cell r="B477" t="str">
            <v>SERGAM BERHAD</v>
          </cell>
          <cell r="C477" t="str">
            <v>TS08</v>
          </cell>
        </row>
        <row r="478">
          <cell r="A478" t="str">
            <v>TS09</v>
          </cell>
          <cell r="B478" t="str">
            <v>SUNGAI LONG INDUSTRIES SDN. BHD.</v>
          </cell>
          <cell r="C478" t="str">
            <v>TS09</v>
          </cell>
        </row>
        <row r="479">
          <cell r="A479" t="str">
            <v>TS10</v>
          </cell>
          <cell r="B479" t="str">
            <v>SOKKIA (M) SDN. BHD.</v>
          </cell>
          <cell r="C479" t="str">
            <v>TS10</v>
          </cell>
        </row>
        <row r="480">
          <cell r="A480" t="str">
            <v>TS11</v>
          </cell>
          <cell r="B480" t="str">
            <v>SANDVIK MALAYSIA SDN. BHD.</v>
          </cell>
          <cell r="C480" t="str">
            <v>TS11</v>
          </cell>
        </row>
        <row r="481">
          <cell r="A481" t="str">
            <v>TS12</v>
          </cell>
          <cell r="B481" t="str">
            <v>SUNTRAC PARTS</v>
          </cell>
          <cell r="C481" t="str">
            <v>TS12</v>
          </cell>
        </row>
        <row r="482">
          <cell r="A482" t="str">
            <v>TS13</v>
          </cell>
          <cell r="B482" t="str">
            <v>SUPERMIX CONCRETE (M) SDN. BHD.</v>
          </cell>
          <cell r="C482" t="str">
            <v>TS13</v>
          </cell>
        </row>
        <row r="483">
          <cell r="A483" t="str">
            <v>TS14</v>
          </cell>
          <cell r="B483" t="str">
            <v>STPA TRADING SDN. BHD.</v>
          </cell>
          <cell r="C483" t="str">
            <v>TS14</v>
          </cell>
        </row>
        <row r="484">
          <cell r="A484" t="str">
            <v>TS15</v>
          </cell>
          <cell r="B484" t="str">
            <v>SHUN YI SDN. BHD.</v>
          </cell>
          <cell r="C484" t="str">
            <v>TS15</v>
          </cell>
        </row>
        <row r="485">
          <cell r="A485" t="str">
            <v>TS16</v>
          </cell>
          <cell r="B485" t="str">
            <v>SYARIKAT BERSATU  LETRIK</v>
          </cell>
          <cell r="C485" t="str">
            <v>TS16</v>
          </cell>
        </row>
        <row r="486">
          <cell r="A486" t="str">
            <v>TS17</v>
          </cell>
          <cell r="B486" t="str">
            <v>SOLE ENGINEERING SDN. BHD.</v>
          </cell>
          <cell r="C486" t="str">
            <v>TS17</v>
          </cell>
        </row>
        <row r="487">
          <cell r="A487" t="str">
            <v>TS18</v>
          </cell>
          <cell r="B487" t="str">
            <v>SACCON ENGINEERING &amp; TRADING</v>
          </cell>
          <cell r="C487" t="str">
            <v>TS18</v>
          </cell>
        </row>
        <row r="488">
          <cell r="A488" t="str">
            <v>TS19</v>
          </cell>
          <cell r="B488" t="str">
            <v>SEMANGAT INTAN SDN. BHD.</v>
          </cell>
          <cell r="C488" t="str">
            <v>TS19</v>
          </cell>
        </row>
        <row r="489">
          <cell r="A489" t="str">
            <v>TS20</v>
          </cell>
          <cell r="B489" t="str">
            <v>SYARIKAT CHUN TOO</v>
          </cell>
          <cell r="C489" t="str">
            <v>TS20</v>
          </cell>
        </row>
        <row r="490">
          <cell r="A490" t="str">
            <v>TS21</v>
          </cell>
          <cell r="B490" t="str">
            <v>SINARAN UNIK SDN BHD</v>
          </cell>
          <cell r="C490" t="str">
            <v>TS21</v>
          </cell>
        </row>
        <row r="491">
          <cell r="A491" t="str">
            <v>TS22</v>
          </cell>
          <cell r="B491" t="str">
            <v>SAGA WANA CONST. &amp; PLUMBING</v>
          </cell>
          <cell r="C491" t="str">
            <v>TS22</v>
          </cell>
        </row>
        <row r="492">
          <cell r="A492" t="str">
            <v>TS23</v>
          </cell>
          <cell r="B492" t="str">
            <v>SIN LIAN TAT HARDWARE SDN BHD</v>
          </cell>
          <cell r="C492" t="str">
            <v>TS23</v>
          </cell>
        </row>
        <row r="493">
          <cell r="A493" t="str">
            <v>TS24</v>
          </cell>
          <cell r="B493" t="str">
            <v>SUN HUP EARTHWORK CONSRUCTION</v>
          </cell>
          <cell r="C493" t="str">
            <v>TS24</v>
          </cell>
        </row>
        <row r="494">
          <cell r="A494" t="str">
            <v>TS25</v>
          </cell>
          <cell r="B494" t="str">
            <v>SOONG LEE TRADING</v>
          </cell>
          <cell r="C494" t="str">
            <v>TS25</v>
          </cell>
        </row>
        <row r="495">
          <cell r="A495" t="str">
            <v>TS26</v>
          </cell>
          <cell r="B495" t="str">
            <v>SOON DAT ENTERPRISE</v>
          </cell>
          <cell r="C495" t="str">
            <v>TS26</v>
          </cell>
        </row>
        <row r="496">
          <cell r="A496" t="str">
            <v>TS27</v>
          </cell>
          <cell r="B496" t="str">
            <v>SHATPISHAN ENTERPRISE</v>
          </cell>
          <cell r="C496" t="str">
            <v>TS27</v>
          </cell>
        </row>
        <row r="497">
          <cell r="A497" t="str">
            <v>TS28</v>
          </cell>
          <cell r="B497" t="str">
            <v>SAFE DIMENSION (M) SDN BHD</v>
          </cell>
          <cell r="C497" t="str">
            <v>TS28</v>
          </cell>
        </row>
        <row r="498">
          <cell r="A498" t="str">
            <v>TS29</v>
          </cell>
          <cell r="B498" t="str">
            <v>SENG LEONG HARDWARE SDN BHD</v>
          </cell>
          <cell r="C498" t="str">
            <v>TS29</v>
          </cell>
        </row>
        <row r="499">
          <cell r="A499" t="str">
            <v>TS30</v>
          </cell>
          <cell r="B499" t="str">
            <v>SYARIKAT KEJURUTERAAN LITAK</v>
          </cell>
          <cell r="C499" t="str">
            <v>TS30</v>
          </cell>
        </row>
        <row r="500">
          <cell r="A500" t="str">
            <v>TS31</v>
          </cell>
          <cell r="B500" t="str">
            <v>SECURE LIFTING &amp; HARDWARE SDN BHD</v>
          </cell>
          <cell r="C500" t="str">
            <v>TS31</v>
          </cell>
        </row>
        <row r="501">
          <cell r="A501" t="str">
            <v>TS33</v>
          </cell>
          <cell r="B501" t="str">
            <v>SETSCO SERVICES (M) SDN BHD</v>
          </cell>
          <cell r="C501" t="str">
            <v>TS33</v>
          </cell>
        </row>
        <row r="502">
          <cell r="A502" t="str">
            <v>TS34</v>
          </cell>
          <cell r="B502" t="str">
            <v>SYARIKAT PERNIAGAAN KEAN MING</v>
          </cell>
          <cell r="C502" t="str">
            <v>TS34</v>
          </cell>
        </row>
        <row r="503">
          <cell r="A503" t="str">
            <v>TS35</v>
          </cell>
          <cell r="B503" t="str">
            <v>SUMARTO KASNAIB</v>
          </cell>
          <cell r="C503" t="str">
            <v>TS35</v>
          </cell>
        </row>
        <row r="504">
          <cell r="A504" t="str">
            <v>TS35</v>
          </cell>
          <cell r="B504" t="str">
            <v>SUMARTO KASNAIB</v>
          </cell>
          <cell r="C504" t="str">
            <v>TS35</v>
          </cell>
        </row>
        <row r="505">
          <cell r="A505" t="str">
            <v>TS36</v>
          </cell>
          <cell r="B505" t="str">
            <v>SIKA KIMIA SDN BHD</v>
          </cell>
          <cell r="C505" t="str">
            <v>TS36</v>
          </cell>
        </row>
        <row r="506">
          <cell r="A506" t="str">
            <v>TT01</v>
          </cell>
          <cell r="B506" t="str">
            <v>TAT HONG PLANT HIRE SDN BHD</v>
          </cell>
          <cell r="C506" t="str">
            <v>TT01</v>
          </cell>
        </row>
        <row r="507">
          <cell r="A507" t="str">
            <v>TT02</v>
          </cell>
          <cell r="B507" t="str">
            <v>TOYOH ENGINEERING HARDWARE SDN. BHD.</v>
          </cell>
          <cell r="C507" t="str">
            <v>TT02</v>
          </cell>
        </row>
        <row r="508">
          <cell r="A508" t="str">
            <v>TT03</v>
          </cell>
          <cell r="B508" t="str">
            <v>TOYOH OXYGEN SDN. BHD.</v>
          </cell>
          <cell r="C508" t="str">
            <v>TT03</v>
          </cell>
        </row>
        <row r="509">
          <cell r="A509" t="str">
            <v>TT05</v>
          </cell>
          <cell r="B509" t="str">
            <v>T &amp; L PROGRESS ENGINERING SDN. BHD.</v>
          </cell>
          <cell r="C509" t="str">
            <v>TT05</v>
          </cell>
        </row>
        <row r="510">
          <cell r="A510" t="str">
            <v>TT06</v>
          </cell>
          <cell r="B510" t="str">
            <v>TOTAL PROJECT MANAGEMENT SDN. BHD.</v>
          </cell>
          <cell r="C510" t="str">
            <v>TT06</v>
          </cell>
        </row>
        <row r="511">
          <cell r="A511" t="str">
            <v>TT07</v>
          </cell>
          <cell r="B511" t="str">
            <v>TRUST INTERNATIONAL INSURANCE (M) SDN. BHD.</v>
          </cell>
          <cell r="C511" t="str">
            <v>TT07</v>
          </cell>
        </row>
        <row r="512">
          <cell r="A512" t="str">
            <v>TT08</v>
          </cell>
          <cell r="B512" t="str">
            <v>TAJUDDIN BI  YUSOF</v>
          </cell>
          <cell r="C512" t="str">
            <v>TT08</v>
          </cell>
        </row>
        <row r="513">
          <cell r="A513" t="str">
            <v>TT09</v>
          </cell>
          <cell r="B513" t="str">
            <v>TESONIC (M) SDN BHD</v>
          </cell>
          <cell r="C513" t="str">
            <v>TT09</v>
          </cell>
        </row>
        <row r="514">
          <cell r="A514" t="str">
            <v>TT10</v>
          </cell>
          <cell r="B514" t="str">
            <v>TENAGA ZAMAN MINI MARKET</v>
          </cell>
          <cell r="C514" t="str">
            <v>TT10</v>
          </cell>
        </row>
        <row r="515">
          <cell r="A515" t="str">
            <v>TT11</v>
          </cell>
          <cell r="B515" t="str">
            <v>TTS LOWLOADER SERVICE SDN. BHD</v>
          </cell>
          <cell r="C515" t="str">
            <v>TT11</v>
          </cell>
        </row>
        <row r="516">
          <cell r="A516" t="str">
            <v>TT12</v>
          </cell>
          <cell r="B516" t="str">
            <v>TOYO OFFICE FURNITURE SUPPLIES</v>
          </cell>
          <cell r="C516" t="str">
            <v>TT12</v>
          </cell>
        </row>
        <row r="517">
          <cell r="A517" t="str">
            <v>TT13</v>
          </cell>
          <cell r="B517" t="str">
            <v>T K TONG ENTERPRISE</v>
          </cell>
          <cell r="C517" t="str">
            <v>TT13</v>
          </cell>
        </row>
        <row r="518">
          <cell r="A518" t="str">
            <v>TT14</v>
          </cell>
          <cell r="B518" t="str">
            <v>TRIPATI ENTERPRISE</v>
          </cell>
          <cell r="C518" t="str">
            <v>TT14</v>
          </cell>
        </row>
        <row r="519">
          <cell r="A519" t="str">
            <v>TT15</v>
          </cell>
          <cell r="B519" t="str">
            <v>TTS TRANSPORT SDN. BHD.</v>
          </cell>
          <cell r="C519" t="str">
            <v>TT15</v>
          </cell>
        </row>
        <row r="520">
          <cell r="A520" t="str">
            <v>TT16</v>
          </cell>
          <cell r="B520" t="str">
            <v>TEKTON BEACON SDN.BHD</v>
          </cell>
          <cell r="C520" t="str">
            <v>TT16</v>
          </cell>
        </row>
        <row r="521">
          <cell r="A521" t="str">
            <v>TT17</v>
          </cell>
          <cell r="B521" t="str">
            <v>TRU-MIX CONCRETE SDN. BHD.</v>
          </cell>
          <cell r="C521" t="str">
            <v>TT17</v>
          </cell>
        </row>
        <row r="522">
          <cell r="A522" t="str">
            <v>TT18</v>
          </cell>
          <cell r="B522" t="str">
            <v>TAN CHIN CHIEW</v>
          </cell>
          <cell r="C522" t="str">
            <v>TT18</v>
          </cell>
        </row>
        <row r="523">
          <cell r="A523" t="str">
            <v>TT19</v>
          </cell>
          <cell r="B523" t="str">
            <v>TOOLFLEX MACHINERY IND. SUPPLIES S/BHD</v>
          </cell>
          <cell r="C523" t="str">
            <v>TT19</v>
          </cell>
        </row>
        <row r="524">
          <cell r="A524" t="str">
            <v>TT20</v>
          </cell>
          <cell r="B524" t="str">
            <v>THL FOUNDATION EQUIPMENT PTE. LTD.</v>
          </cell>
          <cell r="C524" t="str">
            <v>TT20</v>
          </cell>
        </row>
        <row r="525">
          <cell r="A525" t="str">
            <v>TT20</v>
          </cell>
          <cell r="B525" t="str">
            <v>THL FOUNDATION EQUIPMENT PTE. LTD.</v>
          </cell>
        </row>
        <row r="526">
          <cell r="A526" t="str">
            <v>TT21</v>
          </cell>
          <cell r="B526" t="str">
            <v>TAI TENG HOCK</v>
          </cell>
          <cell r="C526" t="str">
            <v>TT21</v>
          </cell>
        </row>
        <row r="527">
          <cell r="A527" t="str">
            <v>TT22</v>
          </cell>
          <cell r="B527" t="str">
            <v>TRIANGLE ENGG &amp; METAL WORKS</v>
          </cell>
          <cell r="C527" t="str">
            <v>TT22</v>
          </cell>
        </row>
        <row r="528">
          <cell r="A528" t="str">
            <v>TT23</v>
          </cell>
          <cell r="B528" t="str">
            <v>TEN HOCK ENTERPRISE SDN. BHD</v>
          </cell>
          <cell r="C528" t="str">
            <v>TT23</v>
          </cell>
        </row>
        <row r="529">
          <cell r="A529" t="str">
            <v>TT24</v>
          </cell>
          <cell r="B529" t="str">
            <v>THOMAS HOWELL GROUP (M) SDN. BHD.</v>
          </cell>
          <cell r="C529" t="str">
            <v>TT24</v>
          </cell>
        </row>
        <row r="530">
          <cell r="A530" t="str">
            <v>TT25</v>
          </cell>
          <cell r="B530" t="str">
            <v>TRACTORS MALAYSIA</v>
          </cell>
          <cell r="C530" t="str">
            <v>TT25</v>
          </cell>
        </row>
        <row r="531">
          <cell r="A531" t="str">
            <v>TT26</v>
          </cell>
          <cell r="B531" t="str">
            <v>TEST TECHNICAL LABORATORY SDN. BHD.</v>
          </cell>
          <cell r="C531" t="str">
            <v>TT26</v>
          </cell>
        </row>
        <row r="532">
          <cell r="A532" t="str">
            <v>TT27</v>
          </cell>
          <cell r="B532" t="str">
            <v>TEST SDN. BHD.</v>
          </cell>
          <cell r="C532" t="str">
            <v>TT27</v>
          </cell>
        </row>
        <row r="533">
          <cell r="A533" t="str">
            <v>TT28</v>
          </cell>
          <cell r="B533" t="str">
            <v>T &amp; A ENTERPRISE SDN. BHD.</v>
          </cell>
          <cell r="C533" t="str">
            <v>TT28</v>
          </cell>
        </row>
        <row r="534">
          <cell r="A534" t="str">
            <v>TT29</v>
          </cell>
          <cell r="B534" t="str">
            <v>TC CALLAGHAN (M) SDN. BHD.</v>
          </cell>
          <cell r="C534" t="str">
            <v>TT29</v>
          </cell>
        </row>
        <row r="535">
          <cell r="A535" t="str">
            <v>TT30</v>
          </cell>
          <cell r="B535" t="str">
            <v>TIMBER GRAINS (M) SDN BHD</v>
          </cell>
          <cell r="C535" t="str">
            <v>TT30</v>
          </cell>
        </row>
        <row r="536">
          <cell r="A536" t="str">
            <v>TT31</v>
          </cell>
          <cell r="B536" t="str">
            <v>TOPCON INSTRUMENTS (MALAYSIA) SDN BHD</v>
          </cell>
          <cell r="C536" t="str">
            <v>TT31</v>
          </cell>
        </row>
        <row r="537">
          <cell r="A537" t="str">
            <v>TT34</v>
          </cell>
          <cell r="B537" t="str">
            <v>TONG HENG EARTHWORKS CONSTRUCTION</v>
          </cell>
          <cell r="C537" t="str">
            <v>TT34</v>
          </cell>
        </row>
        <row r="538">
          <cell r="A538" t="str">
            <v>TT35</v>
          </cell>
          <cell r="B538" t="str">
            <v>TAYWOOD ENGINEERING SDN. BHD.</v>
          </cell>
          <cell r="C538" t="str">
            <v>TT35</v>
          </cell>
        </row>
        <row r="539">
          <cell r="A539" t="str">
            <v>TT36</v>
          </cell>
          <cell r="B539" t="str">
            <v>TMLY SDN BHD</v>
          </cell>
          <cell r="C539" t="str">
            <v>TT36</v>
          </cell>
        </row>
        <row r="540">
          <cell r="A540" t="str">
            <v>TU01</v>
          </cell>
          <cell r="B540" t="str">
            <v>UNITED STRAITS FUSO SDN. BHD.</v>
          </cell>
          <cell r="C540" t="str">
            <v>TU01</v>
          </cell>
        </row>
        <row r="541">
          <cell r="A541" t="str">
            <v>TU02</v>
          </cell>
          <cell r="B541" t="str">
            <v>ULTIMATE FLOW SDN. BHD.</v>
          </cell>
          <cell r="C541" t="str">
            <v>TU02</v>
          </cell>
        </row>
        <row r="542">
          <cell r="A542" t="str">
            <v>TU03</v>
          </cell>
          <cell r="B542" t="str">
            <v>U &amp; P ENGINEERING SDN. BHD.</v>
          </cell>
          <cell r="C542" t="str">
            <v>TU03</v>
          </cell>
        </row>
        <row r="543">
          <cell r="A543" t="str">
            <v>TU04</v>
          </cell>
          <cell r="B543" t="str">
            <v>UCT CRANE (M) SDN. BHD.</v>
          </cell>
          <cell r="C543" t="str">
            <v>TU04</v>
          </cell>
        </row>
        <row r="544">
          <cell r="A544" t="str">
            <v>TU05</v>
          </cell>
          <cell r="B544" t="str">
            <v>UKUR SEKITAR</v>
          </cell>
          <cell r="C544" t="str">
            <v>TU05</v>
          </cell>
        </row>
        <row r="545">
          <cell r="A545" t="str">
            <v>TU06</v>
          </cell>
          <cell r="B545" t="str">
            <v>UMW INDUSTRIES (1985) SDN BHD</v>
          </cell>
          <cell r="C545" t="str">
            <v>TU06</v>
          </cell>
        </row>
        <row r="546">
          <cell r="A546" t="str">
            <v>TU07</v>
          </cell>
          <cell r="B546" t="str">
            <v>UTRACO (M) SDN BHD.</v>
          </cell>
        </row>
        <row r="547">
          <cell r="A547" t="str">
            <v>TV01</v>
          </cell>
          <cell r="B547" t="str">
            <v>VAN FOH TRADING SDN. BHD.</v>
          </cell>
          <cell r="C547" t="str">
            <v>TV01</v>
          </cell>
        </row>
        <row r="548">
          <cell r="A548" t="str">
            <v>TV02</v>
          </cell>
          <cell r="B548" t="str">
            <v>VANTAGE WOOD SDN. BHD.</v>
          </cell>
          <cell r="C548" t="str">
            <v>TV02</v>
          </cell>
        </row>
        <row r="549">
          <cell r="A549" t="str">
            <v>TW01</v>
          </cell>
          <cell r="B549" t="str">
            <v>WAN SENG LEONG ENGINEERING</v>
          </cell>
          <cell r="C549" t="str">
            <v>TW01</v>
          </cell>
        </row>
        <row r="550">
          <cell r="A550" t="str">
            <v>TW02</v>
          </cell>
          <cell r="B550" t="str">
            <v>WING TIEK HOLDINGS BERHAD</v>
          </cell>
          <cell r="C550" t="str">
            <v>TW02</v>
          </cell>
        </row>
        <row r="551">
          <cell r="A551" t="str">
            <v>TW03</v>
          </cell>
          <cell r="B551" t="str">
            <v>WILLIS FABER (MALAYSIA) SDN.BHD.</v>
          </cell>
          <cell r="C551" t="str">
            <v>TW03</v>
          </cell>
        </row>
        <row r="552">
          <cell r="A552" t="str">
            <v>TW04</v>
          </cell>
          <cell r="B552" t="str">
            <v>WAN AZAM BIN WAN MUSA</v>
          </cell>
          <cell r="C552" t="str">
            <v>TW04</v>
          </cell>
        </row>
        <row r="553">
          <cell r="A553" t="str">
            <v>TW05</v>
          </cell>
          <cell r="B553" t="str">
            <v>W T CONSTRUCTION</v>
          </cell>
          <cell r="C553" t="str">
            <v>TW05</v>
          </cell>
        </row>
        <row r="554">
          <cell r="A554" t="str">
            <v>TW06</v>
          </cell>
          <cell r="B554" t="str">
            <v>WYWY (MARKETING) SDN BHD</v>
          </cell>
          <cell r="C554" t="str">
            <v>TW06</v>
          </cell>
        </row>
        <row r="555">
          <cell r="A555" t="str">
            <v>TW07</v>
          </cell>
          <cell r="B555" t="str">
            <v>WONG CHEER YEE</v>
          </cell>
          <cell r="C555" t="str">
            <v>TW07</v>
          </cell>
        </row>
        <row r="556">
          <cell r="A556" t="str">
            <v>TW08</v>
          </cell>
          <cell r="B556" t="str">
            <v>WYWY PACIFIC SDN. BHD.</v>
          </cell>
          <cell r="C556" t="str">
            <v>TW08</v>
          </cell>
        </row>
        <row r="557">
          <cell r="A557" t="str">
            <v>TW09</v>
          </cell>
          <cell r="B557" t="str">
            <v>WENGCON MACHINERY SDN. BHD.</v>
          </cell>
          <cell r="C557" t="str">
            <v>TW09</v>
          </cell>
        </row>
        <row r="558">
          <cell r="A558" t="str">
            <v>TW10</v>
          </cell>
          <cell r="B558" t="str">
            <v>WIND MACHINERY &amp; CONSTRUCTION</v>
          </cell>
          <cell r="C558" t="str">
            <v>TW10</v>
          </cell>
        </row>
        <row r="559">
          <cell r="A559" t="str">
            <v>TW11</v>
          </cell>
          <cell r="B559" t="str">
            <v>WONG CHIT LING</v>
          </cell>
          <cell r="C559" t="str">
            <v>TW11</v>
          </cell>
        </row>
        <row r="560">
          <cell r="A560" t="str">
            <v>TW12</v>
          </cell>
          <cell r="B560" t="str">
            <v>WAH SENG SIN KEE CO., SDN. BHD.</v>
          </cell>
          <cell r="C560" t="str">
            <v>TW12</v>
          </cell>
        </row>
        <row r="561">
          <cell r="A561" t="str">
            <v>TY01</v>
          </cell>
          <cell r="B561" t="str">
            <v>YUEN SENG ENGINEERING WORKS SDN. BHD.</v>
          </cell>
          <cell r="C561" t="str">
            <v>TY01</v>
          </cell>
        </row>
        <row r="562">
          <cell r="A562" t="str">
            <v>TY02</v>
          </cell>
          <cell r="B562" t="str">
            <v>YESS ENTERPRISE</v>
          </cell>
          <cell r="C562" t="str">
            <v>TY02</v>
          </cell>
        </row>
        <row r="563">
          <cell r="A563" t="str">
            <v>TY03</v>
          </cell>
          <cell r="B563" t="str">
            <v>YINSON TRADING &amp; TRANSPORT</v>
          </cell>
          <cell r="C563" t="str">
            <v>TY03</v>
          </cell>
        </row>
        <row r="564">
          <cell r="A564" t="str">
            <v>TY04</v>
          </cell>
          <cell r="B564" t="str">
            <v>YINSON TRADING SDN. BHD.</v>
          </cell>
          <cell r="C564" t="str">
            <v>TY04</v>
          </cell>
        </row>
        <row r="565">
          <cell r="A565" t="str">
            <v>TY05</v>
          </cell>
          <cell r="B565" t="str">
            <v>YINSON CORPORATION SDN. BHD.</v>
          </cell>
          <cell r="C565" t="str">
            <v>TY05</v>
          </cell>
        </row>
        <row r="566">
          <cell r="A566" t="str">
            <v>TY06</v>
          </cell>
          <cell r="B566" t="str">
            <v>YAW TACK CONSTRUCTION  &amp; TRACTOR WORKS</v>
          </cell>
          <cell r="C566" t="str">
            <v>TY06</v>
          </cell>
        </row>
        <row r="567">
          <cell r="A567" t="str">
            <v>TY07</v>
          </cell>
          <cell r="B567" t="str">
            <v>YOW KEE PLUMBING WORKS</v>
          </cell>
          <cell r="C567" t="str">
            <v>TY07</v>
          </cell>
        </row>
        <row r="568">
          <cell r="A568" t="str">
            <v>TY08</v>
          </cell>
          <cell r="B568" t="str">
            <v>YCH HYDRAULIC</v>
          </cell>
          <cell r="C568" t="str">
            <v>TY08</v>
          </cell>
        </row>
        <row r="569">
          <cell r="A569" t="str">
            <v>TY09</v>
          </cell>
          <cell r="B569" t="str">
            <v>YUSRI BIN JAAPAR</v>
          </cell>
          <cell r="C569" t="str">
            <v>TY09</v>
          </cell>
        </row>
        <row r="570">
          <cell r="A570" t="str">
            <v>TZ03</v>
          </cell>
          <cell r="B570" t="str">
            <v>ZOFAS ENTERPRISE</v>
          </cell>
          <cell r="C570" t="str">
            <v>TZ03</v>
          </cell>
        </row>
        <row r="571">
          <cell r="A571" t="str">
            <v>W20</v>
          </cell>
          <cell r="B571" t="str">
            <v>Wages (LOT 181)</v>
          </cell>
          <cell r="C571" t="str">
            <v>W20</v>
          </cell>
        </row>
        <row r="572">
          <cell r="A572" t="str">
            <v>W23</v>
          </cell>
          <cell r="B572" t="str">
            <v>Wages (ELEVATED H/WAY SECT 1)</v>
          </cell>
          <cell r="C572" t="str">
            <v>W23</v>
          </cell>
        </row>
        <row r="573">
          <cell r="A573" t="str">
            <v>W24</v>
          </cell>
          <cell r="B573" t="str">
            <v>Wages (UDA)</v>
          </cell>
          <cell r="C573" t="str">
            <v>W24</v>
          </cell>
        </row>
        <row r="574">
          <cell r="A574" t="str">
            <v>W26</v>
          </cell>
          <cell r="B574" t="str">
            <v>Wages (VIADUCT)</v>
          </cell>
          <cell r="C574" t="str">
            <v>W26</v>
          </cell>
        </row>
        <row r="575">
          <cell r="A575" t="str">
            <v>W27</v>
          </cell>
          <cell r="B575" t="str">
            <v>WAGES (AKLEH PACKAGE 1)</v>
          </cell>
          <cell r="C575" t="str">
            <v>W27</v>
          </cell>
        </row>
        <row r="576">
          <cell r="A576" t="str">
            <v>ZAI</v>
          </cell>
          <cell r="B576" t="str">
            <v>ZAIMI BIN AHMAD</v>
          </cell>
          <cell r="C576" t="str">
            <v>ZAI</v>
          </cell>
        </row>
        <row r="577">
          <cell r="A577" t="str">
            <v>PL02</v>
          </cell>
          <cell r="B577" t="str">
            <v xml:space="preserve">L &amp; M GEOTECHNIC SDN BHD  </v>
          </cell>
        </row>
        <row r="578">
          <cell r="A578" t="str">
            <v>NS08</v>
          </cell>
          <cell r="B578" t="str">
            <v>SUPERKAD SERVICES SDN BHD</v>
          </cell>
        </row>
        <row r="579">
          <cell r="A579" t="str">
            <v>CHAN</v>
          </cell>
          <cell r="B579" t="str">
            <v>CHANDRAN S/O M SUBRAMANIAM</v>
          </cell>
        </row>
        <row r="580">
          <cell r="A580" t="str">
            <v>RML</v>
          </cell>
          <cell r="B580" t="str">
            <v>RUSMAN MD LIZAH</v>
          </cell>
        </row>
        <row r="581">
          <cell r="A581" t="str">
            <v>M-ROS</v>
          </cell>
          <cell r="B581" t="str">
            <v>MD ROSDI MD RAMLI</v>
          </cell>
        </row>
        <row r="582">
          <cell r="A582" t="str">
            <v>M-RID</v>
          </cell>
          <cell r="B582" t="str">
            <v>MOHD RIDUAN MAHAT</v>
          </cell>
        </row>
        <row r="583">
          <cell r="A583" t="str">
            <v>M-ZAN</v>
          </cell>
          <cell r="B583" t="str">
            <v>MOHD ZANIS SULAIMAN</v>
          </cell>
        </row>
        <row r="584">
          <cell r="A584" t="str">
            <v>EDDY</v>
          </cell>
          <cell r="B584" t="str">
            <v>EDDY SAFRIZAL ABDULLAH</v>
          </cell>
        </row>
        <row r="585">
          <cell r="A585" t="str">
            <v>JAM</v>
          </cell>
          <cell r="B585" t="str">
            <v>JAMALUDDIN NAWAWI</v>
          </cell>
        </row>
        <row r="586">
          <cell r="A586" t="str">
            <v>NOOR</v>
          </cell>
          <cell r="B586" t="str">
            <v>NOOR HASMADI MOHD NOOR</v>
          </cell>
        </row>
        <row r="587">
          <cell r="A587" t="str">
            <v>NY01</v>
          </cell>
          <cell r="B587" t="str">
            <v>YPM INSURANCE BROKERS (1974) SDN BHD</v>
          </cell>
        </row>
        <row r="588">
          <cell r="A588" t="str">
            <v>TI04</v>
          </cell>
          <cell r="B588" t="str">
            <v>INTERMAC ENGINEERING &amp; TRADING</v>
          </cell>
        </row>
        <row r="589">
          <cell r="A589" t="str">
            <v>TJ11</v>
          </cell>
          <cell r="B589" t="str">
            <v>JEPKO WELDMATERIALS SDN BHD</v>
          </cell>
        </row>
        <row r="590">
          <cell r="A590" t="str">
            <v>TK23</v>
          </cell>
          <cell r="B590" t="str">
            <v>K .SASISTHARAN KRISHNAN MENON</v>
          </cell>
        </row>
        <row r="591">
          <cell r="A591" t="str">
            <v>TK24</v>
          </cell>
          <cell r="B591" t="str">
            <v>KATAN WANGSA SDN BHD</v>
          </cell>
        </row>
        <row r="592">
          <cell r="A592" t="str">
            <v>TP34</v>
          </cell>
          <cell r="B592" t="str">
            <v>P.L.L CONSTRUCTION SDN BHD</v>
          </cell>
        </row>
        <row r="593">
          <cell r="A593" t="str">
            <v>TR10</v>
          </cell>
          <cell r="B593" t="str">
            <v>RAMESH EXCAVATOR SERVICES</v>
          </cell>
        </row>
        <row r="594">
          <cell r="A594" t="str">
            <v>TT37</v>
          </cell>
          <cell r="B594" t="str">
            <v>TKH CONSTRUCTION SDN BHD</v>
          </cell>
        </row>
        <row r="595">
          <cell r="A595" t="str">
            <v>TAISHO</v>
          </cell>
          <cell r="B595" t="str">
            <v>TAISHO MARINE AND FIRE INSURANCE (M) BHD</v>
          </cell>
        </row>
        <row r="16885">
          <cell r="A16885" t="str">
            <v>TS33</v>
          </cell>
          <cell r="B16885" t="str">
            <v>SETSCO SERWICES (M)`SDN!BHD</v>
          </cell>
        </row>
      </sheetData>
      <sheetData sheetId="1">
        <row r="3">
          <cell r="A3">
            <v>1</v>
          </cell>
        </row>
      </sheetData>
      <sheetData sheetId="2">
        <row r="3">
          <cell r="A3">
            <v>1</v>
          </cell>
        </row>
      </sheetData>
      <sheetData sheetId="3">
        <row r="3">
          <cell r="A3">
            <v>1</v>
          </cell>
        </row>
      </sheetData>
      <sheetData sheetId="4">
        <row r="3">
          <cell r="A3">
            <v>1</v>
          </cell>
        </row>
      </sheetData>
      <sheetData sheetId="5">
        <row r="3">
          <cell r="A3">
            <v>1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>
        <row r="3">
          <cell r="A3" t="str">
            <v>WORKING BALANCE SHEET</v>
          </cell>
        </row>
      </sheetData>
      <sheetData sheetId="22">
        <row r="3">
          <cell r="A3" t="str">
            <v>WORKING BALANCE SHEET</v>
          </cell>
        </row>
      </sheetData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pany Info"/>
      <sheetName val="CA Comp"/>
      <sheetName val="Summary of Fixed Assets"/>
      <sheetName val="Additions"/>
      <sheetName val="Disposals"/>
      <sheetName val="Hire Purchase"/>
      <sheetName val="Lease"/>
      <sheetName val="Controlled Transfer"/>
      <sheetName val="IBA Comp "/>
      <sheetName val="APCODE"/>
      <sheetName val="U110"/>
    </sheetNames>
    <sheetDataSet>
      <sheetData sheetId="0" refreshError="1">
        <row r="6">
          <cell r="B6" t="str">
            <v>2000 (Current year basis)</v>
          </cell>
        </row>
      </sheetData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"/>
      <sheetName val="disfa"/>
      <sheetName val="HPASS.XLS"/>
      <sheetName val="LEAASS.XLS"/>
      <sheetName val="movtfa"/>
      <sheetName val="ci"/>
      <sheetName val="2 Sec108"/>
      <sheetName val="Company Info"/>
      <sheetName val="CA Comp"/>
    </sheetNames>
    <sheetDataSet>
      <sheetData sheetId="0"/>
      <sheetData sheetId="1"/>
      <sheetData sheetId="2" refreshError="1"/>
      <sheetData sheetId="3"/>
      <sheetData sheetId="4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F_3"/>
      <sheetName val="FF-3"/>
      <sheetName val="F-1"/>
      <sheetName val="F-2"/>
      <sheetName val="F-3"/>
      <sheetName val="F-4"/>
      <sheetName val="F-5"/>
      <sheetName val="F-11"/>
      <sheetName val="F-11a"/>
      <sheetName val="F-22"/>
      <sheetName val="B-40"/>
      <sheetName val="B-50"/>
      <sheetName val="U "/>
      <sheetName val="U-10"/>
      <sheetName val="U-30"/>
      <sheetName val="BB-30"/>
      <sheetName val="CC-30"/>
      <sheetName val="FF-1"/>
      <sheetName val="FF-2"/>
      <sheetName val="FF-4"/>
      <sheetName val="FF-4a"/>
      <sheetName val="FF-5"/>
      <sheetName val="FF-6"/>
      <sheetName val="FF-7"/>
      <sheetName val="FF-8"/>
      <sheetName val="10"/>
      <sheetName val="11"/>
      <sheetName val="20"/>
      <sheetName val="21"/>
      <sheetName val="30"/>
      <sheetName val="40"/>
      <sheetName val="50"/>
      <sheetName val="DD-10"/>
      <sheetName val="ca"/>
      <sheetName val="_x0012_0"/>
      <sheetName val="2±"/>
      <sheetName val="_x005f_x0012_0"/>
      <sheetName val="M_Maincomp"/>
      <sheetName val="M_CT_OUT"/>
    </sheetNames>
    <sheetDataSet>
      <sheetData sheetId="0"/>
      <sheetData sheetId="1" refreshError="1">
        <row r="1">
          <cell r="A1" t="str">
            <v>NITE BEAUTY INDUSTRIES SDN. BHD.</v>
          </cell>
        </row>
        <row r="2">
          <cell r="A2" t="str">
            <v>FILE NUMBER   :  C 0887357-07</v>
          </cell>
        </row>
        <row r="3">
          <cell r="A3" t="str">
            <v>SECTION 108 CREDIT BALANCE</v>
          </cell>
        </row>
        <row r="6">
          <cell r="A6" t="str">
            <v>YEAR</v>
          </cell>
          <cell r="C6" t="str">
            <v>BALANCE</v>
          </cell>
          <cell r="E6" t="str">
            <v>CURRENT</v>
          </cell>
          <cell r="I6" t="str">
            <v>DIVIDENDS</v>
          </cell>
          <cell r="K6" t="str">
            <v>BALANCE</v>
          </cell>
        </row>
        <row r="7">
          <cell r="A7" t="str">
            <v>ENDED</v>
          </cell>
          <cell r="C7" t="str">
            <v>B/F</v>
          </cell>
          <cell r="E7" t="str">
            <v>YEAR</v>
          </cell>
          <cell r="G7" t="str">
            <v>BALANCE</v>
          </cell>
          <cell r="I7" t="str">
            <v>PAID</v>
          </cell>
          <cell r="K7" t="str">
            <v>C/F</v>
          </cell>
        </row>
        <row r="10">
          <cell r="A10" t="str">
            <v>31.12.1996</v>
          </cell>
          <cell r="C10">
            <v>14969.4</v>
          </cell>
          <cell r="E10">
            <v>518067.6</v>
          </cell>
          <cell r="G10">
            <v>533037</v>
          </cell>
          <cell r="I10">
            <v>0</v>
          </cell>
          <cell r="K10">
            <v>533037</v>
          </cell>
        </row>
        <row r="11">
          <cell r="G11" t="str">
            <v xml:space="preserve"> </v>
          </cell>
          <cell r="K11" t="str">
            <v xml:space="preserve"> 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 refreshError="1"/>
      <sheetData sheetId="38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1"/>
      <sheetName val="JC "/>
      <sheetName val="FC"/>
      <sheetName val="Sheet1"/>
      <sheetName val="Sheet2"/>
      <sheetName val="Sheet3"/>
      <sheetName val="model of schedule"/>
      <sheetName val="FF-3"/>
      <sheetName val="model%20of%20schedule.xls"/>
    </sheetNames>
    <definedNames>
      <definedName name="EEEE" refersTo="#REF!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PR"/>
      <sheetName val="BPR-1"/>
      <sheetName val="Note"/>
      <sheetName val="Data"/>
      <sheetName val="F-1"/>
      <sheetName val="F-2"/>
      <sheetName val="F-3"/>
      <sheetName val="F-4"/>
      <sheetName val="F-5"/>
      <sheetName val="F-6"/>
      <sheetName val="F-22"/>
      <sheetName val="10"/>
      <sheetName val="20"/>
      <sheetName val="30"/>
      <sheetName val="C"/>
      <sheetName val="FF"/>
      <sheetName val="FF-1"/>
      <sheetName val="FF-3"/>
      <sheetName val="A"/>
      <sheetName val="B"/>
      <sheetName val="B-10"/>
      <sheetName val="B-30"/>
      <sheetName val="L"/>
      <sheetName val="U"/>
      <sheetName val="U-1 "/>
      <sheetName val="U-100"/>
      <sheetName val="BB"/>
      <sheetName val="CC"/>
      <sheetName val="KK"/>
      <sheetName val="M&amp;MM"/>
      <sheetName val="PP"/>
      <sheetName val="NN"/>
      <sheetName val="sales cut off"/>
      <sheetName val="purchase cut off"/>
      <sheetName val="Awp"/>
      <sheetName val="FF-2"/>
    </sheetNames>
    <sheetDataSet>
      <sheetData sheetId="0" refreshError="1">
        <row r="11">
          <cell r="F11" t="str">
            <v>30.09.2000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SA"/>
      <sheetName val="B"/>
      <sheetName val="FF_2 _1_"/>
      <sheetName val="Attach"/>
      <sheetName val="Hypo"/>
      <sheetName val="F-11"/>
      <sheetName val="F-22"/>
      <sheetName val="AP110 sup"/>
      <sheetName val="AP110sup"/>
      <sheetName val="A"/>
      <sheetName val="B-10"/>
      <sheetName val="C"/>
      <sheetName val="L"/>
      <sheetName val="U"/>
      <sheetName val="AA"/>
      <sheetName val="BB"/>
      <sheetName val="BB-10"/>
      <sheetName val="BB-30"/>
      <sheetName val="CC"/>
      <sheetName val="FF"/>
      <sheetName val="FF "/>
      <sheetName val="FF-1"/>
      <sheetName val="FF-2 (1)"/>
      <sheetName val="FF-2 (2)"/>
      <sheetName val="FF-2 (3)"/>
      <sheetName val="FF-3"/>
      <sheetName val="FF-6"/>
      <sheetName val="KK-1"/>
      <sheetName val="MM"/>
      <sheetName val="MM-1"/>
      <sheetName val="MM-10"/>
      <sheetName val="NN"/>
      <sheetName val="NN-1"/>
      <sheetName val="10"/>
      <sheetName val="20"/>
      <sheetName val="30"/>
      <sheetName val="Payroll"/>
      <sheetName val="FF_2_1_"/>
      <sheetName val="Os"/>
      <sheetName val="A2-1"/>
      <sheetName val="A2-2"/>
      <sheetName val="A2-3"/>
      <sheetName val="A2-4"/>
      <sheetName val="A3-1"/>
      <sheetName val="A3-2"/>
      <sheetName val="A3-3"/>
      <sheetName val="A3-4"/>
      <sheetName val="A3-4-1"/>
      <sheetName val="C-1"/>
      <sheetName val="C-10"/>
      <sheetName val="C-20"/>
      <sheetName val="C-40"/>
      <sheetName val="E-1"/>
      <sheetName val="E-11"/>
      <sheetName val="E-12"/>
      <sheetName val="E-4"/>
      <sheetName val="E50"/>
      <sheetName val="F-1"/>
      <sheetName val="F-10"/>
      <sheetName val="F-20"/>
      <sheetName val="F-30"/>
      <sheetName val="F-40"/>
      <sheetName val="G-1"/>
      <sheetName val="G-10"/>
      <sheetName val="G-20"/>
      <sheetName val="G-40"/>
      <sheetName val="H"/>
      <sheetName val="H-1"/>
      <sheetName val="I"/>
      <sheetName val="K1"/>
      <sheetName val="K20"/>
      <sheetName val="Ka"/>
      <sheetName val="K"/>
      <sheetName val="K-1"/>
      <sheetName val="K-2"/>
      <sheetName val="K-3"/>
      <sheetName val="K-4"/>
      <sheetName val="K-6"/>
      <sheetName val="L-1"/>
      <sheetName val="L-10"/>
      <sheetName val="L-20"/>
      <sheetName val="M"/>
      <sheetName val="M-2"/>
      <sheetName val="M-2-1"/>
      <sheetName val="M-3"/>
      <sheetName val="M-4"/>
      <sheetName val="N"/>
      <sheetName val="N-1"/>
      <sheetName val="N-3"/>
      <sheetName val="O"/>
      <sheetName val="O-1"/>
      <sheetName val="O-2"/>
      <sheetName val="O-3"/>
      <sheetName val="O-4"/>
      <sheetName val="O-5"/>
      <sheetName val="O-6"/>
      <sheetName val="O-7"/>
      <sheetName val="O-8"/>
      <sheetName val="O-9"/>
      <sheetName val="O-10"/>
      <sheetName val="P"/>
      <sheetName val="P-1"/>
      <sheetName val="P-2"/>
      <sheetName val="P-4"/>
      <sheetName val="Q "/>
      <sheetName val="Q-1"/>
      <sheetName val="Q-2"/>
      <sheetName val="Q-3"/>
      <sheetName val="S"/>
      <sheetName val="S-1"/>
      <sheetName val="T"/>
      <sheetName val="U10"/>
      <sheetName val="U11"/>
      <sheetName val="U11-2"/>
      <sheetName val="U11-3"/>
      <sheetName val="U13"/>
      <sheetName val="U20"/>
      <sheetName val="U21"/>
      <sheetName val="Sheet4"/>
      <sheetName val="U30"/>
      <sheetName val="U40"/>
      <sheetName val="U50"/>
      <sheetName val="U-25 rawmat consumption"/>
      <sheetName val="BPR"/>
    </sheetNames>
    <sheetDataSet>
      <sheetData sheetId="0" refreshError="1">
        <row r="1">
          <cell r="A1" t="str">
            <v>IDSM ELECTRONICS SDN BHD</v>
          </cell>
        </row>
        <row r="2">
          <cell r="A2" t="str">
            <v>FOR THE YEAR ENDED 31 DECEMBER 2000</v>
          </cell>
        </row>
      </sheetData>
      <sheetData sheetId="1" refreshError="1">
        <row r="7">
          <cell r="C7" t="str">
            <v>31.12.99</v>
          </cell>
        </row>
      </sheetData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>
        <row r="1">
          <cell r="A1" t="str">
            <v>IDSM ELECTRONICS SDN BHD</v>
          </cell>
        </row>
        <row r="2">
          <cell r="A2" t="str">
            <v>FILE NUMBER   :  C 4909072-00</v>
          </cell>
        </row>
        <row r="3">
          <cell r="A3" t="str">
            <v>YEAR OF ASSESSMENT 2000 (CURRENT YEAR)</v>
          </cell>
        </row>
        <row r="4">
          <cell r="A4" t="str">
            <v>SECTION 108 CREDIT BALANCE</v>
          </cell>
        </row>
        <row r="7">
          <cell r="A7" t="str">
            <v>YEAR</v>
          </cell>
          <cell r="C7" t="str">
            <v>BALANCE</v>
          </cell>
          <cell r="E7" t="str">
            <v>CURRENT</v>
          </cell>
          <cell r="I7" t="str">
            <v>DIVIDENDS</v>
          </cell>
          <cell r="K7" t="str">
            <v>BALANCE</v>
          </cell>
        </row>
        <row r="8">
          <cell r="A8" t="str">
            <v>ENDED</v>
          </cell>
          <cell r="C8" t="str">
            <v>B/F</v>
          </cell>
          <cell r="E8" t="str">
            <v>YEAR</v>
          </cell>
          <cell r="G8" t="str">
            <v>BALANCE</v>
          </cell>
          <cell r="I8" t="str">
            <v>PAID</v>
          </cell>
          <cell r="K8" t="str">
            <v>C/F</v>
          </cell>
        </row>
        <row r="11">
          <cell r="A11" t="str">
            <v>31.12.1994</v>
          </cell>
          <cell r="C11">
            <v>0</v>
          </cell>
          <cell r="E11">
            <v>2684.7</v>
          </cell>
          <cell r="G11">
            <v>2684.7</v>
          </cell>
          <cell r="I11">
            <v>0</v>
          </cell>
          <cell r="K11">
            <v>2684.7</v>
          </cell>
        </row>
        <row r="12">
          <cell r="G12" t="str">
            <v xml:space="preserve"> </v>
          </cell>
          <cell r="K12" t="str">
            <v xml:space="preserve"> </v>
          </cell>
        </row>
        <row r="13">
          <cell r="A13" t="str">
            <v>31.12.1995</v>
          </cell>
          <cell r="C13">
            <v>2684.7</v>
          </cell>
          <cell r="E13">
            <v>0</v>
          </cell>
          <cell r="G13">
            <v>2684.7</v>
          </cell>
          <cell r="I13">
            <v>0</v>
          </cell>
          <cell r="K13">
            <v>2684.7</v>
          </cell>
        </row>
        <row r="15">
          <cell r="A15" t="str">
            <v>31.12.1996</v>
          </cell>
          <cell r="C15">
            <v>2684.7</v>
          </cell>
          <cell r="E15">
            <v>62365.5</v>
          </cell>
          <cell r="G15">
            <v>65050.2</v>
          </cell>
          <cell r="I15">
            <v>0</v>
          </cell>
          <cell r="K15">
            <v>65050.2</v>
          </cell>
        </row>
        <row r="16">
          <cell r="G16" t="str">
            <v xml:space="preserve"> </v>
          </cell>
          <cell r="K16" t="str">
            <v xml:space="preserve"> </v>
          </cell>
        </row>
      </sheetData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 LeadSchedule"/>
      <sheetName val="4 Analysis"/>
      <sheetName val="   Contents"/>
      <sheetName val="2 Sec108"/>
      <sheetName val="SCHEDULE 1"/>
      <sheetName val="SCHEDULE 3"/>
      <sheetName val="SCHEDULE 3A"/>
      <sheetName val="SCHEDULE 3B"/>
      <sheetName val="SCHEDULE 3C"/>
      <sheetName val="SCHEDULE 4"/>
      <sheetName val="SCHEDULE 4A"/>
      <sheetName val="SCHEDULE 5"/>
      <sheetName val="SCHEDULE 5A"/>
      <sheetName val="SCHEDULE 6"/>
      <sheetName val="SCHEDULE 7"/>
      <sheetName val="Dividend"/>
      <sheetName val="SCHEDULE 9"/>
      <sheetName val="INT2"/>
      <sheetName val="SCHEDULE 10C"/>
      <sheetName val="   Directors"/>
      <sheetName val="WORKING"/>
      <sheetName val="ATTACH"/>
      <sheetName val="ITA-RA"/>
      <sheetName val="OTHER (2)"/>
      <sheetName val="FF-2 (1)"/>
      <sheetName val="FSA"/>
      <sheetName val="B"/>
      <sheetName val="ca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/>
      <sheetData sheetId="1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 LeadSchedule"/>
      <sheetName val="ploss"/>
      <sheetName val="0000"/>
      <sheetName val="Names"/>
    </sheetNames>
    <sheetDataSet>
      <sheetData sheetId="0"/>
      <sheetData sheetId="1"/>
      <sheetData sheetId="2" refreshError="1"/>
      <sheetData sheetId="3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 LeadSchedule"/>
      <sheetName val="4 Analysis"/>
      <sheetName val="   Contents"/>
      <sheetName val="2 Sec108"/>
      <sheetName val="SCHEDULE 1"/>
      <sheetName val="SCHEDULE 3"/>
      <sheetName val="SCHEDULE 3A"/>
      <sheetName val="SCHEDULE 3B"/>
      <sheetName val="SCHEDULE 3C"/>
      <sheetName val="SCHEDULE 4"/>
      <sheetName val="SCHEDULE 4A"/>
      <sheetName val="SCHEDULE 5"/>
      <sheetName val="SCHEDULE 5A"/>
      <sheetName val="SCHEDULE 6"/>
      <sheetName val="SCHEDULE 7"/>
      <sheetName val="Dividend"/>
      <sheetName val="SCHEDULE 9"/>
      <sheetName val="INT2"/>
      <sheetName val="SCHEDULE 10C"/>
      <sheetName val="   Directors"/>
      <sheetName val="WORKING"/>
      <sheetName val="ATTACH"/>
      <sheetName val="ITA-RA"/>
      <sheetName val="OTHER (2)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/>
      <sheetData sheetId="1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ntity Data"/>
      <sheetName val="Msge1"/>
      <sheetName val="LIST"/>
      <sheetName val="Dialog2"/>
      <sheetName val="Dialog1"/>
      <sheetName val="Module1"/>
      <sheetName val="AUTOMOD"/>
      <sheetName val="Mod1 - print"/>
      <sheetName val="Mod2 - goto"/>
      <sheetName val="EXPORTMOD"/>
      <sheetName val="Tax Comp"/>
      <sheetName val="CA"/>
      <sheetName val="Sch40"/>
      <sheetName val="Sch45"/>
      <sheetName val="Sch50"/>
      <sheetName val="Sch55"/>
      <sheetName val="U-ADD"/>
      <sheetName val="U-DISP"/>
      <sheetName val="RA"/>
      <sheetName val="Sch150"/>
      <sheetName val="Sch160"/>
      <sheetName val="Sch170-180"/>
      <sheetName val="Sch185"/>
      <sheetName val="Sch190"/>
      <sheetName val="Sch340"/>
      <sheetName val="Dialoe1"/>
      <sheetName val="1 LeadSchedule"/>
      <sheetName val="Sheet4"/>
      <sheetName val="G1"/>
      <sheetName val="Interim --&gt; Top"/>
      <sheetName val="2001"/>
      <sheetName val="3 P&amp;L "/>
      <sheetName val="Bal Sheet"/>
      <sheetName val="Cover"/>
      <sheetName val="FSL"/>
      <sheetName val="FF-3"/>
      <sheetName val="App WP-11"/>
      <sheetName val="MTHLYR99"/>
      <sheetName val="FFE"/>
      <sheetName val="A3.1"/>
      <sheetName val="TLCF-YR"/>
      <sheetName val="Investment"/>
      <sheetName val="10"/>
      <sheetName val="1048"/>
      <sheetName val="Chemlist"/>
      <sheetName val="currency"/>
      <sheetName val="EMAS Overview"/>
      <sheetName val="FF-1"/>
      <sheetName val="CashFlow"/>
      <sheetName val="BS"/>
      <sheetName val="Accounts00"/>
      <sheetName val="FSA"/>
      <sheetName val="App WP_11"/>
      <sheetName val="B"/>
      <sheetName val="5 Analysis"/>
      <sheetName val="FF-5"/>
      <sheetName val="Company Info"/>
      <sheetName val="CA Comp"/>
      <sheetName val="Adm97"/>
      <sheetName val="Assumption sheet"/>
      <sheetName val="tax-ss"/>
      <sheetName val="A-1"/>
      <sheetName val="Sheet3"/>
      <sheetName val="inventory.qty.Dec"/>
      <sheetName val="Inventory Valuation Quantity"/>
      <sheetName val="O3"/>
      <sheetName val="O4"/>
      <sheetName val="FF-21(a)"/>
      <sheetName val="n10"/>
      <sheetName val="details"/>
      <sheetName val="BPR"/>
      <sheetName val="Gen. Assump."/>
      <sheetName val="P12.4"/>
      <sheetName val="U2 - Sales"/>
      <sheetName val="fixed assets-amended"/>
      <sheetName val="FF-2 (1)"/>
      <sheetName val="N2-1F"/>
      <sheetName val="Carpet"/>
      <sheetName val="4 Analysis"/>
      <sheetName val="BALANCE SHEET"/>
      <sheetName val="F-1 F-2"/>
      <sheetName val="Links"/>
      <sheetName val="H1-Investments"/>
      <sheetName val="wbs"/>
      <sheetName val="Working"/>
      <sheetName val="gl"/>
      <sheetName val="addl cost"/>
      <sheetName val="A"/>
    </sheetNames>
    <sheetDataSet>
      <sheetData sheetId="0" refreshError="1">
        <row r="8">
          <cell r="D8" t="str">
            <v>31/12/98</v>
          </cell>
          <cell r="G8">
            <v>0.28000000000000003</v>
          </cell>
          <cell r="H8">
            <v>0.28000000000000003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"/>
      <sheetName val="0000"/>
      <sheetName val="F-1"/>
      <sheetName val="F-2"/>
      <sheetName val="F-3"/>
      <sheetName val="Materiality"/>
      <sheetName val="cf"/>
      <sheetName val="F-4"/>
      <sheetName val="F-5"/>
      <sheetName val="F-6"/>
      <sheetName val="F-9"/>
      <sheetName val="F-22"/>
      <sheetName val="Cashflow"/>
      <sheetName val="BPR balance sheet"/>
      <sheetName val="BPR profit &amp; loss"/>
      <sheetName val="BPR BS analysis"/>
      <sheetName val="BPR PL analysis"/>
      <sheetName val="A"/>
      <sheetName val="A-2"/>
      <sheetName val="B"/>
      <sheetName val="B-1"/>
      <sheetName val="C"/>
      <sheetName val="C-10"/>
      <sheetName val="NRV-1"/>
      <sheetName val="NRV-2"/>
      <sheetName val="L"/>
      <sheetName val="M"/>
      <sheetName val="N"/>
      <sheetName val="N-10"/>
      <sheetName val="N-11"/>
      <sheetName val="N-12"/>
      <sheetName val="N-20"/>
      <sheetName val="AA"/>
      <sheetName val="AA-3"/>
      <sheetName val="BB-1"/>
      <sheetName val="BB"/>
      <sheetName val="CC"/>
      <sheetName val="CC-24"/>
      <sheetName val="CC-50"/>
      <sheetName val="FF"/>
      <sheetName val="FF-1"/>
      <sheetName val="FF-10"/>
      <sheetName val="MM"/>
      <sheetName val="NN"/>
      <sheetName val="10"/>
      <sheetName val="20"/>
      <sheetName val="25"/>
      <sheetName val="30"/>
      <sheetName val="31"/>
      <sheetName val="70"/>
      <sheetName val="Entity Data"/>
      <sheetName val="C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 refreshError="1"/>
      <sheetData sheetId="51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SL"/>
      <sheetName val="OS"/>
      <sheetName val="BPPP"/>
      <sheetName val="Grey Book"/>
      <sheetName val="E"/>
      <sheetName val="110"/>
      <sheetName val="Sup"/>
      <sheetName val="F-11"/>
      <sheetName val="F-22"/>
      <sheetName val="C"/>
      <sheetName val="C-10"/>
      <sheetName val="APP-1"/>
      <sheetName val="APP-2"/>
      <sheetName val="MM"/>
      <sheetName val="10"/>
      <sheetName val="11"/>
      <sheetName val="20"/>
      <sheetName val="30"/>
      <sheetName val="34"/>
      <sheetName val="40"/>
      <sheetName val="FF"/>
      <sheetName val="FF "/>
      <sheetName val="FF-1"/>
      <sheetName val="FF-2"/>
      <sheetName val="FF-3"/>
      <sheetName val="FF-7"/>
      <sheetName val="U"/>
      <sheetName val="DPLA"/>
      <sheetName val="FSA"/>
      <sheetName val="JAN"/>
    </sheetNames>
    <sheetDataSet>
      <sheetData sheetId="0" refreshError="1">
        <row r="1">
          <cell r="B1" t="str">
            <v>FCI CONNECTORS MALAYSIA SDN. BHD.</v>
          </cell>
        </row>
        <row r="2">
          <cell r="B2" t="str">
            <v>AUDIT FOR THE YEAR ENDING 31 DECEMBER 2001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F_2"/>
      <sheetName val="Hypothesis"/>
      <sheetName val="Profitability"/>
      <sheetName val="Profitability Analysis"/>
      <sheetName val="BS"/>
      <sheetName val="FSA"/>
      <sheetName val="F-1&amp;2"/>
      <sheetName val="F-3"/>
      <sheetName val="F-4"/>
      <sheetName val="F-5"/>
      <sheetName val="F-6"/>
      <sheetName val="CF1"/>
      <sheetName val="CF"/>
      <sheetName val="A"/>
      <sheetName val="B"/>
      <sheetName val="B-1"/>
      <sheetName val="C"/>
      <sheetName val="sales cut off"/>
      <sheetName val="Purch cut off"/>
      <sheetName val="L"/>
      <sheetName val="U"/>
      <sheetName val="AA"/>
      <sheetName val="BB"/>
      <sheetName val="CC"/>
      <sheetName val="FF"/>
      <sheetName val="FF-1"/>
      <sheetName val="FF-2"/>
      <sheetName val="FF-3"/>
      <sheetName val="KK"/>
      <sheetName val="MM"/>
      <sheetName val="M&amp;MM-10"/>
      <sheetName val="PP"/>
      <sheetName val="pp-1"/>
      <sheetName val="10"/>
      <sheetName val="30"/>
      <sheetName val="40 (2)"/>
      <sheetName val="50 (2)"/>
      <sheetName val="60"/>
      <sheetName val="70"/>
      <sheetName val="BIF-collect"/>
      <sheetName val="BIF-OR"/>
      <sheetName val="Module1"/>
      <sheetName val="Module2"/>
      <sheetName val="Module3"/>
      <sheetName val="Future"/>
      <sheetName val="Attachment"/>
      <sheetName val="F-22"/>
      <sheetName val="30 "/>
      <sheetName val="40"/>
      <sheetName val="50"/>
      <sheetName val="FSL"/>
      <sheetName val="cashflowcomp"/>
      <sheetName val="Register"/>
      <sheetName val="wuerth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>
        <row r="1">
          <cell r="A1" t="str">
            <v>WUERTH (MALAYSIA) SDN BHD</v>
          </cell>
        </row>
        <row r="2">
          <cell r="A2" t="str">
            <v>FILE NUMBER : C3896483-10</v>
          </cell>
        </row>
        <row r="3">
          <cell r="A3" t="str">
            <v>YEAR OF ASSESSMENT 2000 (CURRENT YEAR)</v>
          </cell>
        </row>
        <row r="4">
          <cell r="A4" t="str">
            <v>ADDITIONS  OF FIXED ASSETS ANALYSES</v>
          </cell>
        </row>
        <row r="5">
          <cell r="A5" t="str">
            <v>-</v>
          </cell>
          <cell r="B5" t="str">
            <v>-</v>
          </cell>
          <cell r="I5" t="str">
            <v>-</v>
          </cell>
          <cell r="J5" t="str">
            <v>-</v>
          </cell>
        </row>
        <row r="6">
          <cell r="J6" t="str">
            <v>QUALIFY</v>
          </cell>
        </row>
        <row r="7">
          <cell r="I7" t="str">
            <v>NON</v>
          </cell>
          <cell r="J7" t="str">
            <v>NON</v>
          </cell>
        </row>
        <row r="8">
          <cell r="A8" t="str">
            <v>DESCRIPTION</v>
          </cell>
          <cell r="B8" t="str">
            <v>AMOUNT</v>
          </cell>
          <cell r="D8">
            <v>0.08</v>
          </cell>
          <cell r="E8">
            <v>0.12</v>
          </cell>
          <cell r="F8">
            <v>0.14000000000000001</v>
          </cell>
          <cell r="G8">
            <v>0.16</v>
          </cell>
          <cell r="H8">
            <v>0.4</v>
          </cell>
          <cell r="I8" t="str">
            <v>RANKING</v>
          </cell>
          <cell r="J8" t="str">
            <v>IA ONLY</v>
          </cell>
          <cell r="K8" t="str">
            <v>REF</v>
          </cell>
        </row>
        <row r="10">
          <cell r="A10" t="str">
            <v>OFFICE COMPUTER</v>
          </cell>
        </row>
        <row r="11">
          <cell r="A11" t="str">
            <v>Office computer</v>
          </cell>
          <cell r="B11">
            <v>10304</v>
          </cell>
          <cell r="H11">
            <v>10304</v>
          </cell>
        </row>
        <row r="12">
          <cell r="A12" t="str">
            <v>Computer</v>
          </cell>
          <cell r="B12">
            <v>10304</v>
          </cell>
          <cell r="H12">
            <v>10304</v>
          </cell>
        </row>
        <row r="13">
          <cell r="A13" t="str">
            <v>Assets under HP</v>
          </cell>
          <cell r="B13">
            <v>40790</v>
          </cell>
          <cell r="G13">
            <v>40790</v>
          </cell>
        </row>
        <row r="14">
          <cell r="A14" t="str">
            <v>Total</v>
          </cell>
          <cell r="B14">
            <v>10304</v>
          </cell>
        </row>
        <row r="15">
          <cell r="A15" t="str">
            <v>Grand total - QE</v>
          </cell>
          <cell r="B15">
            <v>51094</v>
          </cell>
          <cell r="D15">
            <v>0</v>
          </cell>
          <cell r="E15">
            <v>0</v>
          </cell>
          <cell r="F15">
            <v>0</v>
          </cell>
          <cell r="G15">
            <v>40790</v>
          </cell>
          <cell r="H15">
            <v>10304</v>
          </cell>
        </row>
        <row r="17">
          <cell r="A17" t="str">
            <v>TOTAL ADDITION FIXED ASSETS</v>
          </cell>
          <cell r="B17">
            <v>10304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10304</v>
          </cell>
          <cell r="I17">
            <v>0</v>
          </cell>
          <cell r="J17">
            <v>0</v>
          </cell>
        </row>
        <row r="18">
          <cell r="D18">
            <v>0</v>
          </cell>
          <cell r="E18">
            <v>0</v>
          </cell>
          <cell r="F18">
            <v>0</v>
          </cell>
          <cell r="G18">
            <v>16316</v>
          </cell>
          <cell r="H18">
            <v>6182.4000000000005</v>
          </cell>
          <cell r="I18">
            <v>22498.400000000001</v>
          </cell>
        </row>
        <row r="19">
          <cell r="A19" t="str">
            <v>add: AA on existing fixed assets</v>
          </cell>
          <cell r="I19">
            <v>75636</v>
          </cell>
        </row>
        <row r="20">
          <cell r="I20">
            <v>98134.399999999994</v>
          </cell>
        </row>
        <row r="21">
          <cell r="A21" t="str">
            <v>ASSETS HELD UNDER HP (Schedule RHP)</v>
          </cell>
          <cell r="B21">
            <v>0</v>
          </cell>
          <cell r="G21">
            <v>0</v>
          </cell>
          <cell r="J21">
            <v>0</v>
          </cell>
        </row>
        <row r="22">
          <cell r="A22" t="str">
            <v>TWDV b/f</v>
          </cell>
          <cell r="C22">
            <v>140724</v>
          </cell>
        </row>
        <row r="23">
          <cell r="A23" t="str">
            <v>add: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10304</v>
          </cell>
          <cell r="I23">
            <v>0</v>
          </cell>
          <cell r="J23">
            <v>0</v>
          </cell>
        </row>
        <row r="24">
          <cell r="A24" t="str">
            <v>QE for current period</v>
          </cell>
          <cell r="C24">
            <v>51094</v>
          </cell>
        </row>
        <row r="25">
          <cell r="A25" t="str">
            <v>less:</v>
          </cell>
        </row>
        <row r="26">
          <cell r="A26" t="str">
            <v>CA claimed</v>
          </cell>
          <cell r="C26">
            <v>-98134.399999999994</v>
          </cell>
        </row>
        <row r="27">
          <cell r="A27" t="str">
            <v>TWDV c/f</v>
          </cell>
          <cell r="C27">
            <v>93683.6</v>
          </cell>
        </row>
      </sheetData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/>
      <sheetData sheetId="38"/>
      <sheetData sheetId="39"/>
      <sheetData sheetId="40"/>
      <sheetData sheetId="41" refreshError="1"/>
      <sheetData sheetId="42" refreshError="1"/>
      <sheetData sheetId="43" refreshError="1"/>
      <sheetData sheetId="44"/>
      <sheetData sheetId="45"/>
      <sheetData sheetId="46"/>
      <sheetData sheetId="47"/>
      <sheetData sheetId="48"/>
      <sheetData sheetId="49"/>
      <sheetData sheetId="50" refreshError="1"/>
      <sheetData sheetId="51" refreshError="1"/>
      <sheetData sheetId="52" refreshError="1"/>
      <sheetData sheetId="53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PR"/>
      <sheetName val="BPR-1"/>
      <sheetName val="Note"/>
      <sheetName val="Data"/>
      <sheetName val="F-1"/>
      <sheetName val="F-2"/>
      <sheetName val="F-3"/>
      <sheetName val="F-4"/>
      <sheetName val="F-5"/>
      <sheetName val="F-6"/>
      <sheetName val="F-22"/>
      <sheetName val="10"/>
      <sheetName val="20"/>
      <sheetName val="30"/>
      <sheetName val="C"/>
      <sheetName val="FF"/>
      <sheetName val="FF-1"/>
      <sheetName val="FF-3"/>
      <sheetName val="A"/>
      <sheetName val="B"/>
      <sheetName val="B-10"/>
      <sheetName val="B-30"/>
      <sheetName val="L"/>
      <sheetName val="U"/>
      <sheetName val="U-1 "/>
      <sheetName val="U-100"/>
      <sheetName val="BB"/>
      <sheetName val="CC"/>
      <sheetName val="KK"/>
      <sheetName val="M&amp;MM"/>
      <sheetName val="PP"/>
      <sheetName val="NN"/>
      <sheetName val="sales cut off"/>
      <sheetName val="purchase cut off"/>
      <sheetName val="FF-2"/>
      <sheetName val="Awp"/>
    </sheetNames>
    <sheetDataSet>
      <sheetData sheetId="0" refreshError="1">
        <row r="11">
          <cell r="F11" t="str">
            <v>30.09.2000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0"/>
      <sheetName val="L"/>
      <sheetName val="M, MM"/>
      <sheetName val="BB"/>
      <sheetName val="BB-1"/>
      <sheetName val=" BB-2"/>
      <sheetName val="CC"/>
      <sheetName val="CC-1"/>
      <sheetName val="CC-2"/>
      <sheetName val="CC-3-1"/>
      <sheetName val="PP"/>
      <sheetName val="PP-1"/>
      <sheetName val="PP-2"/>
      <sheetName val="70"/>
      <sheetName val="RCD 5- (APPENDIX 1)"/>
      <sheetName val="BPR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F_11"/>
      <sheetName val="10"/>
    </sheetNames>
    <sheetDataSet>
      <sheetData sheetId="0"/>
      <sheetData sheetId="1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5 Analysis"/>
      <sheetName val="   Contents"/>
      <sheetName val="1 LeadSchedule"/>
      <sheetName val="2 Sec108"/>
      <sheetName val="3 P&amp;L - 4 Op.Exp"/>
      <sheetName val="3A Turnover 3B COS"/>
      <sheetName val="   Directors"/>
      <sheetName val="Shareholders"/>
      <sheetName val="Dividend"/>
      <sheetName val="ITA-RA"/>
      <sheetName val="Int-rest"/>
      <sheetName val="OTHER (2)"/>
      <sheetName val="Checklist"/>
      <sheetName val="Sheet2"/>
      <sheetName val="Highlight"/>
      <sheetName val="A3-1"/>
      <sheetName val="A3-2"/>
      <sheetName val="A3-3"/>
      <sheetName val="A2-1"/>
      <sheetName val="A2-2"/>
      <sheetName val="A2-3"/>
      <sheetName val="A2-4"/>
      <sheetName val="A-8"/>
      <sheetName val="SAD"/>
      <sheetName val="A5-1 CPL"/>
      <sheetName val="A5-2 CBS"/>
      <sheetName val="A5-3 Inter bal"/>
      <sheetName val="A5-4 Inter trans"/>
      <sheetName val="A5-5 RPT"/>
      <sheetName val="A5-6 Notes"/>
      <sheetName val="A5-7 FC &amp; sale prop"/>
      <sheetName val="C"/>
      <sheetName val="C-10"/>
      <sheetName val="E"/>
      <sheetName val="F"/>
      <sheetName val="F-10"/>
      <sheetName val="G"/>
      <sheetName val="I"/>
      <sheetName val="I-10"/>
      <sheetName val="K"/>
      <sheetName val="K-8"/>
      <sheetName val="K-9"/>
      <sheetName val="K-10"/>
      <sheetName val="M"/>
      <sheetName val="M-2"/>
      <sheetName val="N"/>
      <sheetName val="N-20"/>
      <sheetName val="P"/>
      <sheetName val="O"/>
      <sheetName val="S"/>
      <sheetName val="T"/>
      <sheetName val="U10"/>
      <sheetName val="U11"/>
      <sheetName val="U20"/>
      <sheetName val="U21"/>
      <sheetName val="U-22"/>
      <sheetName val="U30"/>
      <sheetName val="U31"/>
      <sheetName val="U70"/>
      <sheetName val="FF_11"/>
      <sheetName val="FF-6"/>
      <sheetName val="Notes to Accounts"/>
      <sheetName val="10"/>
      <sheetName val="TB"/>
      <sheetName val="Dept"/>
      <sheetName val="FDREPORT"/>
      <sheetName val="CA Sheet"/>
      <sheetName val="gl"/>
      <sheetName val="OPI"/>
      <sheetName val="BPR-Bloom"/>
      <sheetName val="Lease"/>
      <sheetName val="ACT"/>
      <sheetName val="BPR"/>
      <sheetName val="Cum.91-93"/>
      <sheetName val="Dec 94"/>
      <sheetName val="PM Setting"/>
      <sheetName val="4 Analysis"/>
      <sheetName val="A-1"/>
      <sheetName val="Alternative Procedures"/>
      <sheetName val="Excess Calc"/>
      <sheetName val="Accounts"/>
      <sheetName val="FF-1"/>
      <sheetName val="FF-3"/>
      <sheetName val="A3|1"/>
      <sheetName val="Appx B"/>
      <sheetName val="B"/>
      <sheetName val="P12.4"/>
      <sheetName val="PAYROLL"/>
      <sheetName val="Reimbursements"/>
      <sheetName val="6446"/>
      <sheetName val="Sheet3"/>
      <sheetName val="K101"/>
      <sheetName val="P&amp;L"/>
      <sheetName val="_x0000__x0003__x0000_"/>
      <sheetName val="MFA"/>
      <sheetName val="ABACUS-SCH1"/>
      <sheetName val="Thuc thanh"/>
      <sheetName val="Menu"/>
      <sheetName val="F-5"/>
      <sheetName val="Capital Allowance"/>
      <sheetName val="B-3"/>
      <sheetName val="?_x0003_?"/>
      <sheetName val="3 Analysis"/>
      <sheetName val="BS"/>
      <sheetName val="Ul1"/>
      <sheetName val="Significant Processes"/>
      <sheetName val="A8-1-3"/>
      <sheetName val="U_dis"/>
      <sheetName val=" IB-PL-YTD"/>
      <sheetName val="O5"/>
      <sheetName val="O7"/>
      <sheetName val="___Contents"/>
      <sheetName val="1_LeadSchedule"/>
      <sheetName val="2_Sec108"/>
      <sheetName val="3_P&amp;L_-_4_Op_Exp"/>
      <sheetName val="3A_Turnover_3B_COS"/>
      <sheetName val="5_Analysis"/>
      <sheetName val="___Directors"/>
      <sheetName val="OTHER_(2)"/>
      <sheetName val="A5-1_CPL"/>
      <sheetName val="A5-2_CBS"/>
      <sheetName val="A5-3_Inter_bal"/>
      <sheetName val="A5-4_Inter_trans"/>
      <sheetName val="A5-5_RPT"/>
      <sheetName val="A5-6_Notes"/>
      <sheetName val="A5-7_FC_&amp;_sale_prop"/>
      <sheetName val="CA_Sheet"/>
      <sheetName val="Excess_Calc"/>
      <sheetName val="Alternative_Procedures"/>
      <sheetName val="P12_4"/>
      <sheetName val="Appx_B"/>
      <sheetName val="PM_Setting"/>
      <sheetName val="4_Analysis"/>
      <sheetName val=""/>
      <sheetName val="Thuc_thanh"/>
      <sheetName val="Cum_91-93"/>
      <sheetName val="Dec_94"/>
      <sheetName val="Capital_Allowance"/>
      <sheetName val="??"/>
      <sheetName val="3_Analysis"/>
      <sheetName val="FF-4"/>
      <sheetName val="PSI"/>
      <sheetName val="sap"/>
      <sheetName val="G-35-3"/>
      <sheetName val="lead "/>
      <sheetName val="PLOSS"/>
      <sheetName val="tax-ss"/>
      <sheetName val="FF-2"/>
      <sheetName val="Alternative Procedure"/>
      <sheetName val="B_Sheet"/>
      <sheetName val="Notes"/>
      <sheetName val="TBal"/>
      <sheetName val="O2"/>
      <sheetName val="Test of Beginning"/>
      <sheetName val="Repayment"/>
      <sheetName val="acs"/>
      <sheetName val="Standing Data"/>
      <sheetName val="PCSB S.O.W"/>
      <sheetName val="BS(Deloittes)"/>
      <sheetName val="LookUp"/>
      <sheetName val="Cat_Act Type"/>
      <sheetName val="Master"/>
      <sheetName val="FFE"/>
      <sheetName val="10-20"/>
      <sheetName val="details"/>
      <sheetName val="Sheet1"/>
      <sheetName val="U-13-2(disc)"/>
      <sheetName val="LEAD"/>
      <sheetName val="U-50"/>
      <sheetName val="RATE"/>
      <sheetName val="A760"/>
      <sheetName val="Bal Sheet"/>
      <sheetName val="NOMENCLATURE"/>
      <sheetName val="FADISP-FY2002(B)"/>
      <sheetName val="BS-M"/>
      <sheetName val="JobDetails"/>
      <sheetName val="C101"/>
      <sheetName val="U102-U104 Detail"/>
      <sheetName val="U1101"/>
      <sheetName val="0000"/>
      <sheetName val="U501-Realised Forex"/>
      <sheetName val="cashflowcomp"/>
      <sheetName val="_x0003__x0000_"/>
      <sheetName val="QENQEDec2006"/>
      <sheetName val="Assumptions"/>
      <sheetName val="_x0003_?"/>
      <sheetName val="CORRECTION"/>
      <sheetName val="TB-00"/>
      <sheetName val="TB-01"/>
      <sheetName val="TB-02"/>
      <sheetName val="TB-03"/>
      <sheetName val="O1"/>
      <sheetName val="KH-Q1,Q2,01"/>
      <sheetName val="105070202"/>
      <sheetName val="Expenses"/>
      <sheetName val="tables"/>
      <sheetName val="HP Repayment"/>
      <sheetName val="Chemlist"/>
      <sheetName val="Basis of Selection"/>
      <sheetName val="Rental"/>
      <sheetName val="Salaries"/>
      <sheetName val="___Contents1"/>
      <sheetName val="1_LeadSchedule1"/>
      <sheetName val="2_Sec1081"/>
      <sheetName val="3_P&amp;L_-_4_Op_Exp1"/>
      <sheetName val="3A_Turnover_3B_COS1"/>
      <sheetName val="5_Analysis1"/>
      <sheetName val="___Directors1"/>
      <sheetName val="OTHER_(2)1"/>
      <sheetName val="A5-1_CPL1"/>
      <sheetName val="A5-2_CBS1"/>
      <sheetName val="A5-3_Inter_bal1"/>
      <sheetName val="A5-4_Inter_trans1"/>
      <sheetName val="A5-5_RPT1"/>
      <sheetName val="A5-6_Notes1"/>
      <sheetName val="A5-7_FC_&amp;_sale_prop1"/>
      <sheetName val="CA_Sheet1"/>
      <sheetName val="Alternative_Procedures1"/>
      <sheetName val="Excess_Calc1"/>
      <sheetName val="Thuc_thanh1"/>
      <sheetName val="Appx_B1"/>
      <sheetName val="Capital_Allowance1"/>
      <sheetName val="P12_41"/>
      <sheetName val="Significant_Processes"/>
      <sheetName val="PM_Setting1"/>
      <sheetName val="4_Analysis1"/>
      <sheetName val="3_Analysis1"/>
      <sheetName val="lead_"/>
      <sheetName val="_IB-PL-YTD"/>
      <sheetName val="Cum_91-931"/>
      <sheetName val="Dec_941"/>
      <sheetName val="Alternative_Procedure"/>
      <sheetName val="Test_of_Beginning"/>
      <sheetName val="Standing_Data"/>
      <sheetName val="Cat_Act_Type"/>
      <sheetName val="K4-1"/>
      <sheetName val="CA-8"/>
      <sheetName val="03ELITEBA"/>
      <sheetName val="03ELITENO"/>
      <sheetName val="FF-11"/>
      <sheetName val="#REF!"/>
      <sheetName val="FA"/>
      <sheetName val="UB1"/>
      <sheetName val="Variables"/>
      <sheetName val="Tax Comp"/>
      <sheetName val="CA"/>
      <sheetName val="Outil"/>
      <sheetName val="Significant Accounts"/>
      <sheetName val="1570 NB"/>
      <sheetName val="Movement"/>
      <sheetName val="Control"/>
      <sheetName val="CIPA"/>
      <sheetName val="_x005f_x0000__x005f_x0003__x005f_x0000_"/>
      <sheetName val="master_BB"/>
      <sheetName val="Bandwidth Requirement"/>
      <sheetName val="Lookups"/>
      <sheetName val="VoIP Inputs"/>
      <sheetName val="Country level inputs"/>
      <sheetName val="U2 Sales"/>
      <sheetName val="_x0003_"/>
      <sheetName val="C1-Cash"/>
      <sheetName val="6544(New)"/>
      <sheetName val="6442(New)"/>
      <sheetName val="A"/>
      <sheetName val="List"/>
      <sheetName val="H R"/>
      <sheetName val="应收票据(关联方)"/>
      <sheetName val="A3"/>
      <sheetName val="BlSheet"/>
      <sheetName val="FF-5"/>
      <sheetName val="MMIP(JU)"/>
      <sheetName val="F-1&amp;F-2"/>
      <sheetName val="YTD-09-05"/>
      <sheetName val="__x0003__"/>
      <sheetName val="__"/>
      <sheetName val="DTCT"/>
      <sheetName val="Hyperion "/>
      <sheetName val="hsbc"/>
      <sheetName val="B_3"/>
      <sheetName val="E6-Circularisation"/>
      <sheetName val="Note"/>
      <sheetName val="bldg-cost"/>
      <sheetName val="Pricing"/>
      <sheetName val="K4. F&amp;F"/>
      <sheetName val="_x0003__"/>
      <sheetName val="CA Comp"/>
      <sheetName val="FF-2 (1)"/>
      <sheetName val="FSA"/>
      <sheetName val="t_b"/>
      <sheetName val="PA"/>
      <sheetName val="Revenue  (KL)"/>
      <sheetName val="A3_1"/>
      <sheetName val="TAXCOM96"/>
      <sheetName val="A2l1.SAD"/>
      <sheetName val="S2"/>
      <sheetName val="Journal"/>
      <sheetName val="SYS"/>
      <sheetName val="__x005f_x0003__"/>
      <sheetName val="accumdeprn"/>
      <sheetName val="p.2 Disclosure"/>
      <sheetName val="ExcRate"/>
      <sheetName val="TOC"/>
      <sheetName val="Toggle Gen"/>
      <sheetName val="Toggle PR"/>
      <sheetName val="Toggle Trav"/>
      <sheetName val="PL"/>
      <sheetName val="REV_OI"/>
      <sheetName val="REV"/>
      <sheetName val="COS"/>
      <sheetName val="OHD SUMM"/>
      <sheetName val="PR_HC"/>
      <sheetName val="PR"/>
      <sheetName val="PR_COST_C"/>
      <sheetName val="ADMIN"/>
      <sheetName val="TRAV_C"/>
      <sheetName val="OTH OPEX"/>
      <sheetName val="DEP C"/>
      <sheetName val="AMOR C"/>
      <sheetName val="FR"/>
      <sheetName val="CAPEX and INV PLAN"/>
      <sheetName val="CF"/>
      <sheetName val="Legal Entity"/>
      <sheetName val="Div"/>
      <sheetName val="DEPN NBV"/>
      <sheetName val="Interco balance"/>
      <sheetName val="oth rec,oth payables"/>
      <sheetName val="Coeffs"/>
      <sheetName val="G1"/>
      <sheetName val="Controls"/>
      <sheetName val="Print Controls"/>
      <sheetName val="___Contents2"/>
      <sheetName val="1_LeadSchedule2"/>
      <sheetName val="2_Sec1082"/>
      <sheetName val="3_P&amp;L_-_4_Op_Exp2"/>
      <sheetName val="3A_Turnover_3B_COS2"/>
      <sheetName val="5_Analysis2"/>
      <sheetName val="___Directors2"/>
      <sheetName val="OTHER_(2)2"/>
      <sheetName val="A5-1_CPL2"/>
      <sheetName val="A5-2_CBS2"/>
      <sheetName val="A5-3_Inter_bal2"/>
      <sheetName val="A5-4_Inter_trans2"/>
      <sheetName val="A5-5_RPT2"/>
      <sheetName val="A5-6_Notes2"/>
      <sheetName val="A5-7_FC_&amp;_sale_prop2"/>
      <sheetName val="CA_Sheet2"/>
      <sheetName val="Alternative_Procedures2"/>
      <sheetName val="Excess_Calc2"/>
      <sheetName val="Appx_B2"/>
      <sheetName val="P12_42"/>
      <sheetName val="PM_Setting2"/>
      <sheetName val="3_Analysis2"/>
      <sheetName val="Thuc_thanh2"/>
      <sheetName val="4_Analysis2"/>
      <sheetName val="_IB-PL-YTD1"/>
      <sheetName val="Cum_91-932"/>
      <sheetName val="Dec_942"/>
      <sheetName val="Capital_Allowance2"/>
      <sheetName val="lead_1"/>
      <sheetName val="Significant_Processes1"/>
      <sheetName val="Test_of_Beginning1"/>
      <sheetName val="Standing_Data1"/>
      <sheetName val="Cat_Act_Type1"/>
      <sheetName val="Alternative_Procedure1"/>
      <sheetName val="PCSB_S_O_W"/>
      <sheetName val="Bal_Sheet"/>
      <sheetName val="U102-U104_Detail"/>
      <sheetName val="U501-Realised_Forex"/>
      <sheetName val="HP_Repayment"/>
      <sheetName val="Basis_of_Selection"/>
      <sheetName val="?"/>
      <sheetName val="Tax_Comp"/>
      <sheetName val="1570_NB"/>
      <sheetName val="Significant_Accounts"/>
      <sheetName val="Bandwidth_Requirement"/>
      <sheetName val="VoIP_Inputs"/>
      <sheetName val="Country_level_inputs"/>
      <sheetName val="U2_Sales"/>
      <sheetName val="H_R"/>
      <sheetName val="Vessel"/>
      <sheetName val="UB-20"/>
      <sheetName val="F-4l5"/>
      <sheetName val="BB-11(CAR)"/>
      <sheetName val="BB-5(Fire)"/>
      <sheetName val="BB-13(liabilities)"/>
      <sheetName val="BB-10(Cargo)"/>
      <sheetName val="BB-9(Hull)"/>
      <sheetName val="BB-7(ACT)"/>
      <sheetName val="BB-6(MO)"/>
      <sheetName val="BB-14(other)"/>
      <sheetName val="BB-8(PA)"/>
      <sheetName val="BB-12(WC)"/>
      <sheetName val="BPCOR DETAILS"/>
      <sheetName val="BPMKT DETAILS"/>
      <sheetName val="P &amp; L EP"/>
      <sheetName val="P&amp;L JB"/>
      <sheetName val="Interim --&gt; Top"/>
      <sheetName val="K10"/>
      <sheetName val="K10-1 "/>
      <sheetName val="H1-Investments"/>
      <sheetName val="IBA &lt;O3&gt;"/>
      <sheetName val="BIS LIST-NTH 18"/>
      <sheetName val="AFA"/>
      <sheetName val="COMPUTATION"/>
      <sheetName val="D"/>
      <sheetName val="?_x005f_x0003_?"/>
      <sheetName val="_x005f_x0003_"/>
      <sheetName val="_x005f_x0003__x005f_x0000_"/>
      <sheetName val="_x005f_x0003_?"/>
      <sheetName val="_x005f_x0003__"/>
      <sheetName val="Loan Movements"/>
      <sheetName val="F-1|F-2"/>
      <sheetName val="Post 99"/>
      <sheetName val="July Posting"/>
      <sheetName val="jul97"/>
      <sheetName val="Pnl-10"/>
      <sheetName val="20"/>
      <sheetName val="70"/>
      <sheetName val="AA"/>
      <sheetName val="AP110"/>
      <sheetName val="B-10"/>
      <sheetName val="BB-1"/>
      <sheetName val="C-5"/>
      <sheetName val="C-6"/>
      <sheetName val="C-6a"/>
      <sheetName val="CC"/>
      <sheetName val="F-1l2"/>
      <sheetName val="F-21"/>
      <sheetName val="F-4"/>
      <sheetName val="FF"/>
      <sheetName val="F-8(FSA)"/>
      <sheetName val="L"/>
      <sheetName val="M MM"/>
      <sheetName val="30a"/>
      <sheetName val="30-Note"/>
      <sheetName val="U-2"/>
      <sheetName val="cover"/>
      <sheetName val="F-3"/>
      <sheetName val="A-P&amp;L"/>
      <sheetName val="F_3"/>
      <sheetName val="30"/>
      <sheetName val="cc 196 (SYS) (2)"/>
      <sheetName val="PIPELINE"/>
      <sheetName val="FYLE 2006"/>
      <sheetName val="PopCache_Sheet1"/>
      <sheetName val="Post_99"/>
      <sheetName val="July_Posting"/>
      <sheetName val="M_MM"/>
      <sheetName val="Income Statements "/>
      <sheetName val="6A CA"/>
      <sheetName val="Portfolio Basis"/>
      <sheetName val="5340E"/>
      <sheetName val="itc"/>
      <sheetName val="3 P&amp;L "/>
      <sheetName val="Chk"/>
      <sheetName val="AUDIT SCHEDULE"/>
      <sheetName val="Prepayment list"/>
      <sheetName val="addl cost"/>
      <sheetName val="F2-write off"/>
      <sheetName val="C2"/>
      <sheetName val="Macola GL"/>
      <sheetName val="Lists"/>
      <sheetName val="110"/>
      <sheetName val="FF-21(a)"/>
      <sheetName val="E4-3"/>
      <sheetName val="E4-1"/>
      <sheetName val="E4-2"/>
      <sheetName val="DRG"/>
      <sheetName val="EMR"/>
      <sheetName val="GNR"/>
      <sheetName val="JDE"/>
      <sheetName val="LGR"/>
      <sheetName val="MTU"/>
      <sheetName val="RBW"/>
      <sheetName val="RBY"/>
      <sheetName val="RSL"/>
      <sheetName val="SVR"/>
      <sheetName val="TDR"/>
      <sheetName val="TGR"/>
      <sheetName val="WAR"/>
      <sheetName val="Company Info"/>
      <sheetName val="E3.1"/>
      <sheetName val="E1.1"/>
      <sheetName val="E2.1"/>
      <sheetName val="CA_Comp"/>
      <sheetName val="Company_Info"/>
      <sheetName val="E3_1"/>
      <sheetName val="E1_1"/>
      <sheetName val="E2_1"/>
      <sheetName val="U-3"/>
      <sheetName val="wbs"/>
      <sheetName val="Production"/>
      <sheetName val="LinkToModel"/>
      <sheetName val="Look_Up Tables"/>
      <sheetName val="Inputs"/>
      <sheetName val="Atth CC"/>
      <sheetName val="1A TaxComp (pi)"/>
      <sheetName val="LOOSECHKLIST"/>
      <sheetName val="U2-"/>
      <sheetName val="12"/>
      <sheetName val="EXP"/>
      <sheetName val="Data"/>
      <sheetName val="_x005f_x005f_x005f_x0000__x005f_x005f_x005f_x0003__x005"/>
      <sheetName val="Base Case"/>
      <sheetName val="Acc1"/>
      <sheetName val="CBO0497"/>
      <sheetName val="perf_summ"/>
      <sheetName val="E1"/>
      <sheetName val="索引"/>
      <sheetName val="封面"/>
      <sheetName val="数据模板1"/>
      <sheetName val="profitability"/>
      <sheetName val="BalSheetBUD"/>
      <sheetName val="F1"/>
      <sheetName val="References"/>
      <sheetName val="LIST14190 2004"/>
      <sheetName val="troute"/>
      <sheetName val="tsector"/>
      <sheetName val="Bandwidth_Requirement1"/>
      <sheetName val="VoIP_Inputs1"/>
      <sheetName val="Country_level_inputs1"/>
      <sheetName val="Bldg"/>
      <sheetName val="Train 2 LNG Assumptions"/>
      <sheetName val="T1 LNG Assumptions"/>
      <sheetName val="Defaults"/>
      <sheetName val="MV"/>
      <sheetName val="&lt;O1&gt;"/>
      <sheetName val="appl"/>
      <sheetName val="Cert"/>
      <sheetName val="Iron"/>
      <sheetName val="kitc"/>
      <sheetName val="Sewr"/>
      <sheetName val="MFG"/>
      <sheetName val="eqkl"/>
      <sheetName val="F2-1"/>
      <sheetName val="GRAPH"/>
      <sheetName val="Delta"/>
      <sheetName val="Main"/>
      <sheetName val="Cash flow"/>
      <sheetName val="Tptn"/>
      <sheetName val="MTO"/>
      <sheetName val="FF-50"/>
      <sheetName val="Hyperion_"/>
      <sheetName val="6A_CA"/>
      <sheetName val="Portfolio_Basis"/>
      <sheetName val="1120"/>
      <sheetName val="U"/>
      <sheetName val="tblHeadcount0804"/>
      <sheetName val="ADJcode"/>
      <sheetName val="myob"/>
      <sheetName val="step"/>
      <sheetName val="w"/>
      <sheetName val="TB 04"/>
      <sheetName val="Sum"/>
      <sheetName val="UA2"/>
      <sheetName val="M_Maincomp"/>
      <sheetName val="_"/>
      <sheetName val="__x005f_x005f_x005f_x0003__"/>
      <sheetName val="_x005f_x005f_x005f_x0003_"/>
      <sheetName val="_x005f_x005f_x005f_x0003__x005f_x005f_x005f_x0000_"/>
      <sheetName val="_x005f_x005f_x005f_x0003__"/>
      <sheetName val="U301 - payroll flux"/>
      <sheetName val="LookupTables"/>
      <sheetName val="INFO"/>
      <sheetName val="sumdepn01"/>
      <sheetName val="InvoiceList"/>
      <sheetName val="DPLA"/>
      <sheetName val="F-1,F-3"/>
      <sheetName val="FILIALE"/>
      <sheetName val="40.04 "/>
      <sheetName val="Pkt. Proz."/>
      <sheetName val="Y 1"/>
      <sheetName val="Drop List References"/>
      <sheetName val="Investment"/>
      <sheetName val="Expenses testing"/>
      <sheetName val="Expenses testing(1)"/>
      <sheetName val="T2-Stat review"/>
      <sheetName val="6542"/>
      <sheetName val="CFS"/>
      <sheetName val="Comps"/>
      <sheetName val="Conv. Debt"/>
      <sheetName val="Conv. Pref."/>
      <sheetName val="Shares Outstanding"/>
      <sheetName val="DCF_10"/>
      <sheetName val="LBO"/>
      <sheetName val="HighYield"/>
      <sheetName val="Assump"/>
      <sheetName val="Options"/>
      <sheetName val="Amort"/>
      <sheetName val="BS-Adjustment"/>
      <sheetName val="Debt"/>
      <sheetName val="Depr"/>
      <sheetName val="EVA"/>
      <sheetName val="Firm Value"/>
      <sheetName val="Index"/>
      <sheetName val="LTM"/>
      <sheetName val="Preferred"/>
      <sheetName val="Premium"/>
      <sheetName val="Revenue Build"/>
      <sheetName val="Tax"/>
      <sheetName val="E1020"/>
      <sheetName val="N1 Logic Output"/>
      <sheetName val="3-Confirmation"/>
      <sheetName val="XREF"/>
      <sheetName val="Dep. PIT"/>
      <sheetName val="Rollforward"/>
      <sheetName val="PP&amp;E mvt for 2003"/>
      <sheetName val="JAL "/>
      <sheetName val="Tax Provision Sch"/>
      <sheetName val="FA-LISTING"/>
      <sheetName val="Rates"/>
      <sheetName val="A_F"/>
      <sheetName val="n7-e"/>
      <sheetName val="Entity Data"/>
      <sheetName val="SS"/>
      <sheetName val="MTD PL"/>
      <sheetName val="TAMS33-2 97 "/>
      <sheetName val="CA84"/>
      <sheetName val="Budget and Actual Units Input"/>
      <sheetName val="Feb 04"/>
      <sheetName val="Gen Ass"/>
      <sheetName val="DETAIL PNL"/>
      <sheetName val="DetIStament"/>
      <sheetName val="Cash&amp;Bank - A"/>
      <sheetName val="CFlow2"/>
      <sheetName val="CFlowOne"/>
      <sheetName val="DeferredExp-K"/>
      <sheetName val="FAssets-I"/>
      <sheetName val="I-2"/>
      <sheetName val="HP-L"/>
      <sheetName val="IntAssets-J"/>
      <sheetName val="DetailP&amp;L"/>
      <sheetName val="Lease (E-1)"/>
      <sheetName val="OtherCreditors-G"/>
      <sheetName val="Other debtors-C"/>
      <sheetName val="RelatedCos-E"/>
      <sheetName val="Revenue - VI"/>
      <sheetName val="Stocks-D"/>
      <sheetName val="Taxation-N"/>
      <sheetName val="Tradecreditors-F"/>
      <sheetName val="TDebtors-B"/>
      <sheetName val="TD-B-1"/>
      <sheetName val="TD-B-2"/>
      <sheetName val="Termloan-H"/>
      <sheetName val="1"/>
      <sheetName val="Appraisal"/>
      <sheetName val="U2 - Sales"/>
      <sheetName val="Sch 22"/>
      <sheetName val="Consolidated"/>
      <sheetName val="U4-Recruitment"/>
      <sheetName val="固定资产清单"/>
      <sheetName val="´æ»õÊÕ·¢»ã×Ü±í"/>
      <sheetName val="YR99 RENTAL ACCRUAL"/>
      <sheetName val="#REF"/>
      <sheetName val="20.0"/>
      <sheetName val="100.1"/>
      <sheetName val="03.0"/>
      <sheetName val="Building"/>
      <sheetName val="flash"/>
      <sheetName val="A800 PM"/>
      <sheetName val="working"/>
      <sheetName val="A5|1-BS"/>
      <sheetName val="Tickmarks"/>
      <sheetName val="Income Statement"/>
      <sheetName val="NFS - PDP"/>
      <sheetName val="FF-2(1)"/>
      <sheetName val="U01.1"/>
      <sheetName val="3 P&amp;#38;L - 4 Op.Exp"/>
      <sheetName val="A5-7 FC &amp;#38; sale prop"/>
      <sheetName val="P&amp;#38;L"/>
      <sheetName val="流资汇总"/>
      <sheetName val="A1000"/>
      <sheetName val="Impairment(2003.10.31)"/>
      <sheetName val="RMB"/>
      <sheetName val="IntDec00TespM&amp;B"/>
      <sheetName val="6444"/>
      <sheetName val="DR1-4"/>
      <sheetName val="ptdg"/>
      <sheetName val="Co PnL"/>
      <sheetName val="E140-1"/>
      <sheetName val="E15"/>
      <sheetName val="BU_LIST"/>
      <sheetName val="F-1 F-2"/>
      <sheetName val="O5_CA"/>
      <sheetName val="2002"/>
      <sheetName val="ANEP"/>
      <sheetName val="January"/>
      <sheetName val="Customize Your Invoice"/>
      <sheetName val="REBATE-UC"/>
      <sheetName val="C3"/>
      <sheetName val="DFA"/>
      <sheetName val="?_x005f_x005f_x005f_x0003_?"/>
      <sheetName val="TAX COM"/>
      <sheetName val="#511BkRec"/>
      <sheetName val="GMI"/>
      <sheetName val="___Contents3"/>
      <sheetName val="1_LeadSchedule3"/>
      <sheetName val="2_Sec1083"/>
      <sheetName val="3_P&amp;L_-_4_Op_Exp3"/>
      <sheetName val="3A_Turnover_3B_COS3"/>
      <sheetName val="5_Analysis3"/>
      <sheetName val="___Directors3"/>
      <sheetName val="OTHER_(2)3"/>
      <sheetName val="A5-1_CPL3"/>
      <sheetName val="A5-2_CBS3"/>
      <sheetName val="A5-3_Inter_bal3"/>
      <sheetName val="A5-4_Inter_trans3"/>
      <sheetName val="A5-5_RPT3"/>
      <sheetName val="A5-6_Notes3"/>
      <sheetName val="A5-7_FC_&amp;_sale_prop3"/>
      <sheetName val="CA_Sheet3"/>
      <sheetName val="Alternative_Procedures3"/>
      <sheetName val="Excess_Calc3"/>
      <sheetName val="Appx_B3"/>
      <sheetName val="P12_43"/>
      <sheetName val="PM_Setting3"/>
      <sheetName val="Thuc_thanh3"/>
      <sheetName val="4_Analysis3"/>
      <sheetName val="3_Analysis3"/>
      <sheetName val="Cum_91-933"/>
      <sheetName val="Dec_943"/>
      <sheetName val="FS"/>
      <sheetName val="U4"/>
      <sheetName val="95MIARTS"/>
      <sheetName val="Philippines"/>
      <sheetName val="Breakdown"/>
      <sheetName val="Addition"/>
      <sheetName val="Banks"/>
      <sheetName val="Capital_Allowance3"/>
      <sheetName val="_IB-PL-YTD2"/>
      <sheetName val="lead_2"/>
      <sheetName val="Significant_Processes2"/>
      <sheetName val="Test_of_Beginning2"/>
      <sheetName val="Cat_Act_Type2"/>
      <sheetName val="Alternative_Procedure2"/>
      <sheetName val="Standing_Data2"/>
      <sheetName val="Bal_Sheet1"/>
      <sheetName val="U102-U104_Detail1"/>
      <sheetName val="PCSB_S_O_W1"/>
      <sheetName val="U501-Realised_Forex1"/>
      <sheetName val="HP_Repayment1"/>
      <sheetName val="Basis_of_Selection1"/>
      <sheetName val="1570_NB1"/>
      <sheetName val="Tax_Comp1"/>
      <sheetName val="Significant_Accounts1"/>
      <sheetName val="U2_Sales1"/>
      <sheetName val="H_R1"/>
      <sheetName val="Toggle_Gen"/>
      <sheetName val="Toggle_PR"/>
      <sheetName val="Toggle_Trav"/>
      <sheetName val="OHD_SUMM"/>
      <sheetName val="OTH_OPEX"/>
      <sheetName val="DEP_C"/>
      <sheetName val="AMOR_C"/>
      <sheetName val="CAPEX_and_INV_PLAN"/>
      <sheetName val="Legal_Entity"/>
      <sheetName val="DEPN_NBV"/>
      <sheetName val="Interco_balance"/>
      <sheetName val="oth_rec,oth_payables"/>
      <sheetName val="p_2_Disclosure"/>
      <sheetName val="CA_Comp1"/>
      <sheetName val="FF-2_(1)"/>
      <sheetName val="K4__F&amp;F"/>
      <sheetName val="Notes_to_Accounts"/>
      <sheetName val="Print_Controls"/>
      <sheetName val="Revenue__(KL)"/>
      <sheetName val="Loan_Movements"/>
      <sheetName val="BPCOR_DETAILS"/>
      <sheetName val="BPMKT_DETAILS"/>
      <sheetName val="P_&amp;_L_EP"/>
      <sheetName val="P&amp;L_JB"/>
      <sheetName val="Interim_--&gt;_Top"/>
      <sheetName val="K10-1_"/>
      <sheetName val="IBA_&lt;O3&gt;"/>
      <sheetName val="BIS_LIST-NTH_18"/>
      <sheetName val="Post_991"/>
      <sheetName val="July_Posting1"/>
      <sheetName val="M_MM1"/>
      <sheetName val="cc_196_(SYS)_(2)"/>
      <sheetName val="FYLE_2006"/>
      <sheetName val="Income_Statements_"/>
      <sheetName val="3_P&amp;L_"/>
      <sheetName val="AUDIT_SCHEDULE"/>
      <sheetName val="Prepayment_list"/>
      <sheetName val="addl_cost"/>
      <sheetName val="F2-write_off"/>
      <sheetName val="Macola_GL"/>
      <sheetName val="Company_Info1"/>
      <sheetName val="E3_11"/>
      <sheetName val="E1_11"/>
      <sheetName val="E2_11"/>
      <sheetName val="Look_Up_Tables"/>
      <sheetName val="Atth_CC"/>
      <sheetName val="1A_TaxComp_(pi)"/>
      <sheetName val="Train_2_LNG_Assumptions"/>
      <sheetName val="T1_LNG_Assumptions"/>
      <sheetName val="LIST14190_2004"/>
      <sheetName val="Salary  ToD"/>
      <sheetName val="30-3"/>
      <sheetName val="Sprint Intercarrier Pricing"/>
      <sheetName val="CRITERIA3"/>
      <sheetName val="CRITERIA1"/>
      <sheetName val="CRITERIA2"/>
      <sheetName val="AR"/>
      <sheetName val="Breakdown (1)"/>
      <sheetName val="Proof Def Tax"/>
      <sheetName val="M_CT_OUT"/>
      <sheetName val="RATE99"/>
      <sheetName val="Balance"/>
      <sheetName val="DETBIL"/>
      <sheetName val="FSL"/>
      <sheetName val="COST"/>
      <sheetName val="P2"/>
      <sheetName val="accpac"/>
      <sheetName val="ADJUSTED TB"/>
      <sheetName val="REPORT SET UP"/>
      <sheetName val="INITIAL SET UP"/>
      <sheetName val="_x005f_x005f_x005f_x0003_?"/>
      <sheetName val="Annex"/>
      <sheetName val="period"/>
      <sheetName val="IncomeStatement"/>
      <sheetName val="exesummary"/>
      <sheetName val="Links"/>
      <sheetName val="Fixed asset register"/>
      <sheetName val="A7"/>
      <sheetName val="Code"/>
      <sheetName val="CBF 4088"/>
      <sheetName val="CBB 4088"/>
      <sheetName val="CBC 8136"/>
      <sheetName val="Q4-2"/>
      <sheetName val="F2-3-6 OH absorbtion rate "/>
      <sheetName val="Weights"/>
      <sheetName val="Acc"/>
      <sheetName val="Annx1"/>
      <sheetName val="LANGUAGE"/>
      <sheetName val="J"/>
      <sheetName val="Ten banh"/>
      <sheetName val="选择报表"/>
      <sheetName val="產成品收發明細表5"/>
      <sheetName val="H-Lead"/>
      <sheetName val="Stock Aging (XVII)"/>
      <sheetName val="Consol"/>
      <sheetName val="企业表一"/>
      <sheetName val="M-5C"/>
      <sheetName val="M-5A"/>
      <sheetName val="Raw materials"/>
      <sheetName val="increm pf"/>
      <sheetName val="13. Headcount Plan"/>
      <sheetName val="CostCde"/>
      <sheetName val="MWBSRate"/>
      <sheetName val="Adm-Oh"/>
      <sheetName val="A1575 Hytas"/>
      <sheetName val="Access Nodes"/>
      <sheetName val="AJE"/>
      <sheetName val="O-11"/>
      <sheetName val="Assumption sheet"/>
      <sheetName val="K2"/>
      <sheetName val="C-1"/>
      <sheetName val="Assumption"/>
      <sheetName val="Coversheet"/>
      <sheetName val="dmuc"/>
      <sheetName val="Assumption Tables"/>
      <sheetName val="SMHB PlanDemand 1998 Report"/>
      <sheetName val="J1"/>
      <sheetName val="U2.2"/>
      <sheetName val="3 Analysis _P_L_"/>
      <sheetName val="Cost centre expenditure"/>
      <sheetName val="(O3) CA Sheet"/>
      <sheetName val="Summary"/>
      <sheetName val="Supporting"/>
      <sheetName val="K200"/>
      <sheetName val="CASHFL"/>
      <sheetName val="ADD"/>
      <sheetName val="plant _ mac"/>
      <sheetName val="FF_1"/>
      <sheetName val="R3"/>
      <sheetName val="Forex"/>
      <sheetName val="8340-1"/>
      <sheetName val="fa-c"/>
      <sheetName val="shCap"/>
      <sheetName val="TOVER"/>
      <sheetName val="SCH17-cash"/>
      <sheetName val="_x005f_x0000__x005f_x0003__x005"/>
      <sheetName val="IBASE"/>
      <sheetName val="Banks Details"/>
      <sheetName val="Agustus"/>
      <sheetName val="System"/>
      <sheetName val="Names"/>
      <sheetName val="SK 1200"/>
      <sheetName val="QE&amp;NQE"/>
      <sheetName val="Adm97"/>
      <sheetName val="Sensitivity"/>
      <sheetName val="table"/>
      <sheetName val="100172"/>
      <sheetName val="5Analysis"/>
      <sheetName val="0100"/>
      <sheetName val="Profit"/>
      <sheetName val="MYS Co P&amp;L "/>
      <sheetName val="Threshold"/>
      <sheetName val="bdo 371-623"/>
      <sheetName val="AMAL97"/>
      <sheetName val="Note2"/>
      <sheetName val="손익총괄"/>
      <sheetName val="U 510"/>
      <sheetName val="notes-acc"/>
      <sheetName val="O4_CA"/>
      <sheetName val="O5_IBA"/>
      <sheetName val="Disposal-Audit program"/>
      <sheetName val="N2 Detailed Listing (Pre-final)"/>
      <sheetName val="TC"/>
      <sheetName val="depn-Sep 03"/>
      <sheetName val="2007"/>
      <sheetName val="Ledger-HO"/>
      <sheetName val="產成品收發明細表"/>
      <sheetName val="2006 TB_PeopleSoft"/>
      <sheetName val="G-Struc"/>
      <sheetName val="_x0000__x0003__x005"/>
      <sheetName val="6balancesheet2000"/>
      <sheetName val="C-63"/>
      <sheetName val="NC_NC"/>
      <sheetName val="DI-ESTI"/>
      <sheetName val="Rate Bank"/>
      <sheetName val="Job"/>
      <sheetName val="TTDZ2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4 Analysis"/>
      <sheetName val="5 Analysis"/>
    </sheetNames>
    <sheetDataSet>
      <sheetData sheetId="0"/>
      <sheetData sheetId="1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"/>
      <sheetName val="disfa"/>
      <sheetName val="HPASS.XLS"/>
      <sheetName val="LEAASS.XLS"/>
      <sheetName val="movtfa"/>
      <sheetName val="ci"/>
      <sheetName val="2 Sec108"/>
      <sheetName val="4 Analysi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"/>
    </sheetNames>
    <sheetDataSet>
      <sheetData sheetId="0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l Sheet"/>
      <sheetName val="ca"/>
    </sheetNames>
    <sheetDataSet>
      <sheetData sheetId="0" refreshError="1">
        <row r="4">
          <cell r="L4" t="str">
            <v>30.6.2000</v>
          </cell>
          <cell r="N4" t="str">
            <v>31.12.1999</v>
          </cell>
        </row>
      </sheetData>
      <sheetData sheetId="1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F_6"/>
      <sheetName val="Hypothesis"/>
      <sheetName val="Profitability"/>
      <sheetName val="Profit anal"/>
      <sheetName val="BS"/>
      <sheetName val="FSA"/>
      <sheetName val="F-1&amp;2"/>
      <sheetName val="F-3"/>
      <sheetName val="F-4"/>
      <sheetName val="F-9"/>
      <sheetName val="F-11"/>
      <sheetName val="FF-2"/>
      <sheetName val="FF-4"/>
      <sheetName val="FF-6"/>
      <sheetName val="FF-10"/>
      <sheetName val="10"/>
      <sheetName val="20"/>
      <sheetName val="30"/>
      <sheetName val="os"/>
      <sheetName val="Bal Sheet"/>
      <sheetName val="Breakdown (1)"/>
      <sheetName val="M_Maincomp"/>
      <sheetName val="I1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5">
          <cell r="A5" t="str">
            <v xml:space="preserve">SECTION 108 TAX CREDIT </v>
          </cell>
        </row>
        <row r="7">
          <cell r="A7" t="str">
            <v>YEAR</v>
          </cell>
          <cell r="C7" t="str">
            <v>BALANCE</v>
          </cell>
          <cell r="E7" t="str">
            <v>CURRENT</v>
          </cell>
          <cell r="I7" t="str">
            <v>DIVIDEND</v>
          </cell>
          <cell r="K7" t="str">
            <v>BALANCE</v>
          </cell>
        </row>
        <row r="8">
          <cell r="A8" t="str">
            <v>ENDED</v>
          </cell>
          <cell r="C8" t="str">
            <v>C/F</v>
          </cell>
          <cell r="E8" t="str">
            <v>YEAR</v>
          </cell>
          <cell r="G8" t="str">
            <v>BALANCE</v>
          </cell>
          <cell r="I8" t="str">
            <v>PAID</v>
          </cell>
          <cell r="K8" t="str">
            <v>C/F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cumdeprn"/>
      <sheetName val="summary"/>
      <sheetName val="details"/>
      <sheetName val="addl cost"/>
      <sheetName val="dev_exp (2)"/>
      <sheetName val="dev_exp"/>
      <sheetName val="Addl Dev Exp"/>
      <sheetName val="FF-6"/>
      <sheetName val="Picco-2004"/>
      <sheetName val="INFO"/>
    </sheetNames>
    <sheetDataSet>
      <sheetData sheetId="0" refreshError="1">
        <row r="3">
          <cell r="A3" t="str">
            <v>YTD DEPRECIATION</v>
          </cell>
          <cell r="B3">
            <v>35915</v>
          </cell>
          <cell r="C3">
            <v>35946</v>
          </cell>
          <cell r="D3">
            <v>35976</v>
          </cell>
          <cell r="E3">
            <v>36007</v>
          </cell>
          <cell r="F3">
            <v>36038</v>
          </cell>
          <cell r="G3">
            <v>36068</v>
          </cell>
          <cell r="H3">
            <v>36099</v>
          </cell>
          <cell r="I3">
            <v>36129</v>
          </cell>
          <cell r="J3">
            <v>36160</v>
          </cell>
          <cell r="K3">
            <v>36191</v>
          </cell>
          <cell r="L3">
            <v>36219</v>
          </cell>
          <cell r="M3">
            <v>36250</v>
          </cell>
        </row>
        <row r="4">
          <cell r="A4" t="str">
            <v>American Jeep - BCN 300</v>
          </cell>
          <cell r="B4">
            <v>717.72</v>
          </cell>
          <cell r="C4">
            <v>1435.44</v>
          </cell>
          <cell r="D4">
            <v>2153.16</v>
          </cell>
          <cell r="E4">
            <v>2272.0299999999997</v>
          </cell>
          <cell r="F4">
            <v>2272.0299999999997</v>
          </cell>
          <cell r="G4">
            <v>2272.0299999999997</v>
          </cell>
          <cell r="H4">
            <v>2272.0299999999997</v>
          </cell>
          <cell r="I4">
            <v>2272.0299999999997</v>
          </cell>
          <cell r="J4">
            <v>2272.0299999999997</v>
          </cell>
          <cell r="K4">
            <v>2272.0299999999997</v>
          </cell>
          <cell r="L4">
            <v>2272.0299999999997</v>
          </cell>
          <cell r="M4">
            <v>2272.0299999999997</v>
          </cell>
        </row>
        <row r="5">
          <cell r="A5" t="str">
            <v>Firearms</v>
          </cell>
          <cell r="B5">
            <v>132.94999999999999</v>
          </cell>
          <cell r="C5">
            <v>265.89999999999998</v>
          </cell>
          <cell r="D5">
            <v>398.84999999999997</v>
          </cell>
          <cell r="E5">
            <v>531.79999999999995</v>
          </cell>
          <cell r="F5">
            <v>993.91</v>
          </cell>
          <cell r="G5">
            <v>1456.02</v>
          </cell>
          <cell r="H5">
            <v>1918.13</v>
          </cell>
          <cell r="I5">
            <v>2380.2400000000002</v>
          </cell>
          <cell r="J5">
            <v>2842.3500000000004</v>
          </cell>
          <cell r="K5">
            <v>3304.4500000000003</v>
          </cell>
          <cell r="L5">
            <v>3766.55</v>
          </cell>
          <cell r="M5">
            <v>4228.6500000000005</v>
          </cell>
        </row>
        <row r="6">
          <cell r="A6" t="str">
            <v>2 set plan hanger stands &amp; 20 hangers</v>
          </cell>
          <cell r="B6">
            <v>13.25</v>
          </cell>
          <cell r="C6">
            <v>26.5</v>
          </cell>
          <cell r="D6">
            <v>39.75</v>
          </cell>
          <cell r="E6">
            <v>53</v>
          </cell>
          <cell r="F6">
            <v>66.25</v>
          </cell>
          <cell r="G6">
            <v>79.5</v>
          </cell>
          <cell r="H6">
            <v>92.75</v>
          </cell>
          <cell r="I6">
            <v>106</v>
          </cell>
          <cell r="J6">
            <v>119.25</v>
          </cell>
          <cell r="K6">
            <v>132.5</v>
          </cell>
          <cell r="L6">
            <v>145.75</v>
          </cell>
          <cell r="M6">
            <v>159</v>
          </cell>
        </row>
        <row r="7">
          <cell r="A7" t="str">
            <v>3 units Lion steel cupboard with castor</v>
          </cell>
          <cell r="B7">
            <v>10.33</v>
          </cell>
          <cell r="C7">
            <v>20.66</v>
          </cell>
          <cell r="D7">
            <v>30.990000000000002</v>
          </cell>
          <cell r="E7">
            <v>41.32</v>
          </cell>
          <cell r="F7">
            <v>51.65</v>
          </cell>
          <cell r="G7">
            <v>61.98</v>
          </cell>
          <cell r="H7">
            <v>72.3</v>
          </cell>
          <cell r="I7">
            <v>82.62</v>
          </cell>
          <cell r="J7">
            <v>92.94</v>
          </cell>
          <cell r="K7">
            <v>103.25999999999999</v>
          </cell>
          <cell r="L7">
            <v>113.57999999999998</v>
          </cell>
          <cell r="M7">
            <v>123.89999999999998</v>
          </cell>
        </row>
        <row r="8">
          <cell r="A8" t="str">
            <v>2 units Typist chair w/o arm</v>
          </cell>
          <cell r="B8">
            <v>4.67</v>
          </cell>
          <cell r="C8">
            <v>9.34</v>
          </cell>
          <cell r="D8">
            <v>14.01</v>
          </cell>
          <cell r="E8">
            <v>18.68</v>
          </cell>
          <cell r="F8">
            <v>23.35</v>
          </cell>
          <cell r="G8">
            <v>28.020000000000003</v>
          </cell>
          <cell r="H8">
            <v>32.690000000000005</v>
          </cell>
          <cell r="I8">
            <v>37.360000000000007</v>
          </cell>
          <cell r="J8">
            <v>42.02000000000001</v>
          </cell>
          <cell r="K8">
            <v>46.680000000000007</v>
          </cell>
          <cell r="L8">
            <v>51.34</v>
          </cell>
          <cell r="M8">
            <v>56</v>
          </cell>
        </row>
        <row r="9">
          <cell r="A9" t="str">
            <v>3 units Low Back Executive chairs</v>
          </cell>
          <cell r="B9">
            <v>5.63</v>
          </cell>
          <cell r="C9">
            <v>11.26</v>
          </cell>
          <cell r="D9">
            <v>16.89</v>
          </cell>
          <cell r="E9">
            <v>22.52</v>
          </cell>
          <cell r="F9">
            <v>28.15</v>
          </cell>
          <cell r="G9">
            <v>33.78</v>
          </cell>
          <cell r="H9">
            <v>39.4</v>
          </cell>
          <cell r="I9">
            <v>45.019999999999996</v>
          </cell>
          <cell r="J9">
            <v>50.639999999999993</v>
          </cell>
          <cell r="K9">
            <v>56.259999999999991</v>
          </cell>
          <cell r="L9">
            <v>61.879999999999988</v>
          </cell>
          <cell r="M9">
            <v>67.499999999999986</v>
          </cell>
        </row>
        <row r="10">
          <cell r="A10" t="str">
            <v>Furniture 5</v>
          </cell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</row>
        <row r="11">
          <cell r="A11" t="str">
            <v>Furniture 6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</row>
        <row r="12">
          <cell r="A12" t="str">
            <v>Furniture 7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</row>
        <row r="13">
          <cell r="A13" t="str">
            <v>Furniture 8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</row>
        <row r="14">
          <cell r="A14" t="str">
            <v>Furniture 9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</row>
        <row r="15">
          <cell r="A15" t="str">
            <v>Furniture 10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</row>
        <row r="16">
          <cell r="A16" t="str">
            <v>Furniture 11</v>
          </cell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</row>
        <row r="17">
          <cell r="A17" t="str">
            <v>Furniture 12</v>
          </cell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</row>
        <row r="18">
          <cell r="A18" t="str">
            <v>Furniture 13</v>
          </cell>
          <cell r="B18">
            <v>0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</row>
        <row r="19">
          <cell r="A19" t="str">
            <v>1 Digitex computer &amp; Epson printer</v>
          </cell>
          <cell r="B19">
            <v>132.4</v>
          </cell>
          <cell r="C19">
            <v>264.8</v>
          </cell>
          <cell r="D19">
            <v>397.20000000000005</v>
          </cell>
          <cell r="E19">
            <v>529.6</v>
          </cell>
          <cell r="F19">
            <v>662</v>
          </cell>
          <cell r="G19">
            <v>794.4</v>
          </cell>
          <cell r="H19">
            <v>926.8</v>
          </cell>
          <cell r="I19">
            <v>1059.2</v>
          </cell>
          <cell r="J19">
            <v>1191.6000000000001</v>
          </cell>
          <cell r="K19">
            <v>1324.0000000000002</v>
          </cell>
          <cell r="L19">
            <v>1456.4000000000003</v>
          </cell>
          <cell r="M19">
            <v>1588.8000000000004</v>
          </cell>
        </row>
        <row r="20">
          <cell r="A20" t="str">
            <v>3 units IBM PC300GL 166MHz</v>
          </cell>
          <cell r="B20">
            <v>194.5</v>
          </cell>
          <cell r="C20">
            <v>389</v>
          </cell>
          <cell r="D20">
            <v>583.5</v>
          </cell>
          <cell r="E20">
            <v>778</v>
          </cell>
          <cell r="F20">
            <v>972.5</v>
          </cell>
          <cell r="G20">
            <v>1167</v>
          </cell>
          <cell r="H20">
            <v>1361.5</v>
          </cell>
          <cell r="I20">
            <v>1556</v>
          </cell>
          <cell r="J20">
            <v>1750.5</v>
          </cell>
          <cell r="K20">
            <v>1945</v>
          </cell>
          <cell r="L20">
            <v>2139.5</v>
          </cell>
          <cell r="M20">
            <v>2334</v>
          </cell>
        </row>
        <row r="21">
          <cell r="A21" t="str">
            <v>3 units APC Back UPS</v>
          </cell>
          <cell r="B21">
            <v>39</v>
          </cell>
          <cell r="C21">
            <v>78</v>
          </cell>
          <cell r="D21">
            <v>117</v>
          </cell>
          <cell r="E21">
            <v>156</v>
          </cell>
          <cell r="F21">
            <v>195</v>
          </cell>
          <cell r="G21">
            <v>234</v>
          </cell>
          <cell r="H21">
            <v>273</v>
          </cell>
          <cell r="I21">
            <v>312</v>
          </cell>
          <cell r="J21">
            <v>351</v>
          </cell>
          <cell r="K21">
            <v>390</v>
          </cell>
          <cell r="L21">
            <v>429</v>
          </cell>
          <cell r="M21">
            <v>468</v>
          </cell>
        </row>
        <row r="22">
          <cell r="A22" t="str">
            <v>3 units Epson LQ-2170 Printer</v>
          </cell>
          <cell r="B22">
            <v>95</v>
          </cell>
          <cell r="C22">
            <v>190</v>
          </cell>
          <cell r="D22">
            <v>285</v>
          </cell>
          <cell r="E22">
            <v>380</v>
          </cell>
          <cell r="F22">
            <v>475</v>
          </cell>
          <cell r="G22">
            <v>570</v>
          </cell>
          <cell r="H22">
            <v>665</v>
          </cell>
          <cell r="I22">
            <v>760</v>
          </cell>
          <cell r="J22">
            <v>855</v>
          </cell>
          <cell r="K22">
            <v>950</v>
          </cell>
          <cell r="L22">
            <v>1045</v>
          </cell>
          <cell r="M22">
            <v>1140</v>
          </cell>
        </row>
        <row r="23">
          <cell r="A23" t="str">
            <v>1 unit Epson LQ-2070 Printer</v>
          </cell>
          <cell r="B23">
            <v>23.34</v>
          </cell>
          <cell r="C23">
            <v>46.68</v>
          </cell>
          <cell r="D23">
            <v>70.02</v>
          </cell>
          <cell r="E23">
            <v>93.36</v>
          </cell>
          <cell r="F23">
            <v>116.69</v>
          </cell>
          <cell r="G23">
            <v>140.01999999999998</v>
          </cell>
          <cell r="H23">
            <v>163.34999999999997</v>
          </cell>
          <cell r="I23">
            <v>186.67999999999995</v>
          </cell>
          <cell r="J23">
            <v>210.00999999999993</v>
          </cell>
          <cell r="K23">
            <v>233.33999999999992</v>
          </cell>
          <cell r="L23">
            <v>256.6699999999999</v>
          </cell>
          <cell r="M23">
            <v>279.99999999999989</v>
          </cell>
        </row>
        <row r="24">
          <cell r="A24" t="str">
            <v>1 unit Servex 266 MHz computer</v>
          </cell>
          <cell r="B24">
            <v>0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170.4</v>
          </cell>
          <cell r="J24">
            <v>340.8</v>
          </cell>
          <cell r="K24">
            <v>511.20000000000005</v>
          </cell>
          <cell r="L24">
            <v>681.6</v>
          </cell>
          <cell r="M24">
            <v>852</v>
          </cell>
        </row>
        <row r="25">
          <cell r="A25" t="str">
            <v>Motor Vehicles 1</v>
          </cell>
          <cell r="B25">
            <v>0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</row>
        <row r="26">
          <cell r="A26" t="str">
            <v>Motor Vehicles 2</v>
          </cell>
          <cell r="B26">
            <v>0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</row>
        <row r="27">
          <cell r="A27" t="str">
            <v>Motor Vehicles 3</v>
          </cell>
          <cell r="B27">
            <v>0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</row>
        <row r="28">
          <cell r="A28" t="str">
            <v>1 unit Motorola pager</v>
          </cell>
          <cell r="B28">
            <v>1.88</v>
          </cell>
          <cell r="C28">
            <v>3.76</v>
          </cell>
          <cell r="D28">
            <v>5.64</v>
          </cell>
          <cell r="E28">
            <v>7.52</v>
          </cell>
          <cell r="F28">
            <v>9.3999999999999986</v>
          </cell>
          <cell r="G28">
            <v>11.279999999999998</v>
          </cell>
          <cell r="H28">
            <v>13.149999999999999</v>
          </cell>
          <cell r="I28">
            <v>15.02</v>
          </cell>
          <cell r="J28">
            <v>16.89</v>
          </cell>
          <cell r="K28">
            <v>18.760000000000002</v>
          </cell>
          <cell r="L28">
            <v>20.630000000000003</v>
          </cell>
          <cell r="M28">
            <v>22.500000000000004</v>
          </cell>
        </row>
        <row r="29">
          <cell r="A29" t="str">
            <v>Office Equipment 2</v>
          </cell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</row>
        <row r="30">
          <cell r="A30" t="str">
            <v>Office Equipment 3</v>
          </cell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</row>
        <row r="31">
          <cell r="A31" t="str">
            <v>Office Equipment 4</v>
          </cell>
          <cell r="B31">
            <v>0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</row>
        <row r="36">
          <cell r="B36">
            <v>1370.67</v>
          </cell>
          <cell r="C36">
            <v>2741.34</v>
          </cell>
          <cell r="D36">
            <v>4112.01</v>
          </cell>
          <cell r="E36">
            <v>4883.83</v>
          </cell>
          <cell r="F36">
            <v>5865.9299999999994</v>
          </cell>
          <cell r="G36">
            <v>6848.03</v>
          </cell>
          <cell r="H36">
            <v>7830.0999999999995</v>
          </cell>
          <cell r="I36">
            <v>8982.5700000000015</v>
          </cell>
          <cell r="J36">
            <v>10135.030000000001</v>
          </cell>
          <cell r="K36">
            <v>11287.480000000001</v>
          </cell>
          <cell r="L36">
            <v>12439.93</v>
          </cell>
          <cell r="M36">
            <v>13592.380000000001</v>
          </cell>
        </row>
      </sheetData>
      <sheetData sheetId="1"/>
      <sheetData sheetId="2"/>
      <sheetData sheetId="3" refreshError="1"/>
      <sheetData sheetId="4"/>
      <sheetData sheetId="5"/>
      <sheetData sheetId="6"/>
      <sheetData sheetId="7" refreshError="1"/>
      <sheetData sheetId="8" refreshError="1"/>
      <sheetData sheetId="9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B"/>
      <sheetName val="JE"/>
    </sheetNames>
    <sheetDataSet>
      <sheetData sheetId="0"/>
      <sheetData sheetId="1">
        <row r="26">
          <cell r="F26">
            <v>9483.9600000000009</v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1C7FF6-CEB7-4387-8C04-C512CD89FB0C}">
  <dimension ref="A1:O46"/>
  <sheetViews>
    <sheetView workbookViewId="0">
      <selection activeCell="O25" sqref="O25"/>
    </sheetView>
  </sheetViews>
  <sheetFormatPr defaultColWidth="9.140625" defaultRowHeight="12.75" x14ac:dyDescent="0.2"/>
  <cols>
    <col min="1" max="1" width="27.7109375" style="53" customWidth="1"/>
    <col min="2" max="2" width="1.28515625" style="53" customWidth="1"/>
    <col min="3" max="3" width="12.85546875" style="48" customWidth="1"/>
    <col min="4" max="4" width="13.5703125" style="48" bestFit="1" customWidth="1"/>
    <col min="5" max="5" width="1.28515625" style="53" customWidth="1"/>
    <col min="6" max="6" width="11.28515625" style="53" bestFit="1" customWidth="1"/>
    <col min="7" max="7" width="11.28515625" style="53" hidden="1" customWidth="1"/>
    <col min="8" max="8" width="1.28515625" style="53" customWidth="1"/>
    <col min="9" max="9" width="11.85546875" style="53" bestFit="1" customWidth="1"/>
    <col min="10" max="10" width="10.140625" style="53" hidden="1" customWidth="1"/>
    <col min="11" max="11" width="1.28515625" style="53" customWidth="1"/>
    <col min="12" max="12" width="12.85546875" style="53" customWidth="1"/>
    <col min="13" max="15" width="13.5703125" style="53" bestFit="1" customWidth="1"/>
    <col min="16" max="247" width="9.140625" style="53"/>
    <col min="248" max="248" width="27.7109375" style="53" customWidth="1"/>
    <col min="249" max="249" width="1.28515625" style="53" customWidth="1"/>
    <col min="250" max="250" width="12.85546875" style="53" customWidth="1"/>
    <col min="251" max="251" width="13.5703125" style="53" bestFit="1" customWidth="1"/>
    <col min="252" max="252" width="1.28515625" style="53" customWidth="1"/>
    <col min="253" max="254" width="11.28515625" style="53" bestFit="1" customWidth="1"/>
    <col min="255" max="255" width="1.28515625" style="53" customWidth="1"/>
    <col min="256" max="256" width="11.85546875" style="53" bestFit="1" customWidth="1"/>
    <col min="257" max="257" width="9.85546875" style="53" bestFit="1" customWidth="1"/>
    <col min="258" max="258" width="1.28515625" style="53" customWidth="1"/>
    <col min="259" max="259" width="5.28515625" style="53" customWidth="1"/>
    <col min="260" max="260" width="1.28515625" style="53" customWidth="1"/>
    <col min="261" max="261" width="12.85546875" style="53" customWidth="1"/>
    <col min="262" max="262" width="13.5703125" style="53" bestFit="1" customWidth="1"/>
    <col min="263" max="503" width="9.140625" style="53"/>
    <col min="504" max="504" width="27.7109375" style="53" customWidth="1"/>
    <col min="505" max="505" width="1.28515625" style="53" customWidth="1"/>
    <col min="506" max="506" width="12.85546875" style="53" customWidth="1"/>
    <col min="507" max="507" width="13.5703125" style="53" bestFit="1" customWidth="1"/>
    <col min="508" max="508" width="1.28515625" style="53" customWidth="1"/>
    <col min="509" max="510" width="11.28515625" style="53" bestFit="1" customWidth="1"/>
    <col min="511" max="511" width="1.28515625" style="53" customWidth="1"/>
    <col min="512" max="512" width="11.85546875" style="53" bestFit="1" customWidth="1"/>
    <col min="513" max="513" width="9.85546875" style="53" bestFit="1" customWidth="1"/>
    <col min="514" max="514" width="1.28515625" style="53" customWidth="1"/>
    <col min="515" max="515" width="5.28515625" style="53" customWidth="1"/>
    <col min="516" max="516" width="1.28515625" style="53" customWidth="1"/>
    <col min="517" max="517" width="12.85546875" style="53" customWidth="1"/>
    <col min="518" max="518" width="13.5703125" style="53" bestFit="1" customWidth="1"/>
    <col min="519" max="759" width="9.140625" style="53"/>
    <col min="760" max="760" width="27.7109375" style="53" customWidth="1"/>
    <col min="761" max="761" width="1.28515625" style="53" customWidth="1"/>
    <col min="762" max="762" width="12.85546875" style="53" customWidth="1"/>
    <col min="763" max="763" width="13.5703125" style="53" bestFit="1" customWidth="1"/>
    <col min="764" max="764" width="1.28515625" style="53" customWidth="1"/>
    <col min="765" max="766" width="11.28515625" style="53" bestFit="1" customWidth="1"/>
    <col min="767" max="767" width="1.28515625" style="53" customWidth="1"/>
    <col min="768" max="768" width="11.85546875" style="53" bestFit="1" customWidth="1"/>
    <col min="769" max="769" width="9.85546875" style="53" bestFit="1" customWidth="1"/>
    <col min="770" max="770" width="1.28515625" style="53" customWidth="1"/>
    <col min="771" max="771" width="5.28515625" style="53" customWidth="1"/>
    <col min="772" max="772" width="1.28515625" style="53" customWidth="1"/>
    <col min="773" max="773" width="12.85546875" style="53" customWidth="1"/>
    <col min="774" max="774" width="13.5703125" style="53" bestFit="1" customWidth="1"/>
    <col min="775" max="1015" width="9.140625" style="53"/>
    <col min="1016" max="1016" width="27.7109375" style="53" customWidth="1"/>
    <col min="1017" max="1017" width="1.28515625" style="53" customWidth="1"/>
    <col min="1018" max="1018" width="12.85546875" style="53" customWidth="1"/>
    <col min="1019" max="1019" width="13.5703125" style="53" bestFit="1" customWidth="1"/>
    <col min="1020" max="1020" width="1.28515625" style="53" customWidth="1"/>
    <col min="1021" max="1022" width="11.28515625" style="53" bestFit="1" customWidth="1"/>
    <col min="1023" max="1023" width="1.28515625" style="53" customWidth="1"/>
    <col min="1024" max="1024" width="11.85546875" style="53" bestFit="1" customWidth="1"/>
    <col min="1025" max="1025" width="9.85546875" style="53" bestFit="1" customWidth="1"/>
    <col min="1026" max="1026" width="1.28515625" style="53" customWidth="1"/>
    <col min="1027" max="1027" width="5.28515625" style="53" customWidth="1"/>
    <col min="1028" max="1028" width="1.28515625" style="53" customWidth="1"/>
    <col min="1029" max="1029" width="12.85546875" style="53" customWidth="1"/>
    <col min="1030" max="1030" width="13.5703125" style="53" bestFit="1" customWidth="1"/>
    <col min="1031" max="1271" width="9.140625" style="53"/>
    <col min="1272" max="1272" width="27.7109375" style="53" customWidth="1"/>
    <col min="1273" max="1273" width="1.28515625" style="53" customWidth="1"/>
    <col min="1274" max="1274" width="12.85546875" style="53" customWidth="1"/>
    <col min="1275" max="1275" width="13.5703125" style="53" bestFit="1" customWidth="1"/>
    <col min="1276" max="1276" width="1.28515625" style="53" customWidth="1"/>
    <col min="1277" max="1278" width="11.28515625" style="53" bestFit="1" customWidth="1"/>
    <col min="1279" max="1279" width="1.28515625" style="53" customWidth="1"/>
    <col min="1280" max="1280" width="11.85546875" style="53" bestFit="1" customWidth="1"/>
    <col min="1281" max="1281" width="9.85546875" style="53" bestFit="1" customWidth="1"/>
    <col min="1282" max="1282" width="1.28515625" style="53" customWidth="1"/>
    <col min="1283" max="1283" width="5.28515625" style="53" customWidth="1"/>
    <col min="1284" max="1284" width="1.28515625" style="53" customWidth="1"/>
    <col min="1285" max="1285" width="12.85546875" style="53" customWidth="1"/>
    <col min="1286" max="1286" width="13.5703125" style="53" bestFit="1" customWidth="1"/>
    <col min="1287" max="1527" width="9.140625" style="53"/>
    <col min="1528" max="1528" width="27.7109375" style="53" customWidth="1"/>
    <col min="1529" max="1529" width="1.28515625" style="53" customWidth="1"/>
    <col min="1530" max="1530" width="12.85546875" style="53" customWidth="1"/>
    <col min="1531" max="1531" width="13.5703125" style="53" bestFit="1" customWidth="1"/>
    <col min="1532" max="1532" width="1.28515625" style="53" customWidth="1"/>
    <col min="1533" max="1534" width="11.28515625" style="53" bestFit="1" customWidth="1"/>
    <col min="1535" max="1535" width="1.28515625" style="53" customWidth="1"/>
    <col min="1536" max="1536" width="11.85546875" style="53" bestFit="1" customWidth="1"/>
    <col min="1537" max="1537" width="9.85546875" style="53" bestFit="1" customWidth="1"/>
    <col min="1538" max="1538" width="1.28515625" style="53" customWidth="1"/>
    <col min="1539" max="1539" width="5.28515625" style="53" customWidth="1"/>
    <col min="1540" max="1540" width="1.28515625" style="53" customWidth="1"/>
    <col min="1541" max="1541" width="12.85546875" style="53" customWidth="1"/>
    <col min="1542" max="1542" width="13.5703125" style="53" bestFit="1" customWidth="1"/>
    <col min="1543" max="1783" width="9.140625" style="53"/>
    <col min="1784" max="1784" width="27.7109375" style="53" customWidth="1"/>
    <col min="1785" max="1785" width="1.28515625" style="53" customWidth="1"/>
    <col min="1786" max="1786" width="12.85546875" style="53" customWidth="1"/>
    <col min="1787" max="1787" width="13.5703125" style="53" bestFit="1" customWidth="1"/>
    <col min="1788" max="1788" width="1.28515625" style="53" customWidth="1"/>
    <col min="1789" max="1790" width="11.28515625" style="53" bestFit="1" customWidth="1"/>
    <col min="1791" max="1791" width="1.28515625" style="53" customWidth="1"/>
    <col min="1792" max="1792" width="11.85546875" style="53" bestFit="1" customWidth="1"/>
    <col min="1793" max="1793" width="9.85546875" style="53" bestFit="1" customWidth="1"/>
    <col min="1794" max="1794" width="1.28515625" style="53" customWidth="1"/>
    <col min="1795" max="1795" width="5.28515625" style="53" customWidth="1"/>
    <col min="1796" max="1796" width="1.28515625" style="53" customWidth="1"/>
    <col min="1797" max="1797" width="12.85546875" style="53" customWidth="1"/>
    <col min="1798" max="1798" width="13.5703125" style="53" bestFit="1" customWidth="1"/>
    <col min="1799" max="2039" width="9.140625" style="53"/>
    <col min="2040" max="2040" width="27.7109375" style="53" customWidth="1"/>
    <col min="2041" max="2041" width="1.28515625" style="53" customWidth="1"/>
    <col min="2042" max="2042" width="12.85546875" style="53" customWidth="1"/>
    <col min="2043" max="2043" width="13.5703125" style="53" bestFit="1" customWidth="1"/>
    <col min="2044" max="2044" width="1.28515625" style="53" customWidth="1"/>
    <col min="2045" max="2046" width="11.28515625" style="53" bestFit="1" customWidth="1"/>
    <col min="2047" max="2047" width="1.28515625" style="53" customWidth="1"/>
    <col min="2048" max="2048" width="11.85546875" style="53" bestFit="1" customWidth="1"/>
    <col min="2049" max="2049" width="9.85546875" style="53" bestFit="1" customWidth="1"/>
    <col min="2050" max="2050" width="1.28515625" style="53" customWidth="1"/>
    <col min="2051" max="2051" width="5.28515625" style="53" customWidth="1"/>
    <col min="2052" max="2052" width="1.28515625" style="53" customWidth="1"/>
    <col min="2053" max="2053" width="12.85546875" style="53" customWidth="1"/>
    <col min="2054" max="2054" width="13.5703125" style="53" bestFit="1" customWidth="1"/>
    <col min="2055" max="2295" width="9.140625" style="53"/>
    <col min="2296" max="2296" width="27.7109375" style="53" customWidth="1"/>
    <col min="2297" max="2297" width="1.28515625" style="53" customWidth="1"/>
    <col min="2298" max="2298" width="12.85546875" style="53" customWidth="1"/>
    <col min="2299" max="2299" width="13.5703125" style="53" bestFit="1" customWidth="1"/>
    <col min="2300" max="2300" width="1.28515625" style="53" customWidth="1"/>
    <col min="2301" max="2302" width="11.28515625" style="53" bestFit="1" customWidth="1"/>
    <col min="2303" max="2303" width="1.28515625" style="53" customWidth="1"/>
    <col min="2304" max="2304" width="11.85546875" style="53" bestFit="1" customWidth="1"/>
    <col min="2305" max="2305" width="9.85546875" style="53" bestFit="1" customWidth="1"/>
    <col min="2306" max="2306" width="1.28515625" style="53" customWidth="1"/>
    <col min="2307" max="2307" width="5.28515625" style="53" customWidth="1"/>
    <col min="2308" max="2308" width="1.28515625" style="53" customWidth="1"/>
    <col min="2309" max="2309" width="12.85546875" style="53" customWidth="1"/>
    <col min="2310" max="2310" width="13.5703125" style="53" bestFit="1" customWidth="1"/>
    <col min="2311" max="2551" width="9.140625" style="53"/>
    <col min="2552" max="2552" width="27.7109375" style="53" customWidth="1"/>
    <col min="2553" max="2553" width="1.28515625" style="53" customWidth="1"/>
    <col min="2554" max="2554" width="12.85546875" style="53" customWidth="1"/>
    <col min="2555" max="2555" width="13.5703125" style="53" bestFit="1" customWidth="1"/>
    <col min="2556" max="2556" width="1.28515625" style="53" customWidth="1"/>
    <col min="2557" max="2558" width="11.28515625" style="53" bestFit="1" customWidth="1"/>
    <col min="2559" max="2559" width="1.28515625" style="53" customWidth="1"/>
    <col min="2560" max="2560" width="11.85546875" style="53" bestFit="1" customWidth="1"/>
    <col min="2561" max="2561" width="9.85546875" style="53" bestFit="1" customWidth="1"/>
    <col min="2562" max="2562" width="1.28515625" style="53" customWidth="1"/>
    <col min="2563" max="2563" width="5.28515625" style="53" customWidth="1"/>
    <col min="2564" max="2564" width="1.28515625" style="53" customWidth="1"/>
    <col min="2565" max="2565" width="12.85546875" style="53" customWidth="1"/>
    <col min="2566" max="2566" width="13.5703125" style="53" bestFit="1" customWidth="1"/>
    <col min="2567" max="2807" width="9.140625" style="53"/>
    <col min="2808" max="2808" width="27.7109375" style="53" customWidth="1"/>
    <col min="2809" max="2809" width="1.28515625" style="53" customWidth="1"/>
    <col min="2810" max="2810" width="12.85546875" style="53" customWidth="1"/>
    <col min="2811" max="2811" width="13.5703125" style="53" bestFit="1" customWidth="1"/>
    <col min="2812" max="2812" width="1.28515625" style="53" customWidth="1"/>
    <col min="2813" max="2814" width="11.28515625" style="53" bestFit="1" customWidth="1"/>
    <col min="2815" max="2815" width="1.28515625" style="53" customWidth="1"/>
    <col min="2816" max="2816" width="11.85546875" style="53" bestFit="1" customWidth="1"/>
    <col min="2817" max="2817" width="9.85546875" style="53" bestFit="1" customWidth="1"/>
    <col min="2818" max="2818" width="1.28515625" style="53" customWidth="1"/>
    <col min="2819" max="2819" width="5.28515625" style="53" customWidth="1"/>
    <col min="2820" max="2820" width="1.28515625" style="53" customWidth="1"/>
    <col min="2821" max="2821" width="12.85546875" style="53" customWidth="1"/>
    <col min="2822" max="2822" width="13.5703125" style="53" bestFit="1" customWidth="1"/>
    <col min="2823" max="3063" width="9.140625" style="53"/>
    <col min="3064" max="3064" width="27.7109375" style="53" customWidth="1"/>
    <col min="3065" max="3065" width="1.28515625" style="53" customWidth="1"/>
    <col min="3066" max="3066" width="12.85546875" style="53" customWidth="1"/>
    <col min="3067" max="3067" width="13.5703125" style="53" bestFit="1" customWidth="1"/>
    <col min="3068" max="3068" width="1.28515625" style="53" customWidth="1"/>
    <col min="3069" max="3070" width="11.28515625" style="53" bestFit="1" customWidth="1"/>
    <col min="3071" max="3071" width="1.28515625" style="53" customWidth="1"/>
    <col min="3072" max="3072" width="11.85546875" style="53" bestFit="1" customWidth="1"/>
    <col min="3073" max="3073" width="9.85546875" style="53" bestFit="1" customWidth="1"/>
    <col min="3074" max="3074" width="1.28515625" style="53" customWidth="1"/>
    <col min="3075" max="3075" width="5.28515625" style="53" customWidth="1"/>
    <col min="3076" max="3076" width="1.28515625" style="53" customWidth="1"/>
    <col min="3077" max="3077" width="12.85546875" style="53" customWidth="1"/>
    <col min="3078" max="3078" width="13.5703125" style="53" bestFit="1" customWidth="1"/>
    <col min="3079" max="3319" width="9.140625" style="53"/>
    <col min="3320" max="3320" width="27.7109375" style="53" customWidth="1"/>
    <col min="3321" max="3321" width="1.28515625" style="53" customWidth="1"/>
    <col min="3322" max="3322" width="12.85546875" style="53" customWidth="1"/>
    <col min="3323" max="3323" width="13.5703125" style="53" bestFit="1" customWidth="1"/>
    <col min="3324" max="3324" width="1.28515625" style="53" customWidth="1"/>
    <col min="3325" max="3326" width="11.28515625" style="53" bestFit="1" customWidth="1"/>
    <col min="3327" max="3327" width="1.28515625" style="53" customWidth="1"/>
    <col min="3328" max="3328" width="11.85546875" style="53" bestFit="1" customWidth="1"/>
    <col min="3329" max="3329" width="9.85546875" style="53" bestFit="1" customWidth="1"/>
    <col min="3330" max="3330" width="1.28515625" style="53" customWidth="1"/>
    <col min="3331" max="3331" width="5.28515625" style="53" customWidth="1"/>
    <col min="3332" max="3332" width="1.28515625" style="53" customWidth="1"/>
    <col min="3333" max="3333" width="12.85546875" style="53" customWidth="1"/>
    <col min="3334" max="3334" width="13.5703125" style="53" bestFit="1" customWidth="1"/>
    <col min="3335" max="3575" width="9.140625" style="53"/>
    <col min="3576" max="3576" width="27.7109375" style="53" customWidth="1"/>
    <col min="3577" max="3577" width="1.28515625" style="53" customWidth="1"/>
    <col min="3578" max="3578" width="12.85546875" style="53" customWidth="1"/>
    <col min="3579" max="3579" width="13.5703125" style="53" bestFit="1" customWidth="1"/>
    <col min="3580" max="3580" width="1.28515625" style="53" customWidth="1"/>
    <col min="3581" max="3582" width="11.28515625" style="53" bestFit="1" customWidth="1"/>
    <col min="3583" max="3583" width="1.28515625" style="53" customWidth="1"/>
    <col min="3584" max="3584" width="11.85546875" style="53" bestFit="1" customWidth="1"/>
    <col min="3585" max="3585" width="9.85546875" style="53" bestFit="1" customWidth="1"/>
    <col min="3586" max="3586" width="1.28515625" style="53" customWidth="1"/>
    <col min="3587" max="3587" width="5.28515625" style="53" customWidth="1"/>
    <col min="3588" max="3588" width="1.28515625" style="53" customWidth="1"/>
    <col min="3589" max="3589" width="12.85546875" style="53" customWidth="1"/>
    <col min="3590" max="3590" width="13.5703125" style="53" bestFit="1" customWidth="1"/>
    <col min="3591" max="3831" width="9.140625" style="53"/>
    <col min="3832" max="3832" width="27.7109375" style="53" customWidth="1"/>
    <col min="3833" max="3833" width="1.28515625" style="53" customWidth="1"/>
    <col min="3834" max="3834" width="12.85546875" style="53" customWidth="1"/>
    <col min="3835" max="3835" width="13.5703125" style="53" bestFit="1" customWidth="1"/>
    <col min="3836" max="3836" width="1.28515625" style="53" customWidth="1"/>
    <col min="3837" max="3838" width="11.28515625" style="53" bestFit="1" customWidth="1"/>
    <col min="3839" max="3839" width="1.28515625" style="53" customWidth="1"/>
    <col min="3840" max="3840" width="11.85546875" style="53" bestFit="1" customWidth="1"/>
    <col min="3841" max="3841" width="9.85546875" style="53" bestFit="1" customWidth="1"/>
    <col min="3842" max="3842" width="1.28515625" style="53" customWidth="1"/>
    <col min="3843" max="3843" width="5.28515625" style="53" customWidth="1"/>
    <col min="3844" max="3844" width="1.28515625" style="53" customWidth="1"/>
    <col min="3845" max="3845" width="12.85546875" style="53" customWidth="1"/>
    <col min="3846" max="3846" width="13.5703125" style="53" bestFit="1" customWidth="1"/>
    <col min="3847" max="4087" width="9.140625" style="53"/>
    <col min="4088" max="4088" width="27.7109375" style="53" customWidth="1"/>
    <col min="4089" max="4089" width="1.28515625" style="53" customWidth="1"/>
    <col min="4090" max="4090" width="12.85546875" style="53" customWidth="1"/>
    <col min="4091" max="4091" width="13.5703125" style="53" bestFit="1" customWidth="1"/>
    <col min="4092" max="4092" width="1.28515625" style="53" customWidth="1"/>
    <col min="4093" max="4094" width="11.28515625" style="53" bestFit="1" customWidth="1"/>
    <col min="4095" max="4095" width="1.28515625" style="53" customWidth="1"/>
    <col min="4096" max="4096" width="11.85546875" style="53" bestFit="1" customWidth="1"/>
    <col min="4097" max="4097" width="9.85546875" style="53" bestFit="1" customWidth="1"/>
    <col min="4098" max="4098" width="1.28515625" style="53" customWidth="1"/>
    <col min="4099" max="4099" width="5.28515625" style="53" customWidth="1"/>
    <col min="4100" max="4100" width="1.28515625" style="53" customWidth="1"/>
    <col min="4101" max="4101" width="12.85546875" style="53" customWidth="1"/>
    <col min="4102" max="4102" width="13.5703125" style="53" bestFit="1" customWidth="1"/>
    <col min="4103" max="4343" width="9.140625" style="53"/>
    <col min="4344" max="4344" width="27.7109375" style="53" customWidth="1"/>
    <col min="4345" max="4345" width="1.28515625" style="53" customWidth="1"/>
    <col min="4346" max="4346" width="12.85546875" style="53" customWidth="1"/>
    <col min="4347" max="4347" width="13.5703125" style="53" bestFit="1" customWidth="1"/>
    <col min="4348" max="4348" width="1.28515625" style="53" customWidth="1"/>
    <col min="4349" max="4350" width="11.28515625" style="53" bestFit="1" customWidth="1"/>
    <col min="4351" max="4351" width="1.28515625" style="53" customWidth="1"/>
    <col min="4352" max="4352" width="11.85546875" style="53" bestFit="1" customWidth="1"/>
    <col min="4353" max="4353" width="9.85546875" style="53" bestFit="1" customWidth="1"/>
    <col min="4354" max="4354" width="1.28515625" style="53" customWidth="1"/>
    <col min="4355" max="4355" width="5.28515625" style="53" customWidth="1"/>
    <col min="4356" max="4356" width="1.28515625" style="53" customWidth="1"/>
    <col min="4357" max="4357" width="12.85546875" style="53" customWidth="1"/>
    <col min="4358" max="4358" width="13.5703125" style="53" bestFit="1" customWidth="1"/>
    <col min="4359" max="4599" width="9.140625" style="53"/>
    <col min="4600" max="4600" width="27.7109375" style="53" customWidth="1"/>
    <col min="4601" max="4601" width="1.28515625" style="53" customWidth="1"/>
    <col min="4602" max="4602" width="12.85546875" style="53" customWidth="1"/>
    <col min="4603" max="4603" width="13.5703125" style="53" bestFit="1" customWidth="1"/>
    <col min="4604" max="4604" width="1.28515625" style="53" customWidth="1"/>
    <col min="4605" max="4606" width="11.28515625" style="53" bestFit="1" customWidth="1"/>
    <col min="4607" max="4607" width="1.28515625" style="53" customWidth="1"/>
    <col min="4608" max="4608" width="11.85546875" style="53" bestFit="1" customWidth="1"/>
    <col min="4609" max="4609" width="9.85546875" style="53" bestFit="1" customWidth="1"/>
    <col min="4610" max="4610" width="1.28515625" style="53" customWidth="1"/>
    <col min="4611" max="4611" width="5.28515625" style="53" customWidth="1"/>
    <col min="4612" max="4612" width="1.28515625" style="53" customWidth="1"/>
    <col min="4613" max="4613" width="12.85546875" style="53" customWidth="1"/>
    <col min="4614" max="4614" width="13.5703125" style="53" bestFit="1" customWidth="1"/>
    <col min="4615" max="4855" width="9.140625" style="53"/>
    <col min="4856" max="4856" width="27.7109375" style="53" customWidth="1"/>
    <col min="4857" max="4857" width="1.28515625" style="53" customWidth="1"/>
    <col min="4858" max="4858" width="12.85546875" style="53" customWidth="1"/>
    <col min="4859" max="4859" width="13.5703125" style="53" bestFit="1" customWidth="1"/>
    <col min="4860" max="4860" width="1.28515625" style="53" customWidth="1"/>
    <col min="4861" max="4862" width="11.28515625" style="53" bestFit="1" customWidth="1"/>
    <col min="4863" max="4863" width="1.28515625" style="53" customWidth="1"/>
    <col min="4864" max="4864" width="11.85546875" style="53" bestFit="1" customWidth="1"/>
    <col min="4865" max="4865" width="9.85546875" style="53" bestFit="1" customWidth="1"/>
    <col min="4866" max="4866" width="1.28515625" style="53" customWidth="1"/>
    <col min="4867" max="4867" width="5.28515625" style="53" customWidth="1"/>
    <col min="4868" max="4868" width="1.28515625" style="53" customWidth="1"/>
    <col min="4869" max="4869" width="12.85546875" style="53" customWidth="1"/>
    <col min="4870" max="4870" width="13.5703125" style="53" bestFit="1" customWidth="1"/>
    <col min="4871" max="5111" width="9.140625" style="53"/>
    <col min="5112" max="5112" width="27.7109375" style="53" customWidth="1"/>
    <col min="5113" max="5113" width="1.28515625" style="53" customWidth="1"/>
    <col min="5114" max="5114" width="12.85546875" style="53" customWidth="1"/>
    <col min="5115" max="5115" width="13.5703125" style="53" bestFit="1" customWidth="1"/>
    <col min="5116" max="5116" width="1.28515625" style="53" customWidth="1"/>
    <col min="5117" max="5118" width="11.28515625" style="53" bestFit="1" customWidth="1"/>
    <col min="5119" max="5119" width="1.28515625" style="53" customWidth="1"/>
    <col min="5120" max="5120" width="11.85546875" style="53" bestFit="1" customWidth="1"/>
    <col min="5121" max="5121" width="9.85546875" style="53" bestFit="1" customWidth="1"/>
    <col min="5122" max="5122" width="1.28515625" style="53" customWidth="1"/>
    <col min="5123" max="5123" width="5.28515625" style="53" customWidth="1"/>
    <col min="5124" max="5124" width="1.28515625" style="53" customWidth="1"/>
    <col min="5125" max="5125" width="12.85546875" style="53" customWidth="1"/>
    <col min="5126" max="5126" width="13.5703125" style="53" bestFit="1" customWidth="1"/>
    <col min="5127" max="5367" width="9.140625" style="53"/>
    <col min="5368" max="5368" width="27.7109375" style="53" customWidth="1"/>
    <col min="5369" max="5369" width="1.28515625" style="53" customWidth="1"/>
    <col min="5370" max="5370" width="12.85546875" style="53" customWidth="1"/>
    <col min="5371" max="5371" width="13.5703125" style="53" bestFit="1" customWidth="1"/>
    <col min="5372" max="5372" width="1.28515625" style="53" customWidth="1"/>
    <col min="5373" max="5374" width="11.28515625" style="53" bestFit="1" customWidth="1"/>
    <col min="5375" max="5375" width="1.28515625" style="53" customWidth="1"/>
    <col min="5376" max="5376" width="11.85546875" style="53" bestFit="1" customWidth="1"/>
    <col min="5377" max="5377" width="9.85546875" style="53" bestFit="1" customWidth="1"/>
    <col min="5378" max="5378" width="1.28515625" style="53" customWidth="1"/>
    <col min="5379" max="5379" width="5.28515625" style="53" customWidth="1"/>
    <col min="5380" max="5380" width="1.28515625" style="53" customWidth="1"/>
    <col min="5381" max="5381" width="12.85546875" style="53" customWidth="1"/>
    <col min="5382" max="5382" width="13.5703125" style="53" bestFit="1" customWidth="1"/>
    <col min="5383" max="5623" width="9.140625" style="53"/>
    <col min="5624" max="5624" width="27.7109375" style="53" customWidth="1"/>
    <col min="5625" max="5625" width="1.28515625" style="53" customWidth="1"/>
    <col min="5626" max="5626" width="12.85546875" style="53" customWidth="1"/>
    <col min="5627" max="5627" width="13.5703125" style="53" bestFit="1" customWidth="1"/>
    <col min="5628" max="5628" width="1.28515625" style="53" customWidth="1"/>
    <col min="5629" max="5630" width="11.28515625" style="53" bestFit="1" customWidth="1"/>
    <col min="5631" max="5631" width="1.28515625" style="53" customWidth="1"/>
    <col min="5632" max="5632" width="11.85546875" style="53" bestFit="1" customWidth="1"/>
    <col min="5633" max="5633" width="9.85546875" style="53" bestFit="1" customWidth="1"/>
    <col min="5634" max="5634" width="1.28515625" style="53" customWidth="1"/>
    <col min="5635" max="5635" width="5.28515625" style="53" customWidth="1"/>
    <col min="5636" max="5636" width="1.28515625" style="53" customWidth="1"/>
    <col min="5637" max="5637" width="12.85546875" style="53" customWidth="1"/>
    <col min="5638" max="5638" width="13.5703125" style="53" bestFit="1" customWidth="1"/>
    <col min="5639" max="5879" width="9.140625" style="53"/>
    <col min="5880" max="5880" width="27.7109375" style="53" customWidth="1"/>
    <col min="5881" max="5881" width="1.28515625" style="53" customWidth="1"/>
    <col min="5882" max="5882" width="12.85546875" style="53" customWidth="1"/>
    <col min="5883" max="5883" width="13.5703125" style="53" bestFit="1" customWidth="1"/>
    <col min="5884" max="5884" width="1.28515625" style="53" customWidth="1"/>
    <col min="5885" max="5886" width="11.28515625" style="53" bestFit="1" customWidth="1"/>
    <col min="5887" max="5887" width="1.28515625" style="53" customWidth="1"/>
    <col min="5888" max="5888" width="11.85546875" style="53" bestFit="1" customWidth="1"/>
    <col min="5889" max="5889" width="9.85546875" style="53" bestFit="1" customWidth="1"/>
    <col min="5890" max="5890" width="1.28515625" style="53" customWidth="1"/>
    <col min="5891" max="5891" width="5.28515625" style="53" customWidth="1"/>
    <col min="5892" max="5892" width="1.28515625" style="53" customWidth="1"/>
    <col min="5893" max="5893" width="12.85546875" style="53" customWidth="1"/>
    <col min="5894" max="5894" width="13.5703125" style="53" bestFit="1" customWidth="1"/>
    <col min="5895" max="6135" width="9.140625" style="53"/>
    <col min="6136" max="6136" width="27.7109375" style="53" customWidth="1"/>
    <col min="6137" max="6137" width="1.28515625" style="53" customWidth="1"/>
    <col min="6138" max="6138" width="12.85546875" style="53" customWidth="1"/>
    <col min="6139" max="6139" width="13.5703125" style="53" bestFit="1" customWidth="1"/>
    <col min="6140" max="6140" width="1.28515625" style="53" customWidth="1"/>
    <col min="6141" max="6142" width="11.28515625" style="53" bestFit="1" customWidth="1"/>
    <col min="6143" max="6143" width="1.28515625" style="53" customWidth="1"/>
    <col min="6144" max="6144" width="11.85546875" style="53" bestFit="1" customWidth="1"/>
    <col min="6145" max="6145" width="9.85546875" style="53" bestFit="1" customWidth="1"/>
    <col min="6146" max="6146" width="1.28515625" style="53" customWidth="1"/>
    <col min="6147" max="6147" width="5.28515625" style="53" customWidth="1"/>
    <col min="6148" max="6148" width="1.28515625" style="53" customWidth="1"/>
    <col min="6149" max="6149" width="12.85546875" style="53" customWidth="1"/>
    <col min="6150" max="6150" width="13.5703125" style="53" bestFit="1" customWidth="1"/>
    <col min="6151" max="6391" width="9.140625" style="53"/>
    <col min="6392" max="6392" width="27.7109375" style="53" customWidth="1"/>
    <col min="6393" max="6393" width="1.28515625" style="53" customWidth="1"/>
    <col min="6394" max="6394" width="12.85546875" style="53" customWidth="1"/>
    <col min="6395" max="6395" width="13.5703125" style="53" bestFit="1" customWidth="1"/>
    <col min="6396" max="6396" width="1.28515625" style="53" customWidth="1"/>
    <col min="6397" max="6398" width="11.28515625" style="53" bestFit="1" customWidth="1"/>
    <col min="6399" max="6399" width="1.28515625" style="53" customWidth="1"/>
    <col min="6400" max="6400" width="11.85546875" style="53" bestFit="1" customWidth="1"/>
    <col min="6401" max="6401" width="9.85546875" style="53" bestFit="1" customWidth="1"/>
    <col min="6402" max="6402" width="1.28515625" style="53" customWidth="1"/>
    <col min="6403" max="6403" width="5.28515625" style="53" customWidth="1"/>
    <col min="6404" max="6404" width="1.28515625" style="53" customWidth="1"/>
    <col min="6405" max="6405" width="12.85546875" style="53" customWidth="1"/>
    <col min="6406" max="6406" width="13.5703125" style="53" bestFit="1" customWidth="1"/>
    <col min="6407" max="6647" width="9.140625" style="53"/>
    <col min="6648" max="6648" width="27.7109375" style="53" customWidth="1"/>
    <col min="6649" max="6649" width="1.28515625" style="53" customWidth="1"/>
    <col min="6650" max="6650" width="12.85546875" style="53" customWidth="1"/>
    <col min="6651" max="6651" width="13.5703125" style="53" bestFit="1" customWidth="1"/>
    <col min="6652" max="6652" width="1.28515625" style="53" customWidth="1"/>
    <col min="6653" max="6654" width="11.28515625" style="53" bestFit="1" customWidth="1"/>
    <col min="6655" max="6655" width="1.28515625" style="53" customWidth="1"/>
    <col min="6656" max="6656" width="11.85546875" style="53" bestFit="1" customWidth="1"/>
    <col min="6657" max="6657" width="9.85546875" style="53" bestFit="1" customWidth="1"/>
    <col min="6658" max="6658" width="1.28515625" style="53" customWidth="1"/>
    <col min="6659" max="6659" width="5.28515625" style="53" customWidth="1"/>
    <col min="6660" max="6660" width="1.28515625" style="53" customWidth="1"/>
    <col min="6661" max="6661" width="12.85546875" style="53" customWidth="1"/>
    <col min="6662" max="6662" width="13.5703125" style="53" bestFit="1" customWidth="1"/>
    <col min="6663" max="6903" width="9.140625" style="53"/>
    <col min="6904" max="6904" width="27.7109375" style="53" customWidth="1"/>
    <col min="6905" max="6905" width="1.28515625" style="53" customWidth="1"/>
    <col min="6906" max="6906" width="12.85546875" style="53" customWidth="1"/>
    <col min="6907" max="6907" width="13.5703125" style="53" bestFit="1" customWidth="1"/>
    <col min="6908" max="6908" width="1.28515625" style="53" customWidth="1"/>
    <col min="6909" max="6910" width="11.28515625" style="53" bestFit="1" customWidth="1"/>
    <col min="6911" max="6911" width="1.28515625" style="53" customWidth="1"/>
    <col min="6912" max="6912" width="11.85546875" style="53" bestFit="1" customWidth="1"/>
    <col min="6913" max="6913" width="9.85546875" style="53" bestFit="1" customWidth="1"/>
    <col min="6914" max="6914" width="1.28515625" style="53" customWidth="1"/>
    <col min="6915" max="6915" width="5.28515625" style="53" customWidth="1"/>
    <col min="6916" max="6916" width="1.28515625" style="53" customWidth="1"/>
    <col min="6917" max="6917" width="12.85546875" style="53" customWidth="1"/>
    <col min="6918" max="6918" width="13.5703125" style="53" bestFit="1" customWidth="1"/>
    <col min="6919" max="7159" width="9.140625" style="53"/>
    <col min="7160" max="7160" width="27.7109375" style="53" customWidth="1"/>
    <col min="7161" max="7161" width="1.28515625" style="53" customWidth="1"/>
    <col min="7162" max="7162" width="12.85546875" style="53" customWidth="1"/>
    <col min="7163" max="7163" width="13.5703125" style="53" bestFit="1" customWidth="1"/>
    <col min="7164" max="7164" width="1.28515625" style="53" customWidth="1"/>
    <col min="7165" max="7166" width="11.28515625" style="53" bestFit="1" customWidth="1"/>
    <col min="7167" max="7167" width="1.28515625" style="53" customWidth="1"/>
    <col min="7168" max="7168" width="11.85546875" style="53" bestFit="1" customWidth="1"/>
    <col min="7169" max="7169" width="9.85546875" style="53" bestFit="1" customWidth="1"/>
    <col min="7170" max="7170" width="1.28515625" style="53" customWidth="1"/>
    <col min="7171" max="7171" width="5.28515625" style="53" customWidth="1"/>
    <col min="7172" max="7172" width="1.28515625" style="53" customWidth="1"/>
    <col min="7173" max="7173" width="12.85546875" style="53" customWidth="1"/>
    <col min="7174" max="7174" width="13.5703125" style="53" bestFit="1" customWidth="1"/>
    <col min="7175" max="7415" width="9.140625" style="53"/>
    <col min="7416" max="7416" width="27.7109375" style="53" customWidth="1"/>
    <col min="7417" max="7417" width="1.28515625" style="53" customWidth="1"/>
    <col min="7418" max="7418" width="12.85546875" style="53" customWidth="1"/>
    <col min="7419" max="7419" width="13.5703125" style="53" bestFit="1" customWidth="1"/>
    <col min="7420" max="7420" width="1.28515625" style="53" customWidth="1"/>
    <col min="7421" max="7422" width="11.28515625" style="53" bestFit="1" customWidth="1"/>
    <col min="7423" max="7423" width="1.28515625" style="53" customWidth="1"/>
    <col min="7424" max="7424" width="11.85546875" style="53" bestFit="1" customWidth="1"/>
    <col min="7425" max="7425" width="9.85546875" style="53" bestFit="1" customWidth="1"/>
    <col min="7426" max="7426" width="1.28515625" style="53" customWidth="1"/>
    <col min="7427" max="7427" width="5.28515625" style="53" customWidth="1"/>
    <col min="7428" max="7428" width="1.28515625" style="53" customWidth="1"/>
    <col min="7429" max="7429" width="12.85546875" style="53" customWidth="1"/>
    <col min="7430" max="7430" width="13.5703125" style="53" bestFit="1" customWidth="1"/>
    <col min="7431" max="7671" width="9.140625" style="53"/>
    <col min="7672" max="7672" width="27.7109375" style="53" customWidth="1"/>
    <col min="7673" max="7673" width="1.28515625" style="53" customWidth="1"/>
    <col min="7674" max="7674" width="12.85546875" style="53" customWidth="1"/>
    <col min="7675" max="7675" width="13.5703125" style="53" bestFit="1" customWidth="1"/>
    <col min="7676" max="7676" width="1.28515625" style="53" customWidth="1"/>
    <col min="7677" max="7678" width="11.28515625" style="53" bestFit="1" customWidth="1"/>
    <col min="7679" max="7679" width="1.28515625" style="53" customWidth="1"/>
    <col min="7680" max="7680" width="11.85546875" style="53" bestFit="1" customWidth="1"/>
    <col min="7681" max="7681" width="9.85546875" style="53" bestFit="1" customWidth="1"/>
    <col min="7682" max="7682" width="1.28515625" style="53" customWidth="1"/>
    <col min="7683" max="7683" width="5.28515625" style="53" customWidth="1"/>
    <col min="7684" max="7684" width="1.28515625" style="53" customWidth="1"/>
    <col min="7685" max="7685" width="12.85546875" style="53" customWidth="1"/>
    <col min="7686" max="7686" width="13.5703125" style="53" bestFit="1" customWidth="1"/>
    <col min="7687" max="7927" width="9.140625" style="53"/>
    <col min="7928" max="7928" width="27.7109375" style="53" customWidth="1"/>
    <col min="7929" max="7929" width="1.28515625" style="53" customWidth="1"/>
    <col min="7930" max="7930" width="12.85546875" style="53" customWidth="1"/>
    <col min="7931" max="7931" width="13.5703125" style="53" bestFit="1" customWidth="1"/>
    <col min="7932" max="7932" width="1.28515625" style="53" customWidth="1"/>
    <col min="7933" max="7934" width="11.28515625" style="53" bestFit="1" customWidth="1"/>
    <col min="7935" max="7935" width="1.28515625" style="53" customWidth="1"/>
    <col min="7936" max="7936" width="11.85546875" style="53" bestFit="1" customWidth="1"/>
    <col min="7937" max="7937" width="9.85546875" style="53" bestFit="1" customWidth="1"/>
    <col min="7938" max="7938" width="1.28515625" style="53" customWidth="1"/>
    <col min="7939" max="7939" width="5.28515625" style="53" customWidth="1"/>
    <col min="7940" max="7940" width="1.28515625" style="53" customWidth="1"/>
    <col min="7941" max="7941" width="12.85546875" style="53" customWidth="1"/>
    <col min="7942" max="7942" width="13.5703125" style="53" bestFit="1" customWidth="1"/>
    <col min="7943" max="8183" width="9.140625" style="53"/>
    <col min="8184" max="8184" width="27.7109375" style="53" customWidth="1"/>
    <col min="8185" max="8185" width="1.28515625" style="53" customWidth="1"/>
    <col min="8186" max="8186" width="12.85546875" style="53" customWidth="1"/>
    <col min="8187" max="8187" width="13.5703125" style="53" bestFit="1" customWidth="1"/>
    <col min="8188" max="8188" width="1.28515625" style="53" customWidth="1"/>
    <col min="8189" max="8190" width="11.28515625" style="53" bestFit="1" customWidth="1"/>
    <col min="8191" max="8191" width="1.28515625" style="53" customWidth="1"/>
    <col min="8192" max="8192" width="11.85546875" style="53" bestFit="1" customWidth="1"/>
    <col min="8193" max="8193" width="9.85546875" style="53" bestFit="1" customWidth="1"/>
    <col min="8194" max="8194" width="1.28515625" style="53" customWidth="1"/>
    <col min="8195" max="8195" width="5.28515625" style="53" customWidth="1"/>
    <col min="8196" max="8196" width="1.28515625" style="53" customWidth="1"/>
    <col min="8197" max="8197" width="12.85546875" style="53" customWidth="1"/>
    <col min="8198" max="8198" width="13.5703125" style="53" bestFit="1" customWidth="1"/>
    <col min="8199" max="8439" width="9.140625" style="53"/>
    <col min="8440" max="8440" width="27.7109375" style="53" customWidth="1"/>
    <col min="8441" max="8441" width="1.28515625" style="53" customWidth="1"/>
    <col min="8442" max="8442" width="12.85546875" style="53" customWidth="1"/>
    <col min="8443" max="8443" width="13.5703125" style="53" bestFit="1" customWidth="1"/>
    <col min="8444" max="8444" width="1.28515625" style="53" customWidth="1"/>
    <col min="8445" max="8446" width="11.28515625" style="53" bestFit="1" customWidth="1"/>
    <col min="8447" max="8447" width="1.28515625" style="53" customWidth="1"/>
    <col min="8448" max="8448" width="11.85546875" style="53" bestFit="1" customWidth="1"/>
    <col min="8449" max="8449" width="9.85546875" style="53" bestFit="1" customWidth="1"/>
    <col min="8450" max="8450" width="1.28515625" style="53" customWidth="1"/>
    <col min="8451" max="8451" width="5.28515625" style="53" customWidth="1"/>
    <col min="8452" max="8452" width="1.28515625" style="53" customWidth="1"/>
    <col min="8453" max="8453" width="12.85546875" style="53" customWidth="1"/>
    <col min="8454" max="8454" width="13.5703125" style="53" bestFit="1" customWidth="1"/>
    <col min="8455" max="8695" width="9.140625" style="53"/>
    <col min="8696" max="8696" width="27.7109375" style="53" customWidth="1"/>
    <col min="8697" max="8697" width="1.28515625" style="53" customWidth="1"/>
    <col min="8698" max="8698" width="12.85546875" style="53" customWidth="1"/>
    <col min="8699" max="8699" width="13.5703125" style="53" bestFit="1" customWidth="1"/>
    <col min="8700" max="8700" width="1.28515625" style="53" customWidth="1"/>
    <col min="8701" max="8702" width="11.28515625" style="53" bestFit="1" customWidth="1"/>
    <col min="8703" max="8703" width="1.28515625" style="53" customWidth="1"/>
    <col min="8704" max="8704" width="11.85546875" style="53" bestFit="1" customWidth="1"/>
    <col min="8705" max="8705" width="9.85546875" style="53" bestFit="1" customWidth="1"/>
    <col min="8706" max="8706" width="1.28515625" style="53" customWidth="1"/>
    <col min="8707" max="8707" width="5.28515625" style="53" customWidth="1"/>
    <col min="8708" max="8708" width="1.28515625" style="53" customWidth="1"/>
    <col min="8709" max="8709" width="12.85546875" style="53" customWidth="1"/>
    <col min="8710" max="8710" width="13.5703125" style="53" bestFit="1" customWidth="1"/>
    <col min="8711" max="8951" width="9.140625" style="53"/>
    <col min="8952" max="8952" width="27.7109375" style="53" customWidth="1"/>
    <col min="8953" max="8953" width="1.28515625" style="53" customWidth="1"/>
    <col min="8954" max="8954" width="12.85546875" style="53" customWidth="1"/>
    <col min="8955" max="8955" width="13.5703125" style="53" bestFit="1" customWidth="1"/>
    <col min="8956" max="8956" width="1.28515625" style="53" customWidth="1"/>
    <col min="8957" max="8958" width="11.28515625" style="53" bestFit="1" customWidth="1"/>
    <col min="8959" max="8959" width="1.28515625" style="53" customWidth="1"/>
    <col min="8960" max="8960" width="11.85546875" style="53" bestFit="1" customWidth="1"/>
    <col min="8961" max="8961" width="9.85546875" style="53" bestFit="1" customWidth="1"/>
    <col min="8962" max="8962" width="1.28515625" style="53" customWidth="1"/>
    <col min="8963" max="8963" width="5.28515625" style="53" customWidth="1"/>
    <col min="8964" max="8964" width="1.28515625" style="53" customWidth="1"/>
    <col min="8965" max="8965" width="12.85546875" style="53" customWidth="1"/>
    <col min="8966" max="8966" width="13.5703125" style="53" bestFit="1" customWidth="1"/>
    <col min="8967" max="9207" width="9.140625" style="53"/>
    <col min="9208" max="9208" width="27.7109375" style="53" customWidth="1"/>
    <col min="9209" max="9209" width="1.28515625" style="53" customWidth="1"/>
    <col min="9210" max="9210" width="12.85546875" style="53" customWidth="1"/>
    <col min="9211" max="9211" width="13.5703125" style="53" bestFit="1" customWidth="1"/>
    <col min="9212" max="9212" width="1.28515625" style="53" customWidth="1"/>
    <col min="9213" max="9214" width="11.28515625" style="53" bestFit="1" customWidth="1"/>
    <col min="9215" max="9215" width="1.28515625" style="53" customWidth="1"/>
    <col min="9216" max="9216" width="11.85546875" style="53" bestFit="1" customWidth="1"/>
    <col min="9217" max="9217" width="9.85546875" style="53" bestFit="1" customWidth="1"/>
    <col min="9218" max="9218" width="1.28515625" style="53" customWidth="1"/>
    <col min="9219" max="9219" width="5.28515625" style="53" customWidth="1"/>
    <col min="9220" max="9220" width="1.28515625" style="53" customWidth="1"/>
    <col min="9221" max="9221" width="12.85546875" style="53" customWidth="1"/>
    <col min="9222" max="9222" width="13.5703125" style="53" bestFit="1" customWidth="1"/>
    <col min="9223" max="9463" width="9.140625" style="53"/>
    <col min="9464" max="9464" width="27.7109375" style="53" customWidth="1"/>
    <col min="9465" max="9465" width="1.28515625" style="53" customWidth="1"/>
    <col min="9466" max="9466" width="12.85546875" style="53" customWidth="1"/>
    <col min="9467" max="9467" width="13.5703125" style="53" bestFit="1" customWidth="1"/>
    <col min="9468" max="9468" width="1.28515625" style="53" customWidth="1"/>
    <col min="9469" max="9470" width="11.28515625" style="53" bestFit="1" customWidth="1"/>
    <col min="9471" max="9471" width="1.28515625" style="53" customWidth="1"/>
    <col min="9472" max="9472" width="11.85546875" style="53" bestFit="1" customWidth="1"/>
    <col min="9473" max="9473" width="9.85546875" style="53" bestFit="1" customWidth="1"/>
    <col min="9474" max="9474" width="1.28515625" style="53" customWidth="1"/>
    <col min="9475" max="9475" width="5.28515625" style="53" customWidth="1"/>
    <col min="9476" max="9476" width="1.28515625" style="53" customWidth="1"/>
    <col min="9477" max="9477" width="12.85546875" style="53" customWidth="1"/>
    <col min="9478" max="9478" width="13.5703125" style="53" bestFit="1" customWidth="1"/>
    <col min="9479" max="9719" width="9.140625" style="53"/>
    <col min="9720" max="9720" width="27.7109375" style="53" customWidth="1"/>
    <col min="9721" max="9721" width="1.28515625" style="53" customWidth="1"/>
    <col min="9722" max="9722" width="12.85546875" style="53" customWidth="1"/>
    <col min="9723" max="9723" width="13.5703125" style="53" bestFit="1" customWidth="1"/>
    <col min="9724" max="9724" width="1.28515625" style="53" customWidth="1"/>
    <col min="9725" max="9726" width="11.28515625" style="53" bestFit="1" customWidth="1"/>
    <col min="9727" max="9727" width="1.28515625" style="53" customWidth="1"/>
    <col min="9728" max="9728" width="11.85546875" style="53" bestFit="1" customWidth="1"/>
    <col min="9729" max="9729" width="9.85546875" style="53" bestFit="1" customWidth="1"/>
    <col min="9730" max="9730" width="1.28515625" style="53" customWidth="1"/>
    <col min="9731" max="9731" width="5.28515625" style="53" customWidth="1"/>
    <col min="9732" max="9732" width="1.28515625" style="53" customWidth="1"/>
    <col min="9733" max="9733" width="12.85546875" style="53" customWidth="1"/>
    <col min="9734" max="9734" width="13.5703125" style="53" bestFit="1" customWidth="1"/>
    <col min="9735" max="9975" width="9.140625" style="53"/>
    <col min="9976" max="9976" width="27.7109375" style="53" customWidth="1"/>
    <col min="9977" max="9977" width="1.28515625" style="53" customWidth="1"/>
    <col min="9978" max="9978" width="12.85546875" style="53" customWidth="1"/>
    <col min="9979" max="9979" width="13.5703125" style="53" bestFit="1" customWidth="1"/>
    <col min="9980" max="9980" width="1.28515625" style="53" customWidth="1"/>
    <col min="9981" max="9982" width="11.28515625" style="53" bestFit="1" customWidth="1"/>
    <col min="9983" max="9983" width="1.28515625" style="53" customWidth="1"/>
    <col min="9984" max="9984" width="11.85546875" style="53" bestFit="1" customWidth="1"/>
    <col min="9985" max="9985" width="9.85546875" style="53" bestFit="1" customWidth="1"/>
    <col min="9986" max="9986" width="1.28515625" style="53" customWidth="1"/>
    <col min="9987" max="9987" width="5.28515625" style="53" customWidth="1"/>
    <col min="9988" max="9988" width="1.28515625" style="53" customWidth="1"/>
    <col min="9989" max="9989" width="12.85546875" style="53" customWidth="1"/>
    <col min="9990" max="9990" width="13.5703125" style="53" bestFit="1" customWidth="1"/>
    <col min="9991" max="10231" width="9.140625" style="53"/>
    <col min="10232" max="10232" width="27.7109375" style="53" customWidth="1"/>
    <col min="10233" max="10233" width="1.28515625" style="53" customWidth="1"/>
    <col min="10234" max="10234" width="12.85546875" style="53" customWidth="1"/>
    <col min="10235" max="10235" width="13.5703125" style="53" bestFit="1" customWidth="1"/>
    <col min="10236" max="10236" width="1.28515625" style="53" customWidth="1"/>
    <col min="10237" max="10238" width="11.28515625" style="53" bestFit="1" customWidth="1"/>
    <col min="10239" max="10239" width="1.28515625" style="53" customWidth="1"/>
    <col min="10240" max="10240" width="11.85546875" style="53" bestFit="1" customWidth="1"/>
    <col min="10241" max="10241" width="9.85546875" style="53" bestFit="1" customWidth="1"/>
    <col min="10242" max="10242" width="1.28515625" style="53" customWidth="1"/>
    <col min="10243" max="10243" width="5.28515625" style="53" customWidth="1"/>
    <col min="10244" max="10244" width="1.28515625" style="53" customWidth="1"/>
    <col min="10245" max="10245" width="12.85546875" style="53" customWidth="1"/>
    <col min="10246" max="10246" width="13.5703125" style="53" bestFit="1" customWidth="1"/>
    <col min="10247" max="10487" width="9.140625" style="53"/>
    <col min="10488" max="10488" width="27.7109375" style="53" customWidth="1"/>
    <col min="10489" max="10489" width="1.28515625" style="53" customWidth="1"/>
    <col min="10490" max="10490" width="12.85546875" style="53" customWidth="1"/>
    <col min="10491" max="10491" width="13.5703125" style="53" bestFit="1" customWidth="1"/>
    <col min="10492" max="10492" width="1.28515625" style="53" customWidth="1"/>
    <col min="10493" max="10494" width="11.28515625" style="53" bestFit="1" customWidth="1"/>
    <col min="10495" max="10495" width="1.28515625" style="53" customWidth="1"/>
    <col min="10496" max="10496" width="11.85546875" style="53" bestFit="1" customWidth="1"/>
    <col min="10497" max="10497" width="9.85546875" style="53" bestFit="1" customWidth="1"/>
    <col min="10498" max="10498" width="1.28515625" style="53" customWidth="1"/>
    <col min="10499" max="10499" width="5.28515625" style="53" customWidth="1"/>
    <col min="10500" max="10500" width="1.28515625" style="53" customWidth="1"/>
    <col min="10501" max="10501" width="12.85546875" style="53" customWidth="1"/>
    <col min="10502" max="10502" width="13.5703125" style="53" bestFit="1" customWidth="1"/>
    <col min="10503" max="10743" width="9.140625" style="53"/>
    <col min="10744" max="10744" width="27.7109375" style="53" customWidth="1"/>
    <col min="10745" max="10745" width="1.28515625" style="53" customWidth="1"/>
    <col min="10746" max="10746" width="12.85546875" style="53" customWidth="1"/>
    <col min="10747" max="10747" width="13.5703125" style="53" bestFit="1" customWidth="1"/>
    <col min="10748" max="10748" width="1.28515625" style="53" customWidth="1"/>
    <col min="10749" max="10750" width="11.28515625" style="53" bestFit="1" customWidth="1"/>
    <col min="10751" max="10751" width="1.28515625" style="53" customWidth="1"/>
    <col min="10752" max="10752" width="11.85546875" style="53" bestFit="1" customWidth="1"/>
    <col min="10753" max="10753" width="9.85546875" style="53" bestFit="1" customWidth="1"/>
    <col min="10754" max="10754" width="1.28515625" style="53" customWidth="1"/>
    <col min="10755" max="10755" width="5.28515625" style="53" customWidth="1"/>
    <col min="10756" max="10756" width="1.28515625" style="53" customWidth="1"/>
    <col min="10757" max="10757" width="12.85546875" style="53" customWidth="1"/>
    <col min="10758" max="10758" width="13.5703125" style="53" bestFit="1" customWidth="1"/>
    <col min="10759" max="10999" width="9.140625" style="53"/>
    <col min="11000" max="11000" width="27.7109375" style="53" customWidth="1"/>
    <col min="11001" max="11001" width="1.28515625" style="53" customWidth="1"/>
    <col min="11002" max="11002" width="12.85546875" style="53" customWidth="1"/>
    <col min="11003" max="11003" width="13.5703125" style="53" bestFit="1" customWidth="1"/>
    <col min="11004" max="11004" width="1.28515625" style="53" customWidth="1"/>
    <col min="11005" max="11006" width="11.28515625" style="53" bestFit="1" customWidth="1"/>
    <col min="11007" max="11007" width="1.28515625" style="53" customWidth="1"/>
    <col min="11008" max="11008" width="11.85546875" style="53" bestFit="1" customWidth="1"/>
    <col min="11009" max="11009" width="9.85546875" style="53" bestFit="1" customWidth="1"/>
    <col min="11010" max="11010" width="1.28515625" style="53" customWidth="1"/>
    <col min="11011" max="11011" width="5.28515625" style="53" customWidth="1"/>
    <col min="11012" max="11012" width="1.28515625" style="53" customWidth="1"/>
    <col min="11013" max="11013" width="12.85546875" style="53" customWidth="1"/>
    <col min="11014" max="11014" width="13.5703125" style="53" bestFit="1" customWidth="1"/>
    <col min="11015" max="11255" width="9.140625" style="53"/>
    <col min="11256" max="11256" width="27.7109375" style="53" customWidth="1"/>
    <col min="11257" max="11257" width="1.28515625" style="53" customWidth="1"/>
    <col min="11258" max="11258" width="12.85546875" style="53" customWidth="1"/>
    <col min="11259" max="11259" width="13.5703125" style="53" bestFit="1" customWidth="1"/>
    <col min="11260" max="11260" width="1.28515625" style="53" customWidth="1"/>
    <col min="11261" max="11262" width="11.28515625" style="53" bestFit="1" customWidth="1"/>
    <col min="11263" max="11263" width="1.28515625" style="53" customWidth="1"/>
    <col min="11264" max="11264" width="11.85546875" style="53" bestFit="1" customWidth="1"/>
    <col min="11265" max="11265" width="9.85546875" style="53" bestFit="1" customWidth="1"/>
    <col min="11266" max="11266" width="1.28515625" style="53" customWidth="1"/>
    <col min="11267" max="11267" width="5.28515625" style="53" customWidth="1"/>
    <col min="11268" max="11268" width="1.28515625" style="53" customWidth="1"/>
    <col min="11269" max="11269" width="12.85546875" style="53" customWidth="1"/>
    <col min="11270" max="11270" width="13.5703125" style="53" bestFit="1" customWidth="1"/>
    <col min="11271" max="11511" width="9.140625" style="53"/>
    <col min="11512" max="11512" width="27.7109375" style="53" customWidth="1"/>
    <col min="11513" max="11513" width="1.28515625" style="53" customWidth="1"/>
    <col min="11514" max="11514" width="12.85546875" style="53" customWidth="1"/>
    <col min="11515" max="11515" width="13.5703125" style="53" bestFit="1" customWidth="1"/>
    <col min="11516" max="11516" width="1.28515625" style="53" customWidth="1"/>
    <col min="11517" max="11518" width="11.28515625" style="53" bestFit="1" customWidth="1"/>
    <col min="11519" max="11519" width="1.28515625" style="53" customWidth="1"/>
    <col min="11520" max="11520" width="11.85546875" style="53" bestFit="1" customWidth="1"/>
    <col min="11521" max="11521" width="9.85546875" style="53" bestFit="1" customWidth="1"/>
    <col min="11522" max="11522" width="1.28515625" style="53" customWidth="1"/>
    <col min="11523" max="11523" width="5.28515625" style="53" customWidth="1"/>
    <col min="11524" max="11524" width="1.28515625" style="53" customWidth="1"/>
    <col min="11525" max="11525" width="12.85546875" style="53" customWidth="1"/>
    <col min="11526" max="11526" width="13.5703125" style="53" bestFit="1" customWidth="1"/>
    <col min="11527" max="11767" width="9.140625" style="53"/>
    <col min="11768" max="11768" width="27.7109375" style="53" customWidth="1"/>
    <col min="11769" max="11769" width="1.28515625" style="53" customWidth="1"/>
    <col min="11770" max="11770" width="12.85546875" style="53" customWidth="1"/>
    <col min="11771" max="11771" width="13.5703125" style="53" bestFit="1" customWidth="1"/>
    <col min="11772" max="11772" width="1.28515625" style="53" customWidth="1"/>
    <col min="11773" max="11774" width="11.28515625" style="53" bestFit="1" customWidth="1"/>
    <col min="11775" max="11775" width="1.28515625" style="53" customWidth="1"/>
    <col min="11776" max="11776" width="11.85546875" style="53" bestFit="1" customWidth="1"/>
    <col min="11777" max="11777" width="9.85546875" style="53" bestFit="1" customWidth="1"/>
    <col min="11778" max="11778" width="1.28515625" style="53" customWidth="1"/>
    <col min="11779" max="11779" width="5.28515625" style="53" customWidth="1"/>
    <col min="11780" max="11780" width="1.28515625" style="53" customWidth="1"/>
    <col min="11781" max="11781" width="12.85546875" style="53" customWidth="1"/>
    <col min="11782" max="11782" width="13.5703125" style="53" bestFit="1" customWidth="1"/>
    <col min="11783" max="12023" width="9.140625" style="53"/>
    <col min="12024" max="12024" width="27.7109375" style="53" customWidth="1"/>
    <col min="12025" max="12025" width="1.28515625" style="53" customWidth="1"/>
    <col min="12026" max="12026" width="12.85546875" style="53" customWidth="1"/>
    <col min="12027" max="12027" width="13.5703125" style="53" bestFit="1" customWidth="1"/>
    <col min="12028" max="12028" width="1.28515625" style="53" customWidth="1"/>
    <col min="12029" max="12030" width="11.28515625" style="53" bestFit="1" customWidth="1"/>
    <col min="12031" max="12031" width="1.28515625" style="53" customWidth="1"/>
    <col min="12032" max="12032" width="11.85546875" style="53" bestFit="1" customWidth="1"/>
    <col min="12033" max="12033" width="9.85546875" style="53" bestFit="1" customWidth="1"/>
    <col min="12034" max="12034" width="1.28515625" style="53" customWidth="1"/>
    <col min="12035" max="12035" width="5.28515625" style="53" customWidth="1"/>
    <col min="12036" max="12036" width="1.28515625" style="53" customWidth="1"/>
    <col min="12037" max="12037" width="12.85546875" style="53" customWidth="1"/>
    <col min="12038" max="12038" width="13.5703125" style="53" bestFit="1" customWidth="1"/>
    <col min="12039" max="12279" width="9.140625" style="53"/>
    <col min="12280" max="12280" width="27.7109375" style="53" customWidth="1"/>
    <col min="12281" max="12281" width="1.28515625" style="53" customWidth="1"/>
    <col min="12282" max="12282" width="12.85546875" style="53" customWidth="1"/>
    <col min="12283" max="12283" width="13.5703125" style="53" bestFit="1" customWidth="1"/>
    <col min="12284" max="12284" width="1.28515625" style="53" customWidth="1"/>
    <col min="12285" max="12286" width="11.28515625" style="53" bestFit="1" customWidth="1"/>
    <col min="12287" max="12287" width="1.28515625" style="53" customWidth="1"/>
    <col min="12288" max="12288" width="11.85546875" style="53" bestFit="1" customWidth="1"/>
    <col min="12289" max="12289" width="9.85546875" style="53" bestFit="1" customWidth="1"/>
    <col min="12290" max="12290" width="1.28515625" style="53" customWidth="1"/>
    <col min="12291" max="12291" width="5.28515625" style="53" customWidth="1"/>
    <col min="12292" max="12292" width="1.28515625" style="53" customWidth="1"/>
    <col min="12293" max="12293" width="12.85546875" style="53" customWidth="1"/>
    <col min="12294" max="12294" width="13.5703125" style="53" bestFit="1" customWidth="1"/>
    <col min="12295" max="12535" width="9.140625" style="53"/>
    <col min="12536" max="12536" width="27.7109375" style="53" customWidth="1"/>
    <col min="12537" max="12537" width="1.28515625" style="53" customWidth="1"/>
    <col min="12538" max="12538" width="12.85546875" style="53" customWidth="1"/>
    <col min="12539" max="12539" width="13.5703125" style="53" bestFit="1" customWidth="1"/>
    <col min="12540" max="12540" width="1.28515625" style="53" customWidth="1"/>
    <col min="12541" max="12542" width="11.28515625" style="53" bestFit="1" customWidth="1"/>
    <col min="12543" max="12543" width="1.28515625" style="53" customWidth="1"/>
    <col min="12544" max="12544" width="11.85546875" style="53" bestFit="1" customWidth="1"/>
    <col min="12545" max="12545" width="9.85546875" style="53" bestFit="1" customWidth="1"/>
    <col min="12546" max="12546" width="1.28515625" style="53" customWidth="1"/>
    <col min="12547" max="12547" width="5.28515625" style="53" customWidth="1"/>
    <col min="12548" max="12548" width="1.28515625" style="53" customWidth="1"/>
    <col min="12549" max="12549" width="12.85546875" style="53" customWidth="1"/>
    <col min="12550" max="12550" width="13.5703125" style="53" bestFit="1" customWidth="1"/>
    <col min="12551" max="12791" width="9.140625" style="53"/>
    <col min="12792" max="12792" width="27.7109375" style="53" customWidth="1"/>
    <col min="12793" max="12793" width="1.28515625" style="53" customWidth="1"/>
    <col min="12794" max="12794" width="12.85546875" style="53" customWidth="1"/>
    <col min="12795" max="12795" width="13.5703125" style="53" bestFit="1" customWidth="1"/>
    <col min="12796" max="12796" width="1.28515625" style="53" customWidth="1"/>
    <col min="12797" max="12798" width="11.28515625" style="53" bestFit="1" customWidth="1"/>
    <col min="12799" max="12799" width="1.28515625" style="53" customWidth="1"/>
    <col min="12800" max="12800" width="11.85546875" style="53" bestFit="1" customWidth="1"/>
    <col min="12801" max="12801" width="9.85546875" style="53" bestFit="1" customWidth="1"/>
    <col min="12802" max="12802" width="1.28515625" style="53" customWidth="1"/>
    <col min="12803" max="12803" width="5.28515625" style="53" customWidth="1"/>
    <col min="12804" max="12804" width="1.28515625" style="53" customWidth="1"/>
    <col min="12805" max="12805" width="12.85546875" style="53" customWidth="1"/>
    <col min="12806" max="12806" width="13.5703125" style="53" bestFit="1" customWidth="1"/>
    <col min="12807" max="13047" width="9.140625" style="53"/>
    <col min="13048" max="13048" width="27.7109375" style="53" customWidth="1"/>
    <col min="13049" max="13049" width="1.28515625" style="53" customWidth="1"/>
    <col min="13050" max="13050" width="12.85546875" style="53" customWidth="1"/>
    <col min="13051" max="13051" width="13.5703125" style="53" bestFit="1" customWidth="1"/>
    <col min="13052" max="13052" width="1.28515625" style="53" customWidth="1"/>
    <col min="13053" max="13054" width="11.28515625" style="53" bestFit="1" customWidth="1"/>
    <col min="13055" max="13055" width="1.28515625" style="53" customWidth="1"/>
    <col min="13056" max="13056" width="11.85546875" style="53" bestFit="1" customWidth="1"/>
    <col min="13057" max="13057" width="9.85546875" style="53" bestFit="1" customWidth="1"/>
    <col min="13058" max="13058" width="1.28515625" style="53" customWidth="1"/>
    <col min="13059" max="13059" width="5.28515625" style="53" customWidth="1"/>
    <col min="13060" max="13060" width="1.28515625" style="53" customWidth="1"/>
    <col min="13061" max="13061" width="12.85546875" style="53" customWidth="1"/>
    <col min="13062" max="13062" width="13.5703125" style="53" bestFit="1" customWidth="1"/>
    <col min="13063" max="13303" width="9.140625" style="53"/>
    <col min="13304" max="13304" width="27.7109375" style="53" customWidth="1"/>
    <col min="13305" max="13305" width="1.28515625" style="53" customWidth="1"/>
    <col min="13306" max="13306" width="12.85546875" style="53" customWidth="1"/>
    <col min="13307" max="13307" width="13.5703125" style="53" bestFit="1" customWidth="1"/>
    <col min="13308" max="13308" width="1.28515625" style="53" customWidth="1"/>
    <col min="13309" max="13310" width="11.28515625" style="53" bestFit="1" customWidth="1"/>
    <col min="13311" max="13311" width="1.28515625" style="53" customWidth="1"/>
    <col min="13312" max="13312" width="11.85546875" style="53" bestFit="1" customWidth="1"/>
    <col min="13313" max="13313" width="9.85546875" style="53" bestFit="1" customWidth="1"/>
    <col min="13314" max="13314" width="1.28515625" style="53" customWidth="1"/>
    <col min="13315" max="13315" width="5.28515625" style="53" customWidth="1"/>
    <col min="13316" max="13316" width="1.28515625" style="53" customWidth="1"/>
    <col min="13317" max="13317" width="12.85546875" style="53" customWidth="1"/>
    <col min="13318" max="13318" width="13.5703125" style="53" bestFit="1" customWidth="1"/>
    <col min="13319" max="13559" width="9.140625" style="53"/>
    <col min="13560" max="13560" width="27.7109375" style="53" customWidth="1"/>
    <col min="13561" max="13561" width="1.28515625" style="53" customWidth="1"/>
    <col min="13562" max="13562" width="12.85546875" style="53" customWidth="1"/>
    <col min="13563" max="13563" width="13.5703125" style="53" bestFit="1" customWidth="1"/>
    <col min="13564" max="13564" width="1.28515625" style="53" customWidth="1"/>
    <col min="13565" max="13566" width="11.28515625" style="53" bestFit="1" customWidth="1"/>
    <col min="13567" max="13567" width="1.28515625" style="53" customWidth="1"/>
    <col min="13568" max="13568" width="11.85546875" style="53" bestFit="1" customWidth="1"/>
    <col min="13569" max="13569" width="9.85546875" style="53" bestFit="1" customWidth="1"/>
    <col min="13570" max="13570" width="1.28515625" style="53" customWidth="1"/>
    <col min="13571" max="13571" width="5.28515625" style="53" customWidth="1"/>
    <col min="13572" max="13572" width="1.28515625" style="53" customWidth="1"/>
    <col min="13573" max="13573" width="12.85546875" style="53" customWidth="1"/>
    <col min="13574" max="13574" width="13.5703125" style="53" bestFit="1" customWidth="1"/>
    <col min="13575" max="13815" width="9.140625" style="53"/>
    <col min="13816" max="13816" width="27.7109375" style="53" customWidth="1"/>
    <col min="13817" max="13817" width="1.28515625" style="53" customWidth="1"/>
    <col min="13818" max="13818" width="12.85546875" style="53" customWidth="1"/>
    <col min="13819" max="13819" width="13.5703125" style="53" bestFit="1" customWidth="1"/>
    <col min="13820" max="13820" width="1.28515625" style="53" customWidth="1"/>
    <col min="13821" max="13822" width="11.28515625" style="53" bestFit="1" customWidth="1"/>
    <col min="13823" max="13823" width="1.28515625" style="53" customWidth="1"/>
    <col min="13824" max="13824" width="11.85546875" style="53" bestFit="1" customWidth="1"/>
    <col min="13825" max="13825" width="9.85546875" style="53" bestFit="1" customWidth="1"/>
    <col min="13826" max="13826" width="1.28515625" style="53" customWidth="1"/>
    <col min="13827" max="13827" width="5.28515625" style="53" customWidth="1"/>
    <col min="13828" max="13828" width="1.28515625" style="53" customWidth="1"/>
    <col min="13829" max="13829" width="12.85546875" style="53" customWidth="1"/>
    <col min="13830" max="13830" width="13.5703125" style="53" bestFit="1" customWidth="1"/>
    <col min="13831" max="14071" width="9.140625" style="53"/>
    <col min="14072" max="14072" width="27.7109375" style="53" customWidth="1"/>
    <col min="14073" max="14073" width="1.28515625" style="53" customWidth="1"/>
    <col min="14074" max="14074" width="12.85546875" style="53" customWidth="1"/>
    <col min="14075" max="14075" width="13.5703125" style="53" bestFit="1" customWidth="1"/>
    <col min="14076" max="14076" width="1.28515625" style="53" customWidth="1"/>
    <col min="14077" max="14078" width="11.28515625" style="53" bestFit="1" customWidth="1"/>
    <col min="14079" max="14079" width="1.28515625" style="53" customWidth="1"/>
    <col min="14080" max="14080" width="11.85546875" style="53" bestFit="1" customWidth="1"/>
    <col min="14081" max="14081" width="9.85546875" style="53" bestFit="1" customWidth="1"/>
    <col min="14082" max="14082" width="1.28515625" style="53" customWidth="1"/>
    <col min="14083" max="14083" width="5.28515625" style="53" customWidth="1"/>
    <col min="14084" max="14084" width="1.28515625" style="53" customWidth="1"/>
    <col min="14085" max="14085" width="12.85546875" style="53" customWidth="1"/>
    <col min="14086" max="14086" width="13.5703125" style="53" bestFit="1" customWidth="1"/>
    <col min="14087" max="14327" width="9.140625" style="53"/>
    <col min="14328" max="14328" width="27.7109375" style="53" customWidth="1"/>
    <col min="14329" max="14329" width="1.28515625" style="53" customWidth="1"/>
    <col min="14330" max="14330" width="12.85546875" style="53" customWidth="1"/>
    <col min="14331" max="14331" width="13.5703125" style="53" bestFit="1" customWidth="1"/>
    <col min="14332" max="14332" width="1.28515625" style="53" customWidth="1"/>
    <col min="14333" max="14334" width="11.28515625" style="53" bestFit="1" customWidth="1"/>
    <col min="14335" max="14335" width="1.28515625" style="53" customWidth="1"/>
    <col min="14336" max="14336" width="11.85546875" style="53" bestFit="1" customWidth="1"/>
    <col min="14337" max="14337" width="9.85546875" style="53" bestFit="1" customWidth="1"/>
    <col min="14338" max="14338" width="1.28515625" style="53" customWidth="1"/>
    <col min="14339" max="14339" width="5.28515625" style="53" customWidth="1"/>
    <col min="14340" max="14340" width="1.28515625" style="53" customWidth="1"/>
    <col min="14341" max="14341" width="12.85546875" style="53" customWidth="1"/>
    <col min="14342" max="14342" width="13.5703125" style="53" bestFit="1" customWidth="1"/>
    <col min="14343" max="14583" width="9.140625" style="53"/>
    <col min="14584" max="14584" width="27.7109375" style="53" customWidth="1"/>
    <col min="14585" max="14585" width="1.28515625" style="53" customWidth="1"/>
    <col min="14586" max="14586" width="12.85546875" style="53" customWidth="1"/>
    <col min="14587" max="14587" width="13.5703125" style="53" bestFit="1" customWidth="1"/>
    <col min="14588" max="14588" width="1.28515625" style="53" customWidth="1"/>
    <col min="14589" max="14590" width="11.28515625" style="53" bestFit="1" customWidth="1"/>
    <col min="14591" max="14591" width="1.28515625" style="53" customWidth="1"/>
    <col min="14592" max="14592" width="11.85546875" style="53" bestFit="1" customWidth="1"/>
    <col min="14593" max="14593" width="9.85546875" style="53" bestFit="1" customWidth="1"/>
    <col min="14594" max="14594" width="1.28515625" style="53" customWidth="1"/>
    <col min="14595" max="14595" width="5.28515625" style="53" customWidth="1"/>
    <col min="14596" max="14596" width="1.28515625" style="53" customWidth="1"/>
    <col min="14597" max="14597" width="12.85546875" style="53" customWidth="1"/>
    <col min="14598" max="14598" width="13.5703125" style="53" bestFit="1" customWidth="1"/>
    <col min="14599" max="14839" width="9.140625" style="53"/>
    <col min="14840" max="14840" width="27.7109375" style="53" customWidth="1"/>
    <col min="14841" max="14841" width="1.28515625" style="53" customWidth="1"/>
    <col min="14842" max="14842" width="12.85546875" style="53" customWidth="1"/>
    <col min="14843" max="14843" width="13.5703125" style="53" bestFit="1" customWidth="1"/>
    <col min="14844" max="14844" width="1.28515625" style="53" customWidth="1"/>
    <col min="14845" max="14846" width="11.28515625" style="53" bestFit="1" customWidth="1"/>
    <col min="14847" max="14847" width="1.28515625" style="53" customWidth="1"/>
    <col min="14848" max="14848" width="11.85546875" style="53" bestFit="1" customWidth="1"/>
    <col min="14849" max="14849" width="9.85546875" style="53" bestFit="1" customWidth="1"/>
    <col min="14850" max="14850" width="1.28515625" style="53" customWidth="1"/>
    <col min="14851" max="14851" width="5.28515625" style="53" customWidth="1"/>
    <col min="14852" max="14852" width="1.28515625" style="53" customWidth="1"/>
    <col min="14853" max="14853" width="12.85546875" style="53" customWidth="1"/>
    <col min="14854" max="14854" width="13.5703125" style="53" bestFit="1" customWidth="1"/>
    <col min="14855" max="15095" width="9.140625" style="53"/>
    <col min="15096" max="15096" width="27.7109375" style="53" customWidth="1"/>
    <col min="15097" max="15097" width="1.28515625" style="53" customWidth="1"/>
    <col min="15098" max="15098" width="12.85546875" style="53" customWidth="1"/>
    <col min="15099" max="15099" width="13.5703125" style="53" bestFit="1" customWidth="1"/>
    <col min="15100" max="15100" width="1.28515625" style="53" customWidth="1"/>
    <col min="15101" max="15102" width="11.28515625" style="53" bestFit="1" customWidth="1"/>
    <col min="15103" max="15103" width="1.28515625" style="53" customWidth="1"/>
    <col min="15104" max="15104" width="11.85546875" style="53" bestFit="1" customWidth="1"/>
    <col min="15105" max="15105" width="9.85546875" style="53" bestFit="1" customWidth="1"/>
    <col min="15106" max="15106" width="1.28515625" style="53" customWidth="1"/>
    <col min="15107" max="15107" width="5.28515625" style="53" customWidth="1"/>
    <col min="15108" max="15108" width="1.28515625" style="53" customWidth="1"/>
    <col min="15109" max="15109" width="12.85546875" style="53" customWidth="1"/>
    <col min="15110" max="15110" width="13.5703125" style="53" bestFit="1" customWidth="1"/>
    <col min="15111" max="15351" width="9.140625" style="53"/>
    <col min="15352" max="15352" width="27.7109375" style="53" customWidth="1"/>
    <col min="15353" max="15353" width="1.28515625" style="53" customWidth="1"/>
    <col min="15354" max="15354" width="12.85546875" style="53" customWidth="1"/>
    <col min="15355" max="15355" width="13.5703125" style="53" bestFit="1" customWidth="1"/>
    <col min="15356" max="15356" width="1.28515625" style="53" customWidth="1"/>
    <col min="15357" max="15358" width="11.28515625" style="53" bestFit="1" customWidth="1"/>
    <col min="15359" max="15359" width="1.28515625" style="53" customWidth="1"/>
    <col min="15360" max="15360" width="11.85546875" style="53" bestFit="1" customWidth="1"/>
    <col min="15361" max="15361" width="9.85546875" style="53" bestFit="1" customWidth="1"/>
    <col min="15362" max="15362" width="1.28515625" style="53" customWidth="1"/>
    <col min="15363" max="15363" width="5.28515625" style="53" customWidth="1"/>
    <col min="15364" max="15364" width="1.28515625" style="53" customWidth="1"/>
    <col min="15365" max="15365" width="12.85546875" style="53" customWidth="1"/>
    <col min="15366" max="15366" width="13.5703125" style="53" bestFit="1" customWidth="1"/>
    <col min="15367" max="15607" width="9.140625" style="53"/>
    <col min="15608" max="15608" width="27.7109375" style="53" customWidth="1"/>
    <col min="15609" max="15609" width="1.28515625" style="53" customWidth="1"/>
    <col min="15610" max="15610" width="12.85546875" style="53" customWidth="1"/>
    <col min="15611" max="15611" width="13.5703125" style="53" bestFit="1" customWidth="1"/>
    <col min="15612" max="15612" width="1.28515625" style="53" customWidth="1"/>
    <col min="15613" max="15614" width="11.28515625" style="53" bestFit="1" customWidth="1"/>
    <col min="15615" max="15615" width="1.28515625" style="53" customWidth="1"/>
    <col min="15616" max="15616" width="11.85546875" style="53" bestFit="1" customWidth="1"/>
    <col min="15617" max="15617" width="9.85546875" style="53" bestFit="1" customWidth="1"/>
    <col min="15618" max="15618" width="1.28515625" style="53" customWidth="1"/>
    <col min="15619" max="15619" width="5.28515625" style="53" customWidth="1"/>
    <col min="15620" max="15620" width="1.28515625" style="53" customWidth="1"/>
    <col min="15621" max="15621" width="12.85546875" style="53" customWidth="1"/>
    <col min="15622" max="15622" width="13.5703125" style="53" bestFit="1" customWidth="1"/>
    <col min="15623" max="15863" width="9.140625" style="53"/>
    <col min="15864" max="15864" width="27.7109375" style="53" customWidth="1"/>
    <col min="15865" max="15865" width="1.28515625" style="53" customWidth="1"/>
    <col min="15866" max="15866" width="12.85546875" style="53" customWidth="1"/>
    <col min="15867" max="15867" width="13.5703125" style="53" bestFit="1" customWidth="1"/>
    <col min="15868" max="15868" width="1.28515625" style="53" customWidth="1"/>
    <col min="15869" max="15870" width="11.28515625" style="53" bestFit="1" customWidth="1"/>
    <col min="15871" max="15871" width="1.28515625" style="53" customWidth="1"/>
    <col min="15872" max="15872" width="11.85546875" style="53" bestFit="1" customWidth="1"/>
    <col min="15873" max="15873" width="9.85546875" style="53" bestFit="1" customWidth="1"/>
    <col min="15874" max="15874" width="1.28515625" style="53" customWidth="1"/>
    <col min="15875" max="15875" width="5.28515625" style="53" customWidth="1"/>
    <col min="15876" max="15876" width="1.28515625" style="53" customWidth="1"/>
    <col min="15877" max="15877" width="12.85546875" style="53" customWidth="1"/>
    <col min="15878" max="15878" width="13.5703125" style="53" bestFit="1" customWidth="1"/>
    <col min="15879" max="16119" width="9.140625" style="53"/>
    <col min="16120" max="16120" width="27.7109375" style="53" customWidth="1"/>
    <col min="16121" max="16121" width="1.28515625" style="53" customWidth="1"/>
    <col min="16122" max="16122" width="12.85546875" style="53" customWidth="1"/>
    <col min="16123" max="16123" width="13.5703125" style="53" bestFit="1" customWidth="1"/>
    <col min="16124" max="16124" width="1.28515625" style="53" customWidth="1"/>
    <col min="16125" max="16126" width="11.28515625" style="53" bestFit="1" customWidth="1"/>
    <col min="16127" max="16127" width="1.28515625" style="53" customWidth="1"/>
    <col min="16128" max="16128" width="11.85546875" style="53" bestFit="1" customWidth="1"/>
    <col min="16129" max="16129" width="9.85546875" style="53" bestFit="1" customWidth="1"/>
    <col min="16130" max="16130" width="1.28515625" style="53" customWidth="1"/>
    <col min="16131" max="16131" width="5.28515625" style="53" customWidth="1"/>
    <col min="16132" max="16132" width="1.28515625" style="53" customWidth="1"/>
    <col min="16133" max="16133" width="12.85546875" style="53" customWidth="1"/>
    <col min="16134" max="16134" width="13.5703125" style="53" bestFit="1" customWidth="1"/>
    <col min="16135" max="16384" width="9.140625" style="53"/>
  </cols>
  <sheetData>
    <row r="1" spans="1:14" x14ac:dyDescent="0.2">
      <c r="A1" s="17" t="s">
        <v>10</v>
      </c>
    </row>
    <row r="2" spans="1:14" x14ac:dyDescent="0.2">
      <c r="A2" s="52" t="s">
        <v>108</v>
      </c>
    </row>
    <row r="3" spans="1:14" x14ac:dyDescent="0.2">
      <c r="A3" s="54"/>
    </row>
    <row r="4" spans="1:14" x14ac:dyDescent="0.2">
      <c r="A4" s="55" t="s">
        <v>56</v>
      </c>
    </row>
    <row r="6" spans="1:14" x14ac:dyDescent="0.2">
      <c r="A6" s="52" t="s">
        <v>57</v>
      </c>
      <c r="B6" s="56"/>
      <c r="C6" s="95" t="s">
        <v>58</v>
      </c>
      <c r="D6" s="95"/>
      <c r="E6" s="56"/>
      <c r="F6" s="96" t="s">
        <v>59</v>
      </c>
      <c r="G6" s="96"/>
      <c r="H6" s="56"/>
      <c r="I6" s="96" t="s">
        <v>59</v>
      </c>
      <c r="J6" s="96"/>
      <c r="K6" s="56"/>
      <c r="L6" s="97" t="s">
        <v>60</v>
      </c>
      <c r="M6" s="97"/>
    </row>
    <row r="7" spans="1:14" x14ac:dyDescent="0.2">
      <c r="A7" s="52"/>
      <c r="B7" s="56"/>
      <c r="C7" s="57" t="s">
        <v>44</v>
      </c>
      <c r="D7" s="58" t="s">
        <v>45</v>
      </c>
      <c r="E7" s="56"/>
      <c r="F7" s="59" t="s">
        <v>44</v>
      </c>
      <c r="G7" s="59" t="s">
        <v>44</v>
      </c>
      <c r="H7" s="56"/>
      <c r="I7" s="59" t="s">
        <v>45</v>
      </c>
      <c r="J7" s="59" t="s">
        <v>45</v>
      </c>
      <c r="K7" s="56"/>
      <c r="L7" s="60" t="s">
        <v>44</v>
      </c>
      <c r="M7" s="61" t="s">
        <v>45</v>
      </c>
    </row>
    <row r="8" spans="1:14" x14ac:dyDescent="0.2">
      <c r="A8" s="52"/>
      <c r="B8" s="56"/>
      <c r="C8" s="57" t="s">
        <v>23</v>
      </c>
      <c r="D8" s="57" t="s">
        <v>23</v>
      </c>
      <c r="E8" s="56"/>
      <c r="F8" s="59" t="s">
        <v>23</v>
      </c>
      <c r="G8" s="59" t="s">
        <v>23</v>
      </c>
      <c r="H8" s="56"/>
      <c r="I8" s="59" t="s">
        <v>23</v>
      </c>
      <c r="J8" s="59" t="s">
        <v>23</v>
      </c>
      <c r="K8" s="56"/>
      <c r="L8" s="60" t="s">
        <v>23</v>
      </c>
      <c r="M8" s="60" t="s">
        <v>23</v>
      </c>
    </row>
    <row r="9" spans="1:14" x14ac:dyDescent="0.2">
      <c r="B9" s="56"/>
      <c r="E9" s="56"/>
      <c r="F9" s="62"/>
      <c r="H9" s="56"/>
      <c r="I9" s="62"/>
      <c r="J9" s="62"/>
      <c r="K9" s="56"/>
    </row>
    <row r="10" spans="1:14" x14ac:dyDescent="0.2">
      <c r="A10" s="63" t="s">
        <v>66</v>
      </c>
      <c r="B10" s="56"/>
      <c r="C10" s="64">
        <f>总帐!D38</f>
        <v>9568.820000000007</v>
      </c>
      <c r="D10" s="64"/>
      <c r="E10" s="56"/>
      <c r="F10" s="48"/>
      <c r="G10" s="48"/>
      <c r="H10" s="65"/>
      <c r="I10" s="48"/>
      <c r="J10" s="48"/>
      <c r="K10" s="56"/>
      <c r="L10" s="67">
        <f t="shared" ref="L10:L18" si="0">IF(SUM($C10:$J10)&gt;0,SUM($C10:$J10),0)</f>
        <v>9568.820000000007</v>
      </c>
      <c r="M10" s="68">
        <f t="shared" ref="M10:M18" si="1">IF(SUM($C10:$J10)&lt;0,SUM($C10:$J10),0)</f>
        <v>0</v>
      </c>
    </row>
    <row r="11" spans="1:14" x14ac:dyDescent="0.2">
      <c r="A11" s="63" t="s">
        <v>28</v>
      </c>
      <c r="B11" s="56"/>
      <c r="C11" s="64">
        <f>总帐!F38</f>
        <v>5.9769759998920904</v>
      </c>
      <c r="D11" s="64"/>
      <c r="E11" s="56"/>
      <c r="F11" s="48"/>
      <c r="G11" s="48"/>
      <c r="H11" s="65"/>
      <c r="I11" s="48"/>
      <c r="J11" s="48"/>
      <c r="K11" s="56"/>
      <c r="L11" s="70">
        <f t="shared" si="0"/>
        <v>5.9769759998920904</v>
      </c>
      <c r="M11" s="71">
        <f t="shared" si="1"/>
        <v>0</v>
      </c>
      <c r="N11" s="62">
        <f>SUM(L10:M11)</f>
        <v>9574.7969759998996</v>
      </c>
    </row>
    <row r="12" spans="1:14" x14ac:dyDescent="0.2">
      <c r="A12" s="63"/>
      <c r="B12" s="56"/>
      <c r="C12" s="64"/>
      <c r="D12" s="64"/>
      <c r="E12" s="56"/>
      <c r="F12" s="48"/>
      <c r="G12" s="48"/>
      <c r="H12" s="65"/>
      <c r="I12" s="48"/>
      <c r="J12" s="48"/>
      <c r="K12" s="56"/>
      <c r="L12" s="48"/>
      <c r="M12" s="48"/>
    </row>
    <row r="13" spans="1:14" x14ac:dyDescent="0.2">
      <c r="A13" s="63" t="s">
        <v>91</v>
      </c>
      <c r="B13" s="56"/>
      <c r="C13" s="64">
        <f>总帐!I38</f>
        <v>2312380</v>
      </c>
      <c r="D13" s="64"/>
      <c r="E13" s="56"/>
      <c r="F13" s="48"/>
      <c r="G13" s="48"/>
      <c r="H13" s="65"/>
      <c r="I13" s="48"/>
      <c r="J13" s="48"/>
      <c r="K13" s="56"/>
      <c r="L13" s="66">
        <f t="shared" si="0"/>
        <v>2312380</v>
      </c>
      <c r="M13" s="66">
        <f t="shared" si="1"/>
        <v>0</v>
      </c>
    </row>
    <row r="14" spans="1:14" x14ac:dyDescent="0.2">
      <c r="A14" s="63" t="s">
        <v>46</v>
      </c>
      <c r="B14" s="56"/>
      <c r="C14" s="64">
        <f>总帐!J38</f>
        <v>0</v>
      </c>
      <c r="D14" s="69"/>
      <c r="E14" s="56"/>
      <c r="F14" s="48"/>
      <c r="G14" s="48"/>
      <c r="H14" s="65"/>
      <c r="I14" s="48"/>
      <c r="J14" s="48"/>
      <c r="K14" s="56"/>
      <c r="L14" s="66">
        <f t="shared" si="0"/>
        <v>0</v>
      </c>
      <c r="M14" s="66">
        <f t="shared" si="1"/>
        <v>0</v>
      </c>
    </row>
    <row r="15" spans="1:14" x14ac:dyDescent="0.2">
      <c r="B15" s="56"/>
      <c r="C15" s="69"/>
      <c r="D15" s="69"/>
      <c r="E15" s="56"/>
      <c r="F15" s="48"/>
      <c r="G15" s="48"/>
      <c r="H15" s="65"/>
      <c r="I15" s="48"/>
      <c r="J15" s="48"/>
      <c r="K15" s="56"/>
      <c r="L15" s="66"/>
      <c r="M15" s="66"/>
      <c r="N15" s="62"/>
    </row>
    <row r="16" spans="1:14" x14ac:dyDescent="0.2">
      <c r="A16" s="53" t="s">
        <v>47</v>
      </c>
      <c r="B16" s="56"/>
      <c r="C16" s="69"/>
      <c r="D16" s="69">
        <f>总帐!K38</f>
        <v>-1650</v>
      </c>
      <c r="E16" s="56"/>
      <c r="F16" s="48"/>
      <c r="G16" s="48"/>
      <c r="H16" s="65"/>
      <c r="I16" s="48"/>
      <c r="J16" s="48"/>
      <c r="K16" s="56"/>
      <c r="L16" s="67">
        <f t="shared" si="0"/>
        <v>0</v>
      </c>
      <c r="M16" s="68">
        <f t="shared" si="1"/>
        <v>-1650</v>
      </c>
    </row>
    <row r="17" spans="1:15" x14ac:dyDescent="0.2">
      <c r="A17" s="53" t="s">
        <v>92</v>
      </c>
      <c r="B17" s="56"/>
      <c r="C17" s="69"/>
      <c r="D17" s="69">
        <f>总帐!M38</f>
        <v>-2312380</v>
      </c>
      <c r="E17" s="56"/>
      <c r="F17" s="48"/>
      <c r="G17" s="48"/>
      <c r="H17" s="65"/>
      <c r="I17" s="48"/>
      <c r="J17" s="48"/>
      <c r="K17" s="56"/>
      <c r="L17" s="91">
        <f t="shared" si="0"/>
        <v>0</v>
      </c>
      <c r="M17" s="92">
        <f t="shared" si="1"/>
        <v>-2312380</v>
      </c>
    </row>
    <row r="18" spans="1:15" x14ac:dyDescent="0.2">
      <c r="A18" s="53" t="s">
        <v>55</v>
      </c>
      <c r="B18" s="56"/>
      <c r="C18" s="69"/>
      <c r="D18" s="69">
        <f>总帐!L38</f>
        <v>0</v>
      </c>
      <c r="E18" s="56"/>
      <c r="F18" s="48"/>
      <c r="G18" s="48"/>
      <c r="H18" s="65"/>
      <c r="I18" s="48"/>
      <c r="J18" s="48"/>
      <c r="K18" s="56"/>
      <c r="L18" s="70">
        <f t="shared" si="0"/>
        <v>0</v>
      </c>
      <c r="M18" s="71">
        <f t="shared" si="1"/>
        <v>0</v>
      </c>
      <c r="N18" s="62">
        <f>SUM(L16:M18)</f>
        <v>-2314030</v>
      </c>
    </row>
    <row r="19" spans="1:15" x14ac:dyDescent="0.2">
      <c r="B19" s="56"/>
      <c r="C19" s="69"/>
      <c r="D19" s="69"/>
      <c r="E19" s="56"/>
      <c r="F19" s="48"/>
      <c r="G19" s="48"/>
      <c r="H19" s="65"/>
      <c r="I19" s="48"/>
      <c r="J19" s="48"/>
      <c r="K19" s="56"/>
      <c r="L19" s="48"/>
      <c r="M19" s="48"/>
    </row>
    <row r="20" spans="1:15" x14ac:dyDescent="0.2">
      <c r="A20" s="63" t="s">
        <v>25</v>
      </c>
      <c r="B20" s="56"/>
      <c r="C20" s="64"/>
      <c r="D20" s="64">
        <f>总帐!G38</f>
        <v>-10000</v>
      </c>
      <c r="E20" s="56"/>
      <c r="F20" s="66"/>
      <c r="G20" s="48"/>
      <c r="H20" s="65"/>
      <c r="I20" s="48"/>
      <c r="J20" s="48"/>
      <c r="K20" s="56"/>
      <c r="L20" s="48">
        <f>IF(SUM($C20:$J20)&gt;0,SUM($C20:$J20),0)</f>
        <v>0</v>
      </c>
      <c r="M20" s="48">
        <f>IF(SUM($C20:$J20)&lt;0,SUM($C20:$J20),0)</f>
        <v>-10000</v>
      </c>
    </row>
    <row r="21" spans="1:15" x14ac:dyDescent="0.2">
      <c r="A21" s="63" t="s">
        <v>61</v>
      </c>
      <c r="B21" s="56"/>
      <c r="C21" s="64">
        <f>总帐!H9</f>
        <v>275.38</v>
      </c>
      <c r="D21" s="64"/>
      <c r="E21" s="56"/>
      <c r="F21" s="48"/>
      <c r="G21" s="48"/>
      <c r="H21" s="65"/>
      <c r="I21" s="48"/>
      <c r="J21" s="48"/>
      <c r="K21" s="56"/>
      <c r="L21" s="48">
        <f>IF(SUM($C21:$J21)&gt;0,SUM($C21:$J21),0)</f>
        <v>275.38</v>
      </c>
      <c r="M21" s="48">
        <f>IF(SUM($C21:$J21)&lt;0,SUM($C21:$J21),0)</f>
        <v>0</v>
      </c>
    </row>
    <row r="22" spans="1:15" x14ac:dyDescent="0.2">
      <c r="B22" s="56"/>
      <c r="C22" s="72"/>
      <c r="D22" s="72"/>
      <c r="E22" s="56"/>
      <c r="F22" s="48"/>
      <c r="G22" s="48"/>
      <c r="H22" s="65"/>
      <c r="I22" s="48"/>
      <c r="J22" s="48"/>
      <c r="K22" s="56"/>
      <c r="L22" s="72"/>
      <c r="M22" s="72"/>
    </row>
    <row r="23" spans="1:15" x14ac:dyDescent="0.2">
      <c r="B23" s="56"/>
      <c r="C23" s="48">
        <f>SUM(C10:C22)</f>
        <v>2322230.176976</v>
      </c>
      <c r="D23" s="48">
        <f>SUM(D10:D22)</f>
        <v>-2324030</v>
      </c>
      <c r="E23" s="56"/>
      <c r="F23" s="66"/>
      <c r="G23" s="66"/>
      <c r="H23" s="73"/>
      <c r="I23" s="66"/>
      <c r="J23" s="66"/>
      <c r="K23" s="56"/>
      <c r="L23" s="48">
        <f>SUM(L10:L22)</f>
        <v>2322230.176976</v>
      </c>
      <c r="M23" s="48">
        <f>SUM(M10:M22)</f>
        <v>-2324030</v>
      </c>
    </row>
    <row r="24" spans="1:15" x14ac:dyDescent="0.2">
      <c r="A24" s="63" t="s">
        <v>107</v>
      </c>
      <c r="B24" s="56"/>
      <c r="C24" s="72">
        <f>IF($C$23+$D$23&lt;0,-($C$23+$D$23),0)</f>
        <v>1799.8230240000412</v>
      </c>
      <c r="D24" s="72">
        <f>IF($C$23+$D$23&gt;0,-($C$23+$D$23),0)</f>
        <v>0</v>
      </c>
      <c r="E24" s="56"/>
      <c r="F24" s="48"/>
      <c r="G24" s="48"/>
      <c r="H24" s="65"/>
      <c r="I24" s="48"/>
      <c r="J24" s="48"/>
      <c r="K24" s="56"/>
      <c r="L24" s="72">
        <f>IF($L$23+$M$23&lt;0,-($L$23+$M$23),0)</f>
        <v>1799.8230240000412</v>
      </c>
      <c r="M24" s="72">
        <f>IF($L$23+$M$23&gt;0,-($L$23+$M$23),0)</f>
        <v>0</v>
      </c>
      <c r="N24" s="48">
        <f>M20+M21+M24</f>
        <v>-10000</v>
      </c>
      <c r="O24" s="88">
        <f>L21+L24</f>
        <v>2075.2030240000413</v>
      </c>
    </row>
    <row r="25" spans="1:15" ht="13.5" thickBot="1" x14ac:dyDescent="0.25">
      <c r="B25" s="56"/>
      <c r="C25" s="74">
        <f>SUM(C23:C24)</f>
        <v>2324030</v>
      </c>
      <c r="D25" s="74">
        <f>SUM(D23:D24)</f>
        <v>-2324030</v>
      </c>
      <c r="E25" s="56"/>
      <c r="F25" s="48"/>
      <c r="G25" s="48"/>
      <c r="H25" s="65"/>
      <c r="I25" s="48"/>
      <c r="J25" s="48"/>
      <c r="K25" s="56"/>
      <c r="L25" s="74">
        <f>SUM(L23:L24)</f>
        <v>2324030</v>
      </c>
      <c r="M25" s="74">
        <f>SUM(M23:M24)</f>
        <v>-2324030</v>
      </c>
      <c r="O25" s="48">
        <f>M20+O24</f>
        <v>-7924.7969759999587</v>
      </c>
    </row>
    <row r="26" spans="1:15" ht="13.5" thickTop="1" x14ac:dyDescent="0.2">
      <c r="B26" s="56"/>
      <c r="C26" s="66"/>
      <c r="D26" s="66"/>
      <c r="E26" s="56"/>
      <c r="F26" s="48"/>
      <c r="G26" s="48"/>
      <c r="H26" s="65"/>
      <c r="I26" s="48"/>
      <c r="J26" s="48"/>
      <c r="K26" s="56"/>
      <c r="L26" s="66"/>
      <c r="M26" s="66"/>
    </row>
    <row r="27" spans="1:15" x14ac:dyDescent="0.2">
      <c r="B27" s="75"/>
      <c r="E27" s="75"/>
      <c r="H27" s="75"/>
      <c r="K27" s="76"/>
    </row>
    <row r="28" spans="1:15" x14ac:dyDescent="0.2">
      <c r="A28" s="53" t="s">
        <v>67</v>
      </c>
      <c r="B28" s="75"/>
      <c r="D28" s="48">
        <f>总帐!Q38</f>
        <v>-2700</v>
      </c>
      <c r="E28" s="75"/>
      <c r="H28" s="75"/>
      <c r="K28" s="76"/>
      <c r="L28" s="48">
        <f t="shared" ref="L28:L37" si="2">IF(SUM($C28:$J28)&gt;0,SUM($C28:$J28),0)</f>
        <v>0</v>
      </c>
      <c r="M28" s="48">
        <f t="shared" ref="M28:M37" si="3">IF(SUM($C28:$J28)&lt;0,SUM($C28:$J28),0)</f>
        <v>-2700</v>
      </c>
    </row>
    <row r="29" spans="1:15" x14ac:dyDescent="0.2">
      <c r="A29" s="53" t="s">
        <v>62</v>
      </c>
      <c r="B29" s="75"/>
      <c r="D29" s="48">
        <f>总帐!R38</f>
        <v>-16.8</v>
      </c>
      <c r="E29" s="75"/>
      <c r="F29" s="48"/>
      <c r="H29" s="75"/>
      <c r="K29" s="76"/>
      <c r="L29" s="48">
        <f t="shared" si="2"/>
        <v>0</v>
      </c>
      <c r="M29" s="48">
        <f t="shared" si="3"/>
        <v>-16.8</v>
      </c>
    </row>
    <row r="30" spans="1:15" x14ac:dyDescent="0.2">
      <c r="A30" s="53" t="s">
        <v>39</v>
      </c>
      <c r="B30" s="75"/>
      <c r="C30" s="48">
        <f>总帐!S38</f>
        <v>455.82</v>
      </c>
      <c r="E30" s="75"/>
      <c r="H30" s="75"/>
      <c r="K30" s="76"/>
      <c r="L30" s="48">
        <f t="shared" si="2"/>
        <v>455.82</v>
      </c>
      <c r="M30" s="48">
        <f t="shared" si="3"/>
        <v>0</v>
      </c>
    </row>
    <row r="31" spans="1:15" x14ac:dyDescent="0.2">
      <c r="A31" s="53" t="s">
        <v>68</v>
      </c>
      <c r="B31" s="75"/>
      <c r="C31" s="48">
        <f>总帐!T38</f>
        <v>792</v>
      </c>
      <c r="E31" s="75"/>
      <c r="H31" s="75"/>
      <c r="K31" s="76"/>
      <c r="L31" s="48">
        <f t="shared" si="2"/>
        <v>792</v>
      </c>
      <c r="M31" s="48">
        <f t="shared" si="3"/>
        <v>0</v>
      </c>
    </row>
    <row r="32" spans="1:15" x14ac:dyDescent="0.2">
      <c r="A32" s="53" t="s">
        <v>69</v>
      </c>
      <c r="B32" s="75"/>
      <c r="C32" s="48">
        <f>总帐!U38</f>
        <v>497.44</v>
      </c>
      <c r="E32" s="75"/>
      <c r="F32" s="62"/>
      <c r="H32" s="75"/>
      <c r="K32" s="76"/>
      <c r="L32" s="48">
        <f t="shared" si="2"/>
        <v>497.44</v>
      </c>
      <c r="M32" s="48">
        <f t="shared" si="3"/>
        <v>0</v>
      </c>
    </row>
    <row r="33" spans="1:13" x14ac:dyDescent="0.2">
      <c r="A33" s="53" t="s">
        <v>49</v>
      </c>
      <c r="B33" s="75"/>
      <c r="C33" s="48">
        <f>总帐!V38</f>
        <v>2376</v>
      </c>
      <c r="E33" s="75"/>
      <c r="H33" s="75"/>
      <c r="K33" s="76"/>
      <c r="L33" s="48">
        <f t="shared" si="2"/>
        <v>2376</v>
      </c>
      <c r="M33" s="48">
        <f t="shared" si="3"/>
        <v>0</v>
      </c>
    </row>
    <row r="34" spans="1:13" x14ac:dyDescent="0.2">
      <c r="A34" s="53" t="s">
        <v>50</v>
      </c>
      <c r="B34" s="75"/>
      <c r="C34" s="48">
        <f>总帐!W38</f>
        <v>186.36</v>
      </c>
      <c r="E34" s="75"/>
      <c r="H34" s="75"/>
      <c r="K34" s="76"/>
      <c r="L34" s="48">
        <f t="shared" si="2"/>
        <v>186.36</v>
      </c>
      <c r="M34" s="48">
        <f t="shared" si="3"/>
        <v>0</v>
      </c>
    </row>
    <row r="35" spans="1:13" hidden="1" x14ac:dyDescent="0.2">
      <c r="A35" s="53" t="s">
        <v>70</v>
      </c>
      <c r="B35" s="75"/>
      <c r="C35" s="48">
        <f>总帐!X38</f>
        <v>0</v>
      </c>
      <c r="E35" s="75"/>
      <c r="H35" s="75"/>
      <c r="K35" s="76"/>
      <c r="L35" s="48">
        <f t="shared" si="2"/>
        <v>0</v>
      </c>
      <c r="M35" s="48">
        <f t="shared" si="3"/>
        <v>0</v>
      </c>
    </row>
    <row r="36" spans="1:13" x14ac:dyDescent="0.2">
      <c r="A36" s="53" t="s">
        <v>71</v>
      </c>
      <c r="B36" s="75"/>
      <c r="C36" s="48">
        <f>总帐!Y38</f>
        <v>209</v>
      </c>
      <c r="E36" s="75"/>
      <c r="H36" s="75"/>
      <c r="K36" s="76"/>
      <c r="L36" s="48">
        <f t="shared" si="2"/>
        <v>209</v>
      </c>
      <c r="M36" s="48">
        <f t="shared" si="3"/>
        <v>0</v>
      </c>
    </row>
    <row r="37" spans="1:13" x14ac:dyDescent="0.2">
      <c r="A37" s="53" t="s">
        <v>42</v>
      </c>
      <c r="B37" s="75"/>
      <c r="D37" s="48">
        <f>总帐!Z38</f>
        <v>0</v>
      </c>
      <c r="E37" s="75"/>
      <c r="H37" s="75"/>
      <c r="K37" s="76"/>
      <c r="L37" s="48">
        <f t="shared" si="2"/>
        <v>0</v>
      </c>
      <c r="M37" s="48">
        <f t="shared" si="3"/>
        <v>0</v>
      </c>
    </row>
    <row r="38" spans="1:13" x14ac:dyDescent="0.2">
      <c r="B38" s="75"/>
      <c r="E38" s="75"/>
      <c r="H38" s="75"/>
      <c r="K38" s="76"/>
    </row>
    <row r="39" spans="1:13" x14ac:dyDescent="0.2">
      <c r="B39" s="75"/>
      <c r="C39" s="77">
        <f>SUM(C29:C37)</f>
        <v>4516.62</v>
      </c>
      <c r="D39" s="77">
        <f>SUM(D28:D37)</f>
        <v>-2716.8</v>
      </c>
      <c r="E39" s="75"/>
      <c r="H39" s="75"/>
      <c r="K39" s="76"/>
      <c r="L39" s="77">
        <f>SUM(L29:L37)</f>
        <v>4516.62</v>
      </c>
      <c r="M39" s="77">
        <f>SUM(M28:M37)</f>
        <v>-2716.8</v>
      </c>
    </row>
    <row r="40" spans="1:13" x14ac:dyDescent="0.2">
      <c r="A40" s="63" t="str">
        <f>A24</f>
        <v>Net loss for the year</v>
      </c>
      <c r="B40" s="75"/>
      <c r="C40" s="72">
        <f>IF($C$39+$D$39&lt;0,-($C$39+$D$39),0)</f>
        <v>0</v>
      </c>
      <c r="D40" s="72">
        <f>IF($C$39+$D$39&gt;0,-($C$39+$D$39),0)</f>
        <v>-1799.8199999999997</v>
      </c>
      <c r="E40" s="75"/>
      <c r="H40" s="75"/>
      <c r="K40" s="76"/>
      <c r="L40" s="72">
        <f>IF($L$39+$M$39&lt;0,-($L$39+$M$39),0)</f>
        <v>0</v>
      </c>
      <c r="M40" s="72">
        <f>IF($L$39+$M$39&gt;0,-($L$39+$M$39),0)</f>
        <v>-1799.8199999999997</v>
      </c>
    </row>
    <row r="41" spans="1:13" ht="13.5" thickBot="1" x14ac:dyDescent="0.25">
      <c r="B41" s="75"/>
      <c r="C41" s="74">
        <f>SUM(C39:C40)</f>
        <v>4516.62</v>
      </c>
      <c r="D41" s="74">
        <f>SUM(D39:D40)</f>
        <v>-4516.62</v>
      </c>
      <c r="E41" s="75"/>
      <c r="H41" s="75"/>
      <c r="K41" s="76"/>
      <c r="L41" s="74">
        <f>SUM(L39:L40)</f>
        <v>4516.62</v>
      </c>
      <c r="M41" s="74">
        <f>SUM(M39:M40)</f>
        <v>-4516.62</v>
      </c>
    </row>
    <row r="42" spans="1:13" ht="13.5" thickTop="1" x14ac:dyDescent="0.2">
      <c r="B42" s="75"/>
      <c r="C42" s="66"/>
      <c r="D42" s="66"/>
      <c r="E42" s="75"/>
      <c r="H42" s="75"/>
      <c r="K42" s="76"/>
      <c r="L42" s="66"/>
      <c r="M42" s="66"/>
    </row>
    <row r="43" spans="1:13" hidden="1" x14ac:dyDescent="0.2">
      <c r="A43" s="53" t="s">
        <v>63</v>
      </c>
      <c r="B43" s="75"/>
      <c r="C43" s="66"/>
      <c r="D43" s="66"/>
      <c r="E43" s="75"/>
      <c r="H43" s="75"/>
      <c r="K43" s="76"/>
      <c r="L43" s="66"/>
      <c r="M43" s="66">
        <f>-L40</f>
        <v>0</v>
      </c>
    </row>
    <row r="44" spans="1:13" hidden="1" x14ac:dyDescent="0.2">
      <c r="A44" s="53" t="s">
        <v>64</v>
      </c>
      <c r="B44" s="75"/>
      <c r="C44" s="66"/>
      <c r="D44" s="66"/>
      <c r="E44" s="75"/>
      <c r="F44" s="62">
        <f>[43]JE!F26</f>
        <v>9483.9600000000009</v>
      </c>
      <c r="H44" s="75"/>
      <c r="I44" s="62"/>
      <c r="K44" s="76"/>
      <c r="L44" s="48">
        <f t="shared" ref="L44" si="4">IF(SUM($C44:$J44)&gt;0,SUM($C44:$J44),0)</f>
        <v>9483.9600000000009</v>
      </c>
      <c r="M44" s="48">
        <f t="shared" ref="M44" si="5">IF(SUM($C44:$J44)&lt;0,SUM($C44:$J44),0)</f>
        <v>0</v>
      </c>
    </row>
    <row r="45" spans="1:13" hidden="1" x14ac:dyDescent="0.2">
      <c r="A45" s="53" t="s">
        <v>65</v>
      </c>
      <c r="B45" s="75"/>
      <c r="C45" s="66"/>
      <c r="D45" s="66"/>
      <c r="E45" s="75"/>
      <c r="H45" s="75"/>
      <c r="K45" s="76"/>
      <c r="L45" s="66">
        <f>SUM(L43:M44)*-1</f>
        <v>-9483.9600000000009</v>
      </c>
      <c r="M45" s="66">
        <v>0</v>
      </c>
    </row>
    <row r="46" spans="1:13" ht="13.5" hidden="1" thickBot="1" x14ac:dyDescent="0.25">
      <c r="B46" s="75"/>
      <c r="C46" s="66"/>
      <c r="D46" s="66"/>
      <c r="E46" s="75"/>
      <c r="H46" s="75"/>
      <c r="K46" s="76"/>
      <c r="L46" s="78">
        <f>SUM(L44:L45)</f>
        <v>0</v>
      </c>
      <c r="M46" s="78">
        <f>SUM(M43:M45)</f>
        <v>0</v>
      </c>
    </row>
  </sheetData>
  <mergeCells count="4">
    <mergeCell ref="C6:D6"/>
    <mergeCell ref="F6:G6"/>
    <mergeCell ref="I6:J6"/>
    <mergeCell ref="L6:M6"/>
  </mergeCells>
  <printOptions gridLines="1"/>
  <pageMargins left="0.90551181102362199" right="0.70866141732283505" top="0.74803149606299202" bottom="0.74803149606299202" header="0.31496062992126" footer="0.31496062992126"/>
  <pageSetup paperSize="9" scale="9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4D5EF3-312E-45AC-BCE5-BB0D43F3955A}">
  <dimension ref="A1:WWJ53"/>
  <sheetViews>
    <sheetView tabSelected="1" zoomScaleNormal="100" workbookViewId="0">
      <pane xSplit="6" ySplit="6" topLeftCell="T7" activePane="bottomRight" state="frozen"/>
      <selection pane="topRight" activeCell="D1" sqref="D1"/>
      <selection pane="bottomLeft" activeCell="A6" sqref="A6"/>
      <selection pane="bottomRight" activeCell="A10" sqref="A10:XFD10"/>
    </sheetView>
  </sheetViews>
  <sheetFormatPr defaultColWidth="9.140625" defaultRowHeight="12.75" x14ac:dyDescent="0.2"/>
  <cols>
    <col min="1" max="1" width="10.5703125" style="20" customWidth="1"/>
    <col min="2" max="2" width="10.140625" style="20" bestFit="1" customWidth="1"/>
    <col min="3" max="3" width="38.140625" style="16" customWidth="1"/>
    <col min="4" max="4" width="12.140625" style="16" customWidth="1"/>
    <col min="5" max="5" width="8" style="16" customWidth="1"/>
    <col min="6" max="6" width="8.28515625" style="16" customWidth="1"/>
    <col min="7" max="7" width="10.85546875" style="16" bestFit="1" customWidth="1"/>
    <col min="8" max="8" width="10.85546875" style="16" customWidth="1"/>
    <col min="9" max="9" width="12.85546875" style="16" bestFit="1" customWidth="1"/>
    <col min="10" max="11" width="9.85546875" style="16" bestFit="1" customWidth="1"/>
    <col min="12" max="12" width="11.42578125" style="16" customWidth="1"/>
    <col min="13" max="13" width="13.5703125" style="16" bestFit="1" customWidth="1"/>
    <col min="14" max="15" width="11.42578125" style="16" hidden="1" customWidth="1"/>
    <col min="16" max="16" width="1.7109375" style="16" customWidth="1"/>
    <col min="17" max="17" width="11.140625" style="16" customWidth="1"/>
    <col min="18" max="18" width="8.85546875" style="16" customWidth="1"/>
    <col min="19" max="19" width="8.28515625" style="16" bestFit="1" customWidth="1"/>
    <col min="20" max="20" width="11.5703125" style="16" customWidth="1"/>
    <col min="21" max="21" width="9.28515625" style="16" customWidth="1"/>
    <col min="22" max="22" width="10.28515625" style="16" bestFit="1" customWidth="1"/>
    <col min="23" max="25" width="9.28515625" style="16" customWidth="1"/>
    <col min="26" max="26" width="10.85546875" style="16" customWidth="1"/>
    <col min="27" max="27" width="10.7109375" style="16" customWidth="1"/>
    <col min="28" max="28" width="12.85546875" style="16" bestFit="1" customWidth="1"/>
    <col min="29" max="256" width="9.140625" style="16"/>
    <col min="257" max="257" width="10" style="16" customWidth="1"/>
    <col min="258" max="258" width="0" style="16" hidden="1" customWidth="1"/>
    <col min="259" max="259" width="28.5703125" style="16" customWidth="1"/>
    <col min="260" max="260" width="11.85546875" style="16" bestFit="1" customWidth="1"/>
    <col min="261" max="261" width="11.28515625" style="16" bestFit="1" customWidth="1"/>
    <col min="262" max="263" width="10.85546875" style="16" bestFit="1" customWidth="1"/>
    <col min="264" max="264" width="10.28515625" style="16" bestFit="1" customWidth="1"/>
    <col min="265" max="265" width="11.28515625" style="16" bestFit="1" customWidth="1"/>
    <col min="266" max="269" width="10.28515625" style="16" customWidth="1"/>
    <col min="270" max="270" width="11.85546875" style="16" bestFit="1" customWidth="1"/>
    <col min="271" max="272" width="11.28515625" style="16" bestFit="1" customWidth="1"/>
    <col min="273" max="273" width="11.85546875" style="16" bestFit="1" customWidth="1"/>
    <col min="274" max="276" width="12.85546875" style="16" customWidth="1"/>
    <col min="277" max="278" width="11.28515625" style="16" bestFit="1" customWidth="1"/>
    <col min="279" max="279" width="1.7109375" style="16" customWidth="1"/>
    <col min="280" max="280" width="11.85546875" style="16" bestFit="1" customWidth="1"/>
    <col min="281" max="281" width="10.85546875" style="16" bestFit="1" customWidth="1"/>
    <col min="282" max="282" width="11.28515625" style="16" customWidth="1"/>
    <col min="283" max="283" width="10.5703125" style="16" bestFit="1" customWidth="1"/>
    <col min="284" max="284" width="12.85546875" style="16" bestFit="1" customWidth="1"/>
    <col min="285" max="512" width="9.140625" style="16"/>
    <col min="513" max="513" width="10" style="16" customWidth="1"/>
    <col min="514" max="514" width="0" style="16" hidden="1" customWidth="1"/>
    <col min="515" max="515" width="28.5703125" style="16" customWidth="1"/>
    <col min="516" max="516" width="11.85546875" style="16" bestFit="1" customWidth="1"/>
    <col min="517" max="517" width="11.28515625" style="16" bestFit="1" customWidth="1"/>
    <col min="518" max="519" width="10.85546875" style="16" bestFit="1" customWidth="1"/>
    <col min="520" max="520" width="10.28515625" style="16" bestFit="1" customWidth="1"/>
    <col min="521" max="521" width="11.28515625" style="16" bestFit="1" customWidth="1"/>
    <col min="522" max="525" width="10.28515625" style="16" customWidth="1"/>
    <col min="526" max="526" width="11.85546875" style="16" bestFit="1" customWidth="1"/>
    <col min="527" max="528" width="11.28515625" style="16" bestFit="1" customWidth="1"/>
    <col min="529" max="529" width="11.85546875" style="16" bestFit="1" customWidth="1"/>
    <col min="530" max="532" width="12.85546875" style="16" customWidth="1"/>
    <col min="533" max="534" width="11.28515625" style="16" bestFit="1" customWidth="1"/>
    <col min="535" max="535" width="1.7109375" style="16" customWidth="1"/>
    <col min="536" max="536" width="11.85546875" style="16" bestFit="1" customWidth="1"/>
    <col min="537" max="537" width="10.85546875" style="16" bestFit="1" customWidth="1"/>
    <col min="538" max="538" width="11.28515625" style="16" customWidth="1"/>
    <col min="539" max="539" width="10.5703125" style="16" bestFit="1" customWidth="1"/>
    <col min="540" max="540" width="12.85546875" style="16" bestFit="1" customWidth="1"/>
    <col min="541" max="768" width="9.140625" style="16"/>
    <col min="769" max="769" width="10" style="16" customWidth="1"/>
    <col min="770" max="770" width="0" style="16" hidden="1" customWidth="1"/>
    <col min="771" max="771" width="28.5703125" style="16" customWidth="1"/>
    <col min="772" max="772" width="11.85546875" style="16" bestFit="1" customWidth="1"/>
    <col min="773" max="773" width="11.28515625" style="16" bestFit="1" customWidth="1"/>
    <col min="774" max="775" width="10.85546875" style="16" bestFit="1" customWidth="1"/>
    <col min="776" max="776" width="10.28515625" style="16" bestFit="1" customWidth="1"/>
    <col min="777" max="777" width="11.28515625" style="16" bestFit="1" customWidth="1"/>
    <col min="778" max="781" width="10.28515625" style="16" customWidth="1"/>
    <col min="782" max="782" width="11.85546875" style="16" bestFit="1" customWidth="1"/>
    <col min="783" max="784" width="11.28515625" style="16" bestFit="1" customWidth="1"/>
    <col min="785" max="785" width="11.85546875" style="16" bestFit="1" customWidth="1"/>
    <col min="786" max="788" width="12.85546875" style="16" customWidth="1"/>
    <col min="789" max="790" width="11.28515625" style="16" bestFit="1" customWidth="1"/>
    <col min="791" max="791" width="1.7109375" style="16" customWidth="1"/>
    <col min="792" max="792" width="11.85546875" style="16" bestFit="1" customWidth="1"/>
    <col min="793" max="793" width="10.85546875" style="16" bestFit="1" customWidth="1"/>
    <col min="794" max="794" width="11.28515625" style="16" customWidth="1"/>
    <col min="795" max="795" width="10.5703125" style="16" bestFit="1" customWidth="1"/>
    <col min="796" max="796" width="12.85546875" style="16" bestFit="1" customWidth="1"/>
    <col min="797" max="1024" width="9.140625" style="16"/>
    <col min="1025" max="1025" width="10" style="16" customWidth="1"/>
    <col min="1026" max="1026" width="0" style="16" hidden="1" customWidth="1"/>
    <col min="1027" max="1027" width="28.5703125" style="16" customWidth="1"/>
    <col min="1028" max="1028" width="11.85546875" style="16" bestFit="1" customWidth="1"/>
    <col min="1029" max="1029" width="11.28515625" style="16" bestFit="1" customWidth="1"/>
    <col min="1030" max="1031" width="10.85546875" style="16" bestFit="1" customWidth="1"/>
    <col min="1032" max="1032" width="10.28515625" style="16" bestFit="1" customWidth="1"/>
    <col min="1033" max="1033" width="11.28515625" style="16" bestFit="1" customWidth="1"/>
    <col min="1034" max="1037" width="10.28515625" style="16" customWidth="1"/>
    <col min="1038" max="1038" width="11.85546875" style="16" bestFit="1" customWidth="1"/>
    <col min="1039" max="1040" width="11.28515625" style="16" bestFit="1" customWidth="1"/>
    <col min="1041" max="1041" width="11.85546875" style="16" bestFit="1" customWidth="1"/>
    <col min="1042" max="1044" width="12.85546875" style="16" customWidth="1"/>
    <col min="1045" max="1046" width="11.28515625" style="16" bestFit="1" customWidth="1"/>
    <col min="1047" max="1047" width="1.7109375" style="16" customWidth="1"/>
    <col min="1048" max="1048" width="11.85546875" style="16" bestFit="1" customWidth="1"/>
    <col min="1049" max="1049" width="10.85546875" style="16" bestFit="1" customWidth="1"/>
    <col min="1050" max="1050" width="11.28515625" style="16" customWidth="1"/>
    <col min="1051" max="1051" width="10.5703125" style="16" bestFit="1" customWidth="1"/>
    <col min="1052" max="1052" width="12.85546875" style="16" bestFit="1" customWidth="1"/>
    <col min="1053" max="1280" width="9.140625" style="16"/>
    <col min="1281" max="1281" width="10" style="16" customWidth="1"/>
    <col min="1282" max="1282" width="0" style="16" hidden="1" customWidth="1"/>
    <col min="1283" max="1283" width="28.5703125" style="16" customWidth="1"/>
    <col min="1284" max="1284" width="11.85546875" style="16" bestFit="1" customWidth="1"/>
    <col min="1285" max="1285" width="11.28515625" style="16" bestFit="1" customWidth="1"/>
    <col min="1286" max="1287" width="10.85546875" style="16" bestFit="1" customWidth="1"/>
    <col min="1288" max="1288" width="10.28515625" style="16" bestFit="1" customWidth="1"/>
    <col min="1289" max="1289" width="11.28515625" style="16" bestFit="1" customWidth="1"/>
    <col min="1290" max="1293" width="10.28515625" style="16" customWidth="1"/>
    <col min="1294" max="1294" width="11.85546875" style="16" bestFit="1" customWidth="1"/>
    <col min="1295" max="1296" width="11.28515625" style="16" bestFit="1" customWidth="1"/>
    <col min="1297" max="1297" width="11.85546875" style="16" bestFit="1" customWidth="1"/>
    <col min="1298" max="1300" width="12.85546875" style="16" customWidth="1"/>
    <col min="1301" max="1302" width="11.28515625" style="16" bestFit="1" customWidth="1"/>
    <col min="1303" max="1303" width="1.7109375" style="16" customWidth="1"/>
    <col min="1304" max="1304" width="11.85546875" style="16" bestFit="1" customWidth="1"/>
    <col min="1305" max="1305" width="10.85546875" style="16" bestFit="1" customWidth="1"/>
    <col min="1306" max="1306" width="11.28515625" style="16" customWidth="1"/>
    <col min="1307" max="1307" width="10.5703125" style="16" bestFit="1" customWidth="1"/>
    <col min="1308" max="1308" width="12.85546875" style="16" bestFit="1" customWidth="1"/>
    <col min="1309" max="1536" width="9.140625" style="16"/>
    <col min="1537" max="1537" width="10" style="16" customWidth="1"/>
    <col min="1538" max="1538" width="0" style="16" hidden="1" customWidth="1"/>
    <col min="1539" max="1539" width="28.5703125" style="16" customWidth="1"/>
    <col min="1540" max="1540" width="11.85546875" style="16" bestFit="1" customWidth="1"/>
    <col min="1541" max="1541" width="11.28515625" style="16" bestFit="1" customWidth="1"/>
    <col min="1542" max="1543" width="10.85546875" style="16" bestFit="1" customWidth="1"/>
    <col min="1544" max="1544" width="10.28515625" style="16" bestFit="1" customWidth="1"/>
    <col min="1545" max="1545" width="11.28515625" style="16" bestFit="1" customWidth="1"/>
    <col min="1546" max="1549" width="10.28515625" style="16" customWidth="1"/>
    <col min="1550" max="1550" width="11.85546875" style="16" bestFit="1" customWidth="1"/>
    <col min="1551" max="1552" width="11.28515625" style="16" bestFit="1" customWidth="1"/>
    <col min="1553" max="1553" width="11.85546875" style="16" bestFit="1" customWidth="1"/>
    <col min="1554" max="1556" width="12.85546875" style="16" customWidth="1"/>
    <col min="1557" max="1558" width="11.28515625" style="16" bestFit="1" customWidth="1"/>
    <col min="1559" max="1559" width="1.7109375" style="16" customWidth="1"/>
    <col min="1560" max="1560" width="11.85546875" style="16" bestFit="1" customWidth="1"/>
    <col min="1561" max="1561" width="10.85546875" style="16" bestFit="1" customWidth="1"/>
    <col min="1562" max="1562" width="11.28515625" style="16" customWidth="1"/>
    <col min="1563" max="1563" width="10.5703125" style="16" bestFit="1" customWidth="1"/>
    <col min="1564" max="1564" width="12.85546875" style="16" bestFit="1" customWidth="1"/>
    <col min="1565" max="1792" width="9.140625" style="16"/>
    <col min="1793" max="1793" width="10" style="16" customWidth="1"/>
    <col min="1794" max="1794" width="0" style="16" hidden="1" customWidth="1"/>
    <col min="1795" max="1795" width="28.5703125" style="16" customWidth="1"/>
    <col min="1796" max="1796" width="11.85546875" style="16" bestFit="1" customWidth="1"/>
    <col min="1797" max="1797" width="11.28515625" style="16" bestFit="1" customWidth="1"/>
    <col min="1798" max="1799" width="10.85546875" style="16" bestFit="1" customWidth="1"/>
    <col min="1800" max="1800" width="10.28515625" style="16" bestFit="1" customWidth="1"/>
    <col min="1801" max="1801" width="11.28515625" style="16" bestFit="1" customWidth="1"/>
    <col min="1802" max="1805" width="10.28515625" style="16" customWidth="1"/>
    <col min="1806" max="1806" width="11.85546875" style="16" bestFit="1" customWidth="1"/>
    <col min="1807" max="1808" width="11.28515625" style="16" bestFit="1" customWidth="1"/>
    <col min="1809" max="1809" width="11.85546875" style="16" bestFit="1" customWidth="1"/>
    <col min="1810" max="1812" width="12.85546875" style="16" customWidth="1"/>
    <col min="1813" max="1814" width="11.28515625" style="16" bestFit="1" customWidth="1"/>
    <col min="1815" max="1815" width="1.7109375" style="16" customWidth="1"/>
    <col min="1816" max="1816" width="11.85546875" style="16" bestFit="1" customWidth="1"/>
    <col min="1817" max="1817" width="10.85546875" style="16" bestFit="1" customWidth="1"/>
    <col min="1818" max="1818" width="11.28515625" style="16" customWidth="1"/>
    <col min="1819" max="1819" width="10.5703125" style="16" bestFit="1" customWidth="1"/>
    <col min="1820" max="1820" width="12.85546875" style="16" bestFit="1" customWidth="1"/>
    <col min="1821" max="2048" width="9.140625" style="16"/>
    <col min="2049" max="2049" width="10" style="16" customWidth="1"/>
    <col min="2050" max="2050" width="0" style="16" hidden="1" customWidth="1"/>
    <col min="2051" max="2051" width="28.5703125" style="16" customWidth="1"/>
    <col min="2052" max="2052" width="11.85546875" style="16" bestFit="1" customWidth="1"/>
    <col min="2053" max="2053" width="11.28515625" style="16" bestFit="1" customWidth="1"/>
    <col min="2054" max="2055" width="10.85546875" style="16" bestFit="1" customWidth="1"/>
    <col min="2056" max="2056" width="10.28515625" style="16" bestFit="1" customWidth="1"/>
    <col min="2057" max="2057" width="11.28515625" style="16" bestFit="1" customWidth="1"/>
    <col min="2058" max="2061" width="10.28515625" style="16" customWidth="1"/>
    <col min="2062" max="2062" width="11.85546875" style="16" bestFit="1" customWidth="1"/>
    <col min="2063" max="2064" width="11.28515625" style="16" bestFit="1" customWidth="1"/>
    <col min="2065" max="2065" width="11.85546875" style="16" bestFit="1" customWidth="1"/>
    <col min="2066" max="2068" width="12.85546875" style="16" customWidth="1"/>
    <col min="2069" max="2070" width="11.28515625" style="16" bestFit="1" customWidth="1"/>
    <col min="2071" max="2071" width="1.7109375" style="16" customWidth="1"/>
    <col min="2072" max="2072" width="11.85546875" style="16" bestFit="1" customWidth="1"/>
    <col min="2073" max="2073" width="10.85546875" style="16" bestFit="1" customWidth="1"/>
    <col min="2074" max="2074" width="11.28515625" style="16" customWidth="1"/>
    <col min="2075" max="2075" width="10.5703125" style="16" bestFit="1" customWidth="1"/>
    <col min="2076" max="2076" width="12.85546875" style="16" bestFit="1" customWidth="1"/>
    <col min="2077" max="2304" width="9.140625" style="16"/>
    <col min="2305" max="2305" width="10" style="16" customWidth="1"/>
    <col min="2306" max="2306" width="0" style="16" hidden="1" customWidth="1"/>
    <col min="2307" max="2307" width="28.5703125" style="16" customWidth="1"/>
    <col min="2308" max="2308" width="11.85546875" style="16" bestFit="1" customWidth="1"/>
    <col min="2309" max="2309" width="11.28515625" style="16" bestFit="1" customWidth="1"/>
    <col min="2310" max="2311" width="10.85546875" style="16" bestFit="1" customWidth="1"/>
    <col min="2312" max="2312" width="10.28515625" style="16" bestFit="1" customWidth="1"/>
    <col min="2313" max="2313" width="11.28515625" style="16" bestFit="1" customWidth="1"/>
    <col min="2314" max="2317" width="10.28515625" style="16" customWidth="1"/>
    <col min="2318" max="2318" width="11.85546875" style="16" bestFit="1" customWidth="1"/>
    <col min="2319" max="2320" width="11.28515625" style="16" bestFit="1" customWidth="1"/>
    <col min="2321" max="2321" width="11.85546875" style="16" bestFit="1" customWidth="1"/>
    <col min="2322" max="2324" width="12.85546875" style="16" customWidth="1"/>
    <col min="2325" max="2326" width="11.28515625" style="16" bestFit="1" customWidth="1"/>
    <col min="2327" max="2327" width="1.7109375" style="16" customWidth="1"/>
    <col min="2328" max="2328" width="11.85546875" style="16" bestFit="1" customWidth="1"/>
    <col min="2329" max="2329" width="10.85546875" style="16" bestFit="1" customWidth="1"/>
    <col min="2330" max="2330" width="11.28515625" style="16" customWidth="1"/>
    <col min="2331" max="2331" width="10.5703125" style="16" bestFit="1" customWidth="1"/>
    <col min="2332" max="2332" width="12.85546875" style="16" bestFit="1" customWidth="1"/>
    <col min="2333" max="2560" width="9.140625" style="16"/>
    <col min="2561" max="2561" width="10" style="16" customWidth="1"/>
    <col min="2562" max="2562" width="0" style="16" hidden="1" customWidth="1"/>
    <col min="2563" max="2563" width="28.5703125" style="16" customWidth="1"/>
    <col min="2564" max="2564" width="11.85546875" style="16" bestFit="1" customWidth="1"/>
    <col min="2565" max="2565" width="11.28515625" style="16" bestFit="1" customWidth="1"/>
    <col min="2566" max="2567" width="10.85546875" style="16" bestFit="1" customWidth="1"/>
    <col min="2568" max="2568" width="10.28515625" style="16" bestFit="1" customWidth="1"/>
    <col min="2569" max="2569" width="11.28515625" style="16" bestFit="1" customWidth="1"/>
    <col min="2570" max="2573" width="10.28515625" style="16" customWidth="1"/>
    <col min="2574" max="2574" width="11.85546875" style="16" bestFit="1" customWidth="1"/>
    <col min="2575" max="2576" width="11.28515625" style="16" bestFit="1" customWidth="1"/>
    <col min="2577" max="2577" width="11.85546875" style="16" bestFit="1" customWidth="1"/>
    <col min="2578" max="2580" width="12.85546875" style="16" customWidth="1"/>
    <col min="2581" max="2582" width="11.28515625" style="16" bestFit="1" customWidth="1"/>
    <col min="2583" max="2583" width="1.7109375" style="16" customWidth="1"/>
    <col min="2584" max="2584" width="11.85546875" style="16" bestFit="1" customWidth="1"/>
    <col min="2585" max="2585" width="10.85546875" style="16" bestFit="1" customWidth="1"/>
    <col min="2586" max="2586" width="11.28515625" style="16" customWidth="1"/>
    <col min="2587" max="2587" width="10.5703125" style="16" bestFit="1" customWidth="1"/>
    <col min="2588" max="2588" width="12.85546875" style="16" bestFit="1" customWidth="1"/>
    <col min="2589" max="2816" width="9.140625" style="16"/>
    <col min="2817" max="2817" width="10" style="16" customWidth="1"/>
    <col min="2818" max="2818" width="0" style="16" hidden="1" customWidth="1"/>
    <col min="2819" max="2819" width="28.5703125" style="16" customWidth="1"/>
    <col min="2820" max="2820" width="11.85546875" style="16" bestFit="1" customWidth="1"/>
    <col min="2821" max="2821" width="11.28515625" style="16" bestFit="1" customWidth="1"/>
    <col min="2822" max="2823" width="10.85546875" style="16" bestFit="1" customWidth="1"/>
    <col min="2824" max="2824" width="10.28515625" style="16" bestFit="1" customWidth="1"/>
    <col min="2825" max="2825" width="11.28515625" style="16" bestFit="1" customWidth="1"/>
    <col min="2826" max="2829" width="10.28515625" style="16" customWidth="1"/>
    <col min="2830" max="2830" width="11.85546875" style="16" bestFit="1" customWidth="1"/>
    <col min="2831" max="2832" width="11.28515625" style="16" bestFit="1" customWidth="1"/>
    <col min="2833" max="2833" width="11.85546875" style="16" bestFit="1" customWidth="1"/>
    <col min="2834" max="2836" width="12.85546875" style="16" customWidth="1"/>
    <col min="2837" max="2838" width="11.28515625" style="16" bestFit="1" customWidth="1"/>
    <col min="2839" max="2839" width="1.7109375" style="16" customWidth="1"/>
    <col min="2840" max="2840" width="11.85546875" style="16" bestFit="1" customWidth="1"/>
    <col min="2841" max="2841" width="10.85546875" style="16" bestFit="1" customWidth="1"/>
    <col min="2842" max="2842" width="11.28515625" style="16" customWidth="1"/>
    <col min="2843" max="2843" width="10.5703125" style="16" bestFit="1" customWidth="1"/>
    <col min="2844" max="2844" width="12.85546875" style="16" bestFit="1" customWidth="1"/>
    <col min="2845" max="3072" width="9.140625" style="16"/>
    <col min="3073" max="3073" width="10" style="16" customWidth="1"/>
    <col min="3074" max="3074" width="0" style="16" hidden="1" customWidth="1"/>
    <col min="3075" max="3075" width="28.5703125" style="16" customWidth="1"/>
    <col min="3076" max="3076" width="11.85546875" style="16" bestFit="1" customWidth="1"/>
    <col min="3077" max="3077" width="11.28515625" style="16" bestFit="1" customWidth="1"/>
    <col min="3078" max="3079" width="10.85546875" style="16" bestFit="1" customWidth="1"/>
    <col min="3080" max="3080" width="10.28515625" style="16" bestFit="1" customWidth="1"/>
    <col min="3081" max="3081" width="11.28515625" style="16" bestFit="1" customWidth="1"/>
    <col min="3082" max="3085" width="10.28515625" style="16" customWidth="1"/>
    <col min="3086" max="3086" width="11.85546875" style="16" bestFit="1" customWidth="1"/>
    <col min="3087" max="3088" width="11.28515625" style="16" bestFit="1" customWidth="1"/>
    <col min="3089" max="3089" width="11.85546875" style="16" bestFit="1" customWidth="1"/>
    <col min="3090" max="3092" width="12.85546875" style="16" customWidth="1"/>
    <col min="3093" max="3094" width="11.28515625" style="16" bestFit="1" customWidth="1"/>
    <col min="3095" max="3095" width="1.7109375" style="16" customWidth="1"/>
    <col min="3096" max="3096" width="11.85546875" style="16" bestFit="1" customWidth="1"/>
    <col min="3097" max="3097" width="10.85546875" style="16" bestFit="1" customWidth="1"/>
    <col min="3098" max="3098" width="11.28515625" style="16" customWidth="1"/>
    <col min="3099" max="3099" width="10.5703125" style="16" bestFit="1" customWidth="1"/>
    <col min="3100" max="3100" width="12.85546875" style="16" bestFit="1" customWidth="1"/>
    <col min="3101" max="3328" width="9.140625" style="16"/>
    <col min="3329" max="3329" width="10" style="16" customWidth="1"/>
    <col min="3330" max="3330" width="0" style="16" hidden="1" customWidth="1"/>
    <col min="3331" max="3331" width="28.5703125" style="16" customWidth="1"/>
    <col min="3332" max="3332" width="11.85546875" style="16" bestFit="1" customWidth="1"/>
    <col min="3333" max="3333" width="11.28515625" style="16" bestFit="1" customWidth="1"/>
    <col min="3334" max="3335" width="10.85546875" style="16" bestFit="1" customWidth="1"/>
    <col min="3336" max="3336" width="10.28515625" style="16" bestFit="1" customWidth="1"/>
    <col min="3337" max="3337" width="11.28515625" style="16" bestFit="1" customWidth="1"/>
    <col min="3338" max="3341" width="10.28515625" style="16" customWidth="1"/>
    <col min="3342" max="3342" width="11.85546875" style="16" bestFit="1" customWidth="1"/>
    <col min="3343" max="3344" width="11.28515625" style="16" bestFit="1" customWidth="1"/>
    <col min="3345" max="3345" width="11.85546875" style="16" bestFit="1" customWidth="1"/>
    <col min="3346" max="3348" width="12.85546875" style="16" customWidth="1"/>
    <col min="3349" max="3350" width="11.28515625" style="16" bestFit="1" customWidth="1"/>
    <col min="3351" max="3351" width="1.7109375" style="16" customWidth="1"/>
    <col min="3352" max="3352" width="11.85546875" style="16" bestFit="1" customWidth="1"/>
    <col min="3353" max="3353" width="10.85546875" style="16" bestFit="1" customWidth="1"/>
    <col min="3354" max="3354" width="11.28515625" style="16" customWidth="1"/>
    <col min="3355" max="3355" width="10.5703125" style="16" bestFit="1" customWidth="1"/>
    <col min="3356" max="3356" width="12.85546875" style="16" bestFit="1" customWidth="1"/>
    <col min="3357" max="3584" width="9.140625" style="16"/>
    <col min="3585" max="3585" width="10" style="16" customWidth="1"/>
    <col min="3586" max="3586" width="0" style="16" hidden="1" customWidth="1"/>
    <col min="3587" max="3587" width="28.5703125" style="16" customWidth="1"/>
    <col min="3588" max="3588" width="11.85546875" style="16" bestFit="1" customWidth="1"/>
    <col min="3589" max="3589" width="11.28515625" style="16" bestFit="1" customWidth="1"/>
    <col min="3590" max="3591" width="10.85546875" style="16" bestFit="1" customWidth="1"/>
    <col min="3592" max="3592" width="10.28515625" style="16" bestFit="1" customWidth="1"/>
    <col min="3593" max="3593" width="11.28515625" style="16" bestFit="1" customWidth="1"/>
    <col min="3594" max="3597" width="10.28515625" style="16" customWidth="1"/>
    <col min="3598" max="3598" width="11.85546875" style="16" bestFit="1" customWidth="1"/>
    <col min="3599" max="3600" width="11.28515625" style="16" bestFit="1" customWidth="1"/>
    <col min="3601" max="3601" width="11.85546875" style="16" bestFit="1" customWidth="1"/>
    <col min="3602" max="3604" width="12.85546875" style="16" customWidth="1"/>
    <col min="3605" max="3606" width="11.28515625" style="16" bestFit="1" customWidth="1"/>
    <col min="3607" max="3607" width="1.7109375" style="16" customWidth="1"/>
    <col min="3608" max="3608" width="11.85546875" style="16" bestFit="1" customWidth="1"/>
    <col min="3609" max="3609" width="10.85546875" style="16" bestFit="1" customWidth="1"/>
    <col min="3610" max="3610" width="11.28515625" style="16" customWidth="1"/>
    <col min="3611" max="3611" width="10.5703125" style="16" bestFit="1" customWidth="1"/>
    <col min="3612" max="3612" width="12.85546875" style="16" bestFit="1" customWidth="1"/>
    <col min="3613" max="3840" width="9.140625" style="16"/>
    <col min="3841" max="3841" width="10" style="16" customWidth="1"/>
    <col min="3842" max="3842" width="0" style="16" hidden="1" customWidth="1"/>
    <col min="3843" max="3843" width="28.5703125" style="16" customWidth="1"/>
    <col min="3844" max="3844" width="11.85546875" style="16" bestFit="1" customWidth="1"/>
    <col min="3845" max="3845" width="11.28515625" style="16" bestFit="1" customWidth="1"/>
    <col min="3846" max="3847" width="10.85546875" style="16" bestFit="1" customWidth="1"/>
    <col min="3848" max="3848" width="10.28515625" style="16" bestFit="1" customWidth="1"/>
    <col min="3849" max="3849" width="11.28515625" style="16" bestFit="1" customWidth="1"/>
    <col min="3850" max="3853" width="10.28515625" style="16" customWidth="1"/>
    <col min="3854" max="3854" width="11.85546875" style="16" bestFit="1" customWidth="1"/>
    <col min="3855" max="3856" width="11.28515625" style="16" bestFit="1" customWidth="1"/>
    <col min="3857" max="3857" width="11.85546875" style="16" bestFit="1" customWidth="1"/>
    <col min="3858" max="3860" width="12.85546875" style="16" customWidth="1"/>
    <col min="3861" max="3862" width="11.28515625" style="16" bestFit="1" customWidth="1"/>
    <col min="3863" max="3863" width="1.7109375" style="16" customWidth="1"/>
    <col min="3864" max="3864" width="11.85546875" style="16" bestFit="1" customWidth="1"/>
    <col min="3865" max="3865" width="10.85546875" style="16" bestFit="1" customWidth="1"/>
    <col min="3866" max="3866" width="11.28515625" style="16" customWidth="1"/>
    <col min="3867" max="3867" width="10.5703125" style="16" bestFit="1" customWidth="1"/>
    <col min="3868" max="3868" width="12.85546875" style="16" bestFit="1" customWidth="1"/>
    <col min="3869" max="4096" width="9.140625" style="16"/>
    <col min="4097" max="4097" width="10" style="16" customWidth="1"/>
    <col min="4098" max="4098" width="0" style="16" hidden="1" customWidth="1"/>
    <col min="4099" max="4099" width="28.5703125" style="16" customWidth="1"/>
    <col min="4100" max="4100" width="11.85546875" style="16" bestFit="1" customWidth="1"/>
    <col min="4101" max="4101" width="11.28515625" style="16" bestFit="1" customWidth="1"/>
    <col min="4102" max="4103" width="10.85546875" style="16" bestFit="1" customWidth="1"/>
    <col min="4104" max="4104" width="10.28515625" style="16" bestFit="1" customWidth="1"/>
    <col min="4105" max="4105" width="11.28515625" style="16" bestFit="1" customWidth="1"/>
    <col min="4106" max="4109" width="10.28515625" style="16" customWidth="1"/>
    <col min="4110" max="4110" width="11.85546875" style="16" bestFit="1" customWidth="1"/>
    <col min="4111" max="4112" width="11.28515625" style="16" bestFit="1" customWidth="1"/>
    <col min="4113" max="4113" width="11.85546875" style="16" bestFit="1" customWidth="1"/>
    <col min="4114" max="4116" width="12.85546875" style="16" customWidth="1"/>
    <col min="4117" max="4118" width="11.28515625" style="16" bestFit="1" customWidth="1"/>
    <col min="4119" max="4119" width="1.7109375" style="16" customWidth="1"/>
    <col min="4120" max="4120" width="11.85546875" style="16" bestFit="1" customWidth="1"/>
    <col min="4121" max="4121" width="10.85546875" style="16" bestFit="1" customWidth="1"/>
    <col min="4122" max="4122" width="11.28515625" style="16" customWidth="1"/>
    <col min="4123" max="4123" width="10.5703125" style="16" bestFit="1" customWidth="1"/>
    <col min="4124" max="4124" width="12.85546875" style="16" bestFit="1" customWidth="1"/>
    <col min="4125" max="4352" width="9.140625" style="16"/>
    <col min="4353" max="4353" width="10" style="16" customWidth="1"/>
    <col min="4354" max="4354" width="0" style="16" hidden="1" customWidth="1"/>
    <col min="4355" max="4355" width="28.5703125" style="16" customWidth="1"/>
    <col min="4356" max="4356" width="11.85546875" style="16" bestFit="1" customWidth="1"/>
    <col min="4357" max="4357" width="11.28515625" style="16" bestFit="1" customWidth="1"/>
    <col min="4358" max="4359" width="10.85546875" style="16" bestFit="1" customWidth="1"/>
    <col min="4360" max="4360" width="10.28515625" style="16" bestFit="1" customWidth="1"/>
    <col min="4361" max="4361" width="11.28515625" style="16" bestFit="1" customWidth="1"/>
    <col min="4362" max="4365" width="10.28515625" style="16" customWidth="1"/>
    <col min="4366" max="4366" width="11.85546875" style="16" bestFit="1" customWidth="1"/>
    <col min="4367" max="4368" width="11.28515625" style="16" bestFit="1" customWidth="1"/>
    <col min="4369" max="4369" width="11.85546875" style="16" bestFit="1" customWidth="1"/>
    <col min="4370" max="4372" width="12.85546875" style="16" customWidth="1"/>
    <col min="4373" max="4374" width="11.28515625" style="16" bestFit="1" customWidth="1"/>
    <col min="4375" max="4375" width="1.7109375" style="16" customWidth="1"/>
    <col min="4376" max="4376" width="11.85546875" style="16" bestFit="1" customWidth="1"/>
    <col min="4377" max="4377" width="10.85546875" style="16" bestFit="1" customWidth="1"/>
    <col min="4378" max="4378" width="11.28515625" style="16" customWidth="1"/>
    <col min="4379" max="4379" width="10.5703125" style="16" bestFit="1" customWidth="1"/>
    <col min="4380" max="4380" width="12.85546875" style="16" bestFit="1" customWidth="1"/>
    <col min="4381" max="4608" width="9.140625" style="16"/>
    <col min="4609" max="4609" width="10" style="16" customWidth="1"/>
    <col min="4610" max="4610" width="0" style="16" hidden="1" customWidth="1"/>
    <col min="4611" max="4611" width="28.5703125" style="16" customWidth="1"/>
    <col min="4612" max="4612" width="11.85546875" style="16" bestFit="1" customWidth="1"/>
    <col min="4613" max="4613" width="11.28515625" style="16" bestFit="1" customWidth="1"/>
    <col min="4614" max="4615" width="10.85546875" style="16" bestFit="1" customWidth="1"/>
    <col min="4616" max="4616" width="10.28515625" style="16" bestFit="1" customWidth="1"/>
    <col min="4617" max="4617" width="11.28515625" style="16" bestFit="1" customWidth="1"/>
    <col min="4618" max="4621" width="10.28515625" style="16" customWidth="1"/>
    <col min="4622" max="4622" width="11.85546875" style="16" bestFit="1" customWidth="1"/>
    <col min="4623" max="4624" width="11.28515625" style="16" bestFit="1" customWidth="1"/>
    <col min="4625" max="4625" width="11.85546875" style="16" bestFit="1" customWidth="1"/>
    <col min="4626" max="4628" width="12.85546875" style="16" customWidth="1"/>
    <col min="4629" max="4630" width="11.28515625" style="16" bestFit="1" customWidth="1"/>
    <col min="4631" max="4631" width="1.7109375" style="16" customWidth="1"/>
    <col min="4632" max="4632" width="11.85546875" style="16" bestFit="1" customWidth="1"/>
    <col min="4633" max="4633" width="10.85546875" style="16" bestFit="1" customWidth="1"/>
    <col min="4634" max="4634" width="11.28515625" style="16" customWidth="1"/>
    <col min="4635" max="4635" width="10.5703125" style="16" bestFit="1" customWidth="1"/>
    <col min="4636" max="4636" width="12.85546875" style="16" bestFit="1" customWidth="1"/>
    <col min="4637" max="4864" width="9.140625" style="16"/>
    <col min="4865" max="4865" width="10" style="16" customWidth="1"/>
    <col min="4866" max="4866" width="0" style="16" hidden="1" customWidth="1"/>
    <col min="4867" max="4867" width="28.5703125" style="16" customWidth="1"/>
    <col min="4868" max="4868" width="11.85546875" style="16" bestFit="1" customWidth="1"/>
    <col min="4869" max="4869" width="11.28515625" style="16" bestFit="1" customWidth="1"/>
    <col min="4870" max="4871" width="10.85546875" style="16" bestFit="1" customWidth="1"/>
    <col min="4872" max="4872" width="10.28515625" style="16" bestFit="1" customWidth="1"/>
    <col min="4873" max="4873" width="11.28515625" style="16" bestFit="1" customWidth="1"/>
    <col min="4874" max="4877" width="10.28515625" style="16" customWidth="1"/>
    <col min="4878" max="4878" width="11.85546875" style="16" bestFit="1" customWidth="1"/>
    <col min="4879" max="4880" width="11.28515625" style="16" bestFit="1" customWidth="1"/>
    <col min="4881" max="4881" width="11.85546875" style="16" bestFit="1" customWidth="1"/>
    <col min="4882" max="4884" width="12.85546875" style="16" customWidth="1"/>
    <col min="4885" max="4886" width="11.28515625" style="16" bestFit="1" customWidth="1"/>
    <col min="4887" max="4887" width="1.7109375" style="16" customWidth="1"/>
    <col min="4888" max="4888" width="11.85546875" style="16" bestFit="1" customWidth="1"/>
    <col min="4889" max="4889" width="10.85546875" style="16" bestFit="1" customWidth="1"/>
    <col min="4890" max="4890" width="11.28515625" style="16" customWidth="1"/>
    <col min="4891" max="4891" width="10.5703125" style="16" bestFit="1" customWidth="1"/>
    <col min="4892" max="4892" width="12.85546875" style="16" bestFit="1" customWidth="1"/>
    <col min="4893" max="5120" width="9.140625" style="16"/>
    <col min="5121" max="5121" width="10" style="16" customWidth="1"/>
    <col min="5122" max="5122" width="0" style="16" hidden="1" customWidth="1"/>
    <col min="5123" max="5123" width="28.5703125" style="16" customWidth="1"/>
    <col min="5124" max="5124" width="11.85546875" style="16" bestFit="1" customWidth="1"/>
    <col min="5125" max="5125" width="11.28515625" style="16" bestFit="1" customWidth="1"/>
    <col min="5126" max="5127" width="10.85546875" style="16" bestFit="1" customWidth="1"/>
    <col min="5128" max="5128" width="10.28515625" style="16" bestFit="1" customWidth="1"/>
    <col min="5129" max="5129" width="11.28515625" style="16" bestFit="1" customWidth="1"/>
    <col min="5130" max="5133" width="10.28515625" style="16" customWidth="1"/>
    <col min="5134" max="5134" width="11.85546875" style="16" bestFit="1" customWidth="1"/>
    <col min="5135" max="5136" width="11.28515625" style="16" bestFit="1" customWidth="1"/>
    <col min="5137" max="5137" width="11.85546875" style="16" bestFit="1" customWidth="1"/>
    <col min="5138" max="5140" width="12.85546875" style="16" customWidth="1"/>
    <col min="5141" max="5142" width="11.28515625" style="16" bestFit="1" customWidth="1"/>
    <col min="5143" max="5143" width="1.7109375" style="16" customWidth="1"/>
    <col min="5144" max="5144" width="11.85546875" style="16" bestFit="1" customWidth="1"/>
    <col min="5145" max="5145" width="10.85546875" style="16" bestFit="1" customWidth="1"/>
    <col min="5146" max="5146" width="11.28515625" style="16" customWidth="1"/>
    <col min="5147" max="5147" width="10.5703125" style="16" bestFit="1" customWidth="1"/>
    <col min="5148" max="5148" width="12.85546875" style="16" bestFit="1" customWidth="1"/>
    <col min="5149" max="5376" width="9.140625" style="16"/>
    <col min="5377" max="5377" width="10" style="16" customWidth="1"/>
    <col min="5378" max="5378" width="0" style="16" hidden="1" customWidth="1"/>
    <col min="5379" max="5379" width="28.5703125" style="16" customWidth="1"/>
    <col min="5380" max="5380" width="11.85546875" style="16" bestFit="1" customWidth="1"/>
    <col min="5381" max="5381" width="11.28515625" style="16" bestFit="1" customWidth="1"/>
    <col min="5382" max="5383" width="10.85546875" style="16" bestFit="1" customWidth="1"/>
    <col min="5384" max="5384" width="10.28515625" style="16" bestFit="1" customWidth="1"/>
    <col min="5385" max="5385" width="11.28515625" style="16" bestFit="1" customWidth="1"/>
    <col min="5386" max="5389" width="10.28515625" style="16" customWidth="1"/>
    <col min="5390" max="5390" width="11.85546875" style="16" bestFit="1" customWidth="1"/>
    <col min="5391" max="5392" width="11.28515625" style="16" bestFit="1" customWidth="1"/>
    <col min="5393" max="5393" width="11.85546875" style="16" bestFit="1" customWidth="1"/>
    <col min="5394" max="5396" width="12.85546875" style="16" customWidth="1"/>
    <col min="5397" max="5398" width="11.28515625" style="16" bestFit="1" customWidth="1"/>
    <col min="5399" max="5399" width="1.7109375" style="16" customWidth="1"/>
    <col min="5400" max="5400" width="11.85546875" style="16" bestFit="1" customWidth="1"/>
    <col min="5401" max="5401" width="10.85546875" style="16" bestFit="1" customWidth="1"/>
    <col min="5402" max="5402" width="11.28515625" style="16" customWidth="1"/>
    <col min="5403" max="5403" width="10.5703125" style="16" bestFit="1" customWidth="1"/>
    <col min="5404" max="5404" width="12.85546875" style="16" bestFit="1" customWidth="1"/>
    <col min="5405" max="5632" width="9.140625" style="16"/>
    <col min="5633" max="5633" width="10" style="16" customWidth="1"/>
    <col min="5634" max="5634" width="0" style="16" hidden="1" customWidth="1"/>
    <col min="5635" max="5635" width="28.5703125" style="16" customWidth="1"/>
    <col min="5636" max="5636" width="11.85546875" style="16" bestFit="1" customWidth="1"/>
    <col min="5637" max="5637" width="11.28515625" style="16" bestFit="1" customWidth="1"/>
    <col min="5638" max="5639" width="10.85546875" style="16" bestFit="1" customWidth="1"/>
    <col min="5640" max="5640" width="10.28515625" style="16" bestFit="1" customWidth="1"/>
    <col min="5641" max="5641" width="11.28515625" style="16" bestFit="1" customWidth="1"/>
    <col min="5642" max="5645" width="10.28515625" style="16" customWidth="1"/>
    <col min="5646" max="5646" width="11.85546875" style="16" bestFit="1" customWidth="1"/>
    <col min="5647" max="5648" width="11.28515625" style="16" bestFit="1" customWidth="1"/>
    <col min="5649" max="5649" width="11.85546875" style="16" bestFit="1" customWidth="1"/>
    <col min="5650" max="5652" width="12.85546875" style="16" customWidth="1"/>
    <col min="5653" max="5654" width="11.28515625" style="16" bestFit="1" customWidth="1"/>
    <col min="5655" max="5655" width="1.7109375" style="16" customWidth="1"/>
    <col min="5656" max="5656" width="11.85546875" style="16" bestFit="1" customWidth="1"/>
    <col min="5657" max="5657" width="10.85546875" style="16" bestFit="1" customWidth="1"/>
    <col min="5658" max="5658" width="11.28515625" style="16" customWidth="1"/>
    <col min="5659" max="5659" width="10.5703125" style="16" bestFit="1" customWidth="1"/>
    <col min="5660" max="5660" width="12.85546875" style="16" bestFit="1" customWidth="1"/>
    <col min="5661" max="5888" width="9.140625" style="16"/>
    <col min="5889" max="5889" width="10" style="16" customWidth="1"/>
    <col min="5890" max="5890" width="0" style="16" hidden="1" customWidth="1"/>
    <col min="5891" max="5891" width="28.5703125" style="16" customWidth="1"/>
    <col min="5892" max="5892" width="11.85546875" style="16" bestFit="1" customWidth="1"/>
    <col min="5893" max="5893" width="11.28515625" style="16" bestFit="1" customWidth="1"/>
    <col min="5894" max="5895" width="10.85546875" style="16" bestFit="1" customWidth="1"/>
    <col min="5896" max="5896" width="10.28515625" style="16" bestFit="1" customWidth="1"/>
    <col min="5897" max="5897" width="11.28515625" style="16" bestFit="1" customWidth="1"/>
    <col min="5898" max="5901" width="10.28515625" style="16" customWidth="1"/>
    <col min="5902" max="5902" width="11.85546875" style="16" bestFit="1" customWidth="1"/>
    <col min="5903" max="5904" width="11.28515625" style="16" bestFit="1" customWidth="1"/>
    <col min="5905" max="5905" width="11.85546875" style="16" bestFit="1" customWidth="1"/>
    <col min="5906" max="5908" width="12.85546875" style="16" customWidth="1"/>
    <col min="5909" max="5910" width="11.28515625" style="16" bestFit="1" customWidth="1"/>
    <col min="5911" max="5911" width="1.7109375" style="16" customWidth="1"/>
    <col min="5912" max="5912" width="11.85546875" style="16" bestFit="1" customWidth="1"/>
    <col min="5913" max="5913" width="10.85546875" style="16" bestFit="1" customWidth="1"/>
    <col min="5914" max="5914" width="11.28515625" style="16" customWidth="1"/>
    <col min="5915" max="5915" width="10.5703125" style="16" bestFit="1" customWidth="1"/>
    <col min="5916" max="5916" width="12.85546875" style="16" bestFit="1" customWidth="1"/>
    <col min="5917" max="6144" width="9.140625" style="16"/>
    <col min="6145" max="6145" width="10" style="16" customWidth="1"/>
    <col min="6146" max="6146" width="0" style="16" hidden="1" customWidth="1"/>
    <col min="6147" max="6147" width="28.5703125" style="16" customWidth="1"/>
    <col min="6148" max="6148" width="11.85546875" style="16" bestFit="1" customWidth="1"/>
    <col min="6149" max="6149" width="11.28515625" style="16" bestFit="1" customWidth="1"/>
    <col min="6150" max="6151" width="10.85546875" style="16" bestFit="1" customWidth="1"/>
    <col min="6152" max="6152" width="10.28515625" style="16" bestFit="1" customWidth="1"/>
    <col min="6153" max="6153" width="11.28515625" style="16" bestFit="1" customWidth="1"/>
    <col min="6154" max="6157" width="10.28515625" style="16" customWidth="1"/>
    <col min="6158" max="6158" width="11.85546875" style="16" bestFit="1" customWidth="1"/>
    <col min="6159" max="6160" width="11.28515625" style="16" bestFit="1" customWidth="1"/>
    <col min="6161" max="6161" width="11.85546875" style="16" bestFit="1" customWidth="1"/>
    <col min="6162" max="6164" width="12.85546875" style="16" customWidth="1"/>
    <col min="6165" max="6166" width="11.28515625" style="16" bestFit="1" customWidth="1"/>
    <col min="6167" max="6167" width="1.7109375" style="16" customWidth="1"/>
    <col min="6168" max="6168" width="11.85546875" style="16" bestFit="1" customWidth="1"/>
    <col min="6169" max="6169" width="10.85546875" style="16" bestFit="1" customWidth="1"/>
    <col min="6170" max="6170" width="11.28515625" style="16" customWidth="1"/>
    <col min="6171" max="6171" width="10.5703125" style="16" bestFit="1" customWidth="1"/>
    <col min="6172" max="6172" width="12.85546875" style="16" bestFit="1" customWidth="1"/>
    <col min="6173" max="6400" width="9.140625" style="16"/>
    <col min="6401" max="6401" width="10" style="16" customWidth="1"/>
    <col min="6402" max="6402" width="0" style="16" hidden="1" customWidth="1"/>
    <col min="6403" max="6403" width="28.5703125" style="16" customWidth="1"/>
    <col min="6404" max="6404" width="11.85546875" style="16" bestFit="1" customWidth="1"/>
    <col min="6405" max="6405" width="11.28515625" style="16" bestFit="1" customWidth="1"/>
    <col min="6406" max="6407" width="10.85546875" style="16" bestFit="1" customWidth="1"/>
    <col min="6408" max="6408" width="10.28515625" style="16" bestFit="1" customWidth="1"/>
    <col min="6409" max="6409" width="11.28515625" style="16" bestFit="1" customWidth="1"/>
    <col min="6410" max="6413" width="10.28515625" style="16" customWidth="1"/>
    <col min="6414" max="6414" width="11.85546875" style="16" bestFit="1" customWidth="1"/>
    <col min="6415" max="6416" width="11.28515625" style="16" bestFit="1" customWidth="1"/>
    <col min="6417" max="6417" width="11.85546875" style="16" bestFit="1" customWidth="1"/>
    <col min="6418" max="6420" width="12.85546875" style="16" customWidth="1"/>
    <col min="6421" max="6422" width="11.28515625" style="16" bestFit="1" customWidth="1"/>
    <col min="6423" max="6423" width="1.7109375" style="16" customWidth="1"/>
    <col min="6424" max="6424" width="11.85546875" style="16" bestFit="1" customWidth="1"/>
    <col min="6425" max="6425" width="10.85546875" style="16" bestFit="1" customWidth="1"/>
    <col min="6426" max="6426" width="11.28515625" style="16" customWidth="1"/>
    <col min="6427" max="6427" width="10.5703125" style="16" bestFit="1" customWidth="1"/>
    <col min="6428" max="6428" width="12.85546875" style="16" bestFit="1" customWidth="1"/>
    <col min="6429" max="6656" width="9.140625" style="16"/>
    <col min="6657" max="6657" width="10" style="16" customWidth="1"/>
    <col min="6658" max="6658" width="0" style="16" hidden="1" customWidth="1"/>
    <col min="6659" max="6659" width="28.5703125" style="16" customWidth="1"/>
    <col min="6660" max="6660" width="11.85546875" style="16" bestFit="1" customWidth="1"/>
    <col min="6661" max="6661" width="11.28515625" style="16" bestFit="1" customWidth="1"/>
    <col min="6662" max="6663" width="10.85546875" style="16" bestFit="1" customWidth="1"/>
    <col min="6664" max="6664" width="10.28515625" style="16" bestFit="1" customWidth="1"/>
    <col min="6665" max="6665" width="11.28515625" style="16" bestFit="1" customWidth="1"/>
    <col min="6666" max="6669" width="10.28515625" style="16" customWidth="1"/>
    <col min="6670" max="6670" width="11.85546875" style="16" bestFit="1" customWidth="1"/>
    <col min="6671" max="6672" width="11.28515625" style="16" bestFit="1" customWidth="1"/>
    <col min="6673" max="6673" width="11.85546875" style="16" bestFit="1" customWidth="1"/>
    <col min="6674" max="6676" width="12.85546875" style="16" customWidth="1"/>
    <col min="6677" max="6678" width="11.28515625" style="16" bestFit="1" customWidth="1"/>
    <col min="6679" max="6679" width="1.7109375" style="16" customWidth="1"/>
    <col min="6680" max="6680" width="11.85546875" style="16" bestFit="1" customWidth="1"/>
    <col min="6681" max="6681" width="10.85546875" style="16" bestFit="1" customWidth="1"/>
    <col min="6682" max="6682" width="11.28515625" style="16" customWidth="1"/>
    <col min="6683" max="6683" width="10.5703125" style="16" bestFit="1" customWidth="1"/>
    <col min="6684" max="6684" width="12.85546875" style="16" bestFit="1" customWidth="1"/>
    <col min="6685" max="6912" width="9.140625" style="16"/>
    <col min="6913" max="6913" width="10" style="16" customWidth="1"/>
    <col min="6914" max="6914" width="0" style="16" hidden="1" customWidth="1"/>
    <col min="6915" max="6915" width="28.5703125" style="16" customWidth="1"/>
    <col min="6916" max="6916" width="11.85546875" style="16" bestFit="1" customWidth="1"/>
    <col min="6917" max="6917" width="11.28515625" style="16" bestFit="1" customWidth="1"/>
    <col min="6918" max="6919" width="10.85546875" style="16" bestFit="1" customWidth="1"/>
    <col min="6920" max="6920" width="10.28515625" style="16" bestFit="1" customWidth="1"/>
    <col min="6921" max="6921" width="11.28515625" style="16" bestFit="1" customWidth="1"/>
    <col min="6922" max="6925" width="10.28515625" style="16" customWidth="1"/>
    <col min="6926" max="6926" width="11.85546875" style="16" bestFit="1" customWidth="1"/>
    <col min="6927" max="6928" width="11.28515625" style="16" bestFit="1" customWidth="1"/>
    <col min="6929" max="6929" width="11.85546875" style="16" bestFit="1" customWidth="1"/>
    <col min="6930" max="6932" width="12.85546875" style="16" customWidth="1"/>
    <col min="6933" max="6934" width="11.28515625" style="16" bestFit="1" customWidth="1"/>
    <col min="6935" max="6935" width="1.7109375" style="16" customWidth="1"/>
    <col min="6936" max="6936" width="11.85546875" style="16" bestFit="1" customWidth="1"/>
    <col min="6937" max="6937" width="10.85546875" style="16" bestFit="1" customWidth="1"/>
    <col min="6938" max="6938" width="11.28515625" style="16" customWidth="1"/>
    <col min="6939" max="6939" width="10.5703125" style="16" bestFit="1" customWidth="1"/>
    <col min="6940" max="6940" width="12.85546875" style="16" bestFit="1" customWidth="1"/>
    <col min="6941" max="7168" width="9.140625" style="16"/>
    <col min="7169" max="7169" width="10" style="16" customWidth="1"/>
    <col min="7170" max="7170" width="0" style="16" hidden="1" customWidth="1"/>
    <col min="7171" max="7171" width="28.5703125" style="16" customWidth="1"/>
    <col min="7172" max="7172" width="11.85546875" style="16" bestFit="1" customWidth="1"/>
    <col min="7173" max="7173" width="11.28515625" style="16" bestFit="1" customWidth="1"/>
    <col min="7174" max="7175" width="10.85546875" style="16" bestFit="1" customWidth="1"/>
    <col min="7176" max="7176" width="10.28515625" style="16" bestFit="1" customWidth="1"/>
    <col min="7177" max="7177" width="11.28515625" style="16" bestFit="1" customWidth="1"/>
    <col min="7178" max="7181" width="10.28515625" style="16" customWidth="1"/>
    <col min="7182" max="7182" width="11.85546875" style="16" bestFit="1" customWidth="1"/>
    <col min="7183" max="7184" width="11.28515625" style="16" bestFit="1" customWidth="1"/>
    <col min="7185" max="7185" width="11.85546875" style="16" bestFit="1" customWidth="1"/>
    <col min="7186" max="7188" width="12.85546875" style="16" customWidth="1"/>
    <col min="7189" max="7190" width="11.28515625" style="16" bestFit="1" customWidth="1"/>
    <col min="7191" max="7191" width="1.7109375" style="16" customWidth="1"/>
    <col min="7192" max="7192" width="11.85546875" style="16" bestFit="1" customWidth="1"/>
    <col min="7193" max="7193" width="10.85546875" style="16" bestFit="1" customWidth="1"/>
    <col min="7194" max="7194" width="11.28515625" style="16" customWidth="1"/>
    <col min="7195" max="7195" width="10.5703125" style="16" bestFit="1" customWidth="1"/>
    <col min="7196" max="7196" width="12.85546875" style="16" bestFit="1" customWidth="1"/>
    <col min="7197" max="7424" width="9.140625" style="16"/>
    <col min="7425" max="7425" width="10" style="16" customWidth="1"/>
    <col min="7426" max="7426" width="0" style="16" hidden="1" customWidth="1"/>
    <col min="7427" max="7427" width="28.5703125" style="16" customWidth="1"/>
    <col min="7428" max="7428" width="11.85546875" style="16" bestFit="1" customWidth="1"/>
    <col min="7429" max="7429" width="11.28515625" style="16" bestFit="1" customWidth="1"/>
    <col min="7430" max="7431" width="10.85546875" style="16" bestFit="1" customWidth="1"/>
    <col min="7432" max="7432" width="10.28515625" style="16" bestFit="1" customWidth="1"/>
    <col min="7433" max="7433" width="11.28515625" style="16" bestFit="1" customWidth="1"/>
    <col min="7434" max="7437" width="10.28515625" style="16" customWidth="1"/>
    <col min="7438" max="7438" width="11.85546875" style="16" bestFit="1" customWidth="1"/>
    <col min="7439" max="7440" width="11.28515625" style="16" bestFit="1" customWidth="1"/>
    <col min="7441" max="7441" width="11.85546875" style="16" bestFit="1" customWidth="1"/>
    <col min="7442" max="7444" width="12.85546875" style="16" customWidth="1"/>
    <col min="7445" max="7446" width="11.28515625" style="16" bestFit="1" customWidth="1"/>
    <col min="7447" max="7447" width="1.7109375" style="16" customWidth="1"/>
    <col min="7448" max="7448" width="11.85546875" style="16" bestFit="1" customWidth="1"/>
    <col min="7449" max="7449" width="10.85546875" style="16" bestFit="1" customWidth="1"/>
    <col min="7450" max="7450" width="11.28515625" style="16" customWidth="1"/>
    <col min="7451" max="7451" width="10.5703125" style="16" bestFit="1" customWidth="1"/>
    <col min="7452" max="7452" width="12.85546875" style="16" bestFit="1" customWidth="1"/>
    <col min="7453" max="7680" width="9.140625" style="16"/>
    <col min="7681" max="7681" width="10" style="16" customWidth="1"/>
    <col min="7682" max="7682" width="0" style="16" hidden="1" customWidth="1"/>
    <col min="7683" max="7683" width="28.5703125" style="16" customWidth="1"/>
    <col min="7684" max="7684" width="11.85546875" style="16" bestFit="1" customWidth="1"/>
    <col min="7685" max="7685" width="11.28515625" style="16" bestFit="1" customWidth="1"/>
    <col min="7686" max="7687" width="10.85546875" style="16" bestFit="1" customWidth="1"/>
    <col min="7688" max="7688" width="10.28515625" style="16" bestFit="1" customWidth="1"/>
    <col min="7689" max="7689" width="11.28515625" style="16" bestFit="1" customWidth="1"/>
    <col min="7690" max="7693" width="10.28515625" style="16" customWidth="1"/>
    <col min="7694" max="7694" width="11.85546875" style="16" bestFit="1" customWidth="1"/>
    <col min="7695" max="7696" width="11.28515625" style="16" bestFit="1" customWidth="1"/>
    <col min="7697" max="7697" width="11.85546875" style="16" bestFit="1" customWidth="1"/>
    <col min="7698" max="7700" width="12.85546875" style="16" customWidth="1"/>
    <col min="7701" max="7702" width="11.28515625" style="16" bestFit="1" customWidth="1"/>
    <col min="7703" max="7703" width="1.7109375" style="16" customWidth="1"/>
    <col min="7704" max="7704" width="11.85546875" style="16" bestFit="1" customWidth="1"/>
    <col min="7705" max="7705" width="10.85546875" style="16" bestFit="1" customWidth="1"/>
    <col min="7706" max="7706" width="11.28515625" style="16" customWidth="1"/>
    <col min="7707" max="7707" width="10.5703125" style="16" bestFit="1" customWidth="1"/>
    <col min="7708" max="7708" width="12.85546875" style="16" bestFit="1" customWidth="1"/>
    <col min="7709" max="7936" width="9.140625" style="16"/>
    <col min="7937" max="7937" width="10" style="16" customWidth="1"/>
    <col min="7938" max="7938" width="0" style="16" hidden="1" customWidth="1"/>
    <col min="7939" max="7939" width="28.5703125" style="16" customWidth="1"/>
    <col min="7940" max="7940" width="11.85546875" style="16" bestFit="1" customWidth="1"/>
    <col min="7941" max="7941" width="11.28515625" style="16" bestFit="1" customWidth="1"/>
    <col min="7942" max="7943" width="10.85546875" style="16" bestFit="1" customWidth="1"/>
    <col min="7944" max="7944" width="10.28515625" style="16" bestFit="1" customWidth="1"/>
    <col min="7945" max="7945" width="11.28515625" style="16" bestFit="1" customWidth="1"/>
    <col min="7946" max="7949" width="10.28515625" style="16" customWidth="1"/>
    <col min="7950" max="7950" width="11.85546875" style="16" bestFit="1" customWidth="1"/>
    <col min="7951" max="7952" width="11.28515625" style="16" bestFit="1" customWidth="1"/>
    <col min="7953" max="7953" width="11.85546875" style="16" bestFit="1" customWidth="1"/>
    <col min="7954" max="7956" width="12.85546875" style="16" customWidth="1"/>
    <col min="7957" max="7958" width="11.28515625" style="16" bestFit="1" customWidth="1"/>
    <col min="7959" max="7959" width="1.7109375" style="16" customWidth="1"/>
    <col min="7960" max="7960" width="11.85546875" style="16" bestFit="1" customWidth="1"/>
    <col min="7961" max="7961" width="10.85546875" style="16" bestFit="1" customWidth="1"/>
    <col min="7962" max="7962" width="11.28515625" style="16" customWidth="1"/>
    <col min="7963" max="7963" width="10.5703125" style="16" bestFit="1" customWidth="1"/>
    <col min="7964" max="7964" width="12.85546875" style="16" bestFit="1" customWidth="1"/>
    <col min="7965" max="8192" width="9.140625" style="16"/>
    <col min="8193" max="8193" width="10" style="16" customWidth="1"/>
    <col min="8194" max="8194" width="0" style="16" hidden="1" customWidth="1"/>
    <col min="8195" max="8195" width="28.5703125" style="16" customWidth="1"/>
    <col min="8196" max="8196" width="11.85546875" style="16" bestFit="1" customWidth="1"/>
    <col min="8197" max="8197" width="11.28515625" style="16" bestFit="1" customWidth="1"/>
    <col min="8198" max="8199" width="10.85546875" style="16" bestFit="1" customWidth="1"/>
    <col min="8200" max="8200" width="10.28515625" style="16" bestFit="1" customWidth="1"/>
    <col min="8201" max="8201" width="11.28515625" style="16" bestFit="1" customWidth="1"/>
    <col min="8202" max="8205" width="10.28515625" style="16" customWidth="1"/>
    <col min="8206" max="8206" width="11.85546875" style="16" bestFit="1" customWidth="1"/>
    <col min="8207" max="8208" width="11.28515625" style="16" bestFit="1" customWidth="1"/>
    <col min="8209" max="8209" width="11.85546875" style="16" bestFit="1" customWidth="1"/>
    <col min="8210" max="8212" width="12.85546875" style="16" customWidth="1"/>
    <col min="8213" max="8214" width="11.28515625" style="16" bestFit="1" customWidth="1"/>
    <col min="8215" max="8215" width="1.7109375" style="16" customWidth="1"/>
    <col min="8216" max="8216" width="11.85546875" style="16" bestFit="1" customWidth="1"/>
    <col min="8217" max="8217" width="10.85546875" style="16" bestFit="1" customWidth="1"/>
    <col min="8218" max="8218" width="11.28515625" style="16" customWidth="1"/>
    <col min="8219" max="8219" width="10.5703125" style="16" bestFit="1" customWidth="1"/>
    <col min="8220" max="8220" width="12.85546875" style="16" bestFit="1" customWidth="1"/>
    <col min="8221" max="8448" width="9.140625" style="16"/>
    <col min="8449" max="8449" width="10" style="16" customWidth="1"/>
    <col min="8450" max="8450" width="0" style="16" hidden="1" customWidth="1"/>
    <col min="8451" max="8451" width="28.5703125" style="16" customWidth="1"/>
    <col min="8452" max="8452" width="11.85546875" style="16" bestFit="1" customWidth="1"/>
    <col min="8453" max="8453" width="11.28515625" style="16" bestFit="1" customWidth="1"/>
    <col min="8454" max="8455" width="10.85546875" style="16" bestFit="1" customWidth="1"/>
    <col min="8456" max="8456" width="10.28515625" style="16" bestFit="1" customWidth="1"/>
    <col min="8457" max="8457" width="11.28515625" style="16" bestFit="1" customWidth="1"/>
    <col min="8458" max="8461" width="10.28515625" style="16" customWidth="1"/>
    <col min="8462" max="8462" width="11.85546875" style="16" bestFit="1" customWidth="1"/>
    <col min="8463" max="8464" width="11.28515625" style="16" bestFit="1" customWidth="1"/>
    <col min="8465" max="8465" width="11.85546875" style="16" bestFit="1" customWidth="1"/>
    <col min="8466" max="8468" width="12.85546875" style="16" customWidth="1"/>
    <col min="8469" max="8470" width="11.28515625" style="16" bestFit="1" customWidth="1"/>
    <col min="8471" max="8471" width="1.7109375" style="16" customWidth="1"/>
    <col min="8472" max="8472" width="11.85546875" style="16" bestFit="1" customWidth="1"/>
    <col min="8473" max="8473" width="10.85546875" style="16" bestFit="1" customWidth="1"/>
    <col min="8474" max="8474" width="11.28515625" style="16" customWidth="1"/>
    <col min="8475" max="8475" width="10.5703125" style="16" bestFit="1" customWidth="1"/>
    <col min="8476" max="8476" width="12.85546875" style="16" bestFit="1" customWidth="1"/>
    <col min="8477" max="8704" width="9.140625" style="16"/>
    <col min="8705" max="8705" width="10" style="16" customWidth="1"/>
    <col min="8706" max="8706" width="0" style="16" hidden="1" customWidth="1"/>
    <col min="8707" max="8707" width="28.5703125" style="16" customWidth="1"/>
    <col min="8708" max="8708" width="11.85546875" style="16" bestFit="1" customWidth="1"/>
    <col min="8709" max="8709" width="11.28515625" style="16" bestFit="1" customWidth="1"/>
    <col min="8710" max="8711" width="10.85546875" style="16" bestFit="1" customWidth="1"/>
    <col min="8712" max="8712" width="10.28515625" style="16" bestFit="1" customWidth="1"/>
    <col min="8713" max="8713" width="11.28515625" style="16" bestFit="1" customWidth="1"/>
    <col min="8714" max="8717" width="10.28515625" style="16" customWidth="1"/>
    <col min="8718" max="8718" width="11.85546875" style="16" bestFit="1" customWidth="1"/>
    <col min="8719" max="8720" width="11.28515625" style="16" bestFit="1" customWidth="1"/>
    <col min="8721" max="8721" width="11.85546875" style="16" bestFit="1" customWidth="1"/>
    <col min="8722" max="8724" width="12.85546875" style="16" customWidth="1"/>
    <col min="8725" max="8726" width="11.28515625" style="16" bestFit="1" customWidth="1"/>
    <col min="8727" max="8727" width="1.7109375" style="16" customWidth="1"/>
    <col min="8728" max="8728" width="11.85546875" style="16" bestFit="1" customWidth="1"/>
    <col min="8729" max="8729" width="10.85546875" style="16" bestFit="1" customWidth="1"/>
    <col min="8730" max="8730" width="11.28515625" style="16" customWidth="1"/>
    <col min="8731" max="8731" width="10.5703125" style="16" bestFit="1" customWidth="1"/>
    <col min="8732" max="8732" width="12.85546875" style="16" bestFit="1" customWidth="1"/>
    <col min="8733" max="8960" width="9.140625" style="16"/>
    <col min="8961" max="8961" width="10" style="16" customWidth="1"/>
    <col min="8962" max="8962" width="0" style="16" hidden="1" customWidth="1"/>
    <col min="8963" max="8963" width="28.5703125" style="16" customWidth="1"/>
    <col min="8964" max="8964" width="11.85546875" style="16" bestFit="1" customWidth="1"/>
    <col min="8965" max="8965" width="11.28515625" style="16" bestFit="1" customWidth="1"/>
    <col min="8966" max="8967" width="10.85546875" style="16" bestFit="1" customWidth="1"/>
    <col min="8968" max="8968" width="10.28515625" style="16" bestFit="1" customWidth="1"/>
    <col min="8969" max="8969" width="11.28515625" style="16" bestFit="1" customWidth="1"/>
    <col min="8970" max="8973" width="10.28515625" style="16" customWidth="1"/>
    <col min="8974" max="8974" width="11.85546875" style="16" bestFit="1" customWidth="1"/>
    <col min="8975" max="8976" width="11.28515625" style="16" bestFit="1" customWidth="1"/>
    <col min="8977" max="8977" width="11.85546875" style="16" bestFit="1" customWidth="1"/>
    <col min="8978" max="8980" width="12.85546875" style="16" customWidth="1"/>
    <col min="8981" max="8982" width="11.28515625" style="16" bestFit="1" customWidth="1"/>
    <col min="8983" max="8983" width="1.7109375" style="16" customWidth="1"/>
    <col min="8984" max="8984" width="11.85546875" style="16" bestFit="1" customWidth="1"/>
    <col min="8985" max="8985" width="10.85546875" style="16" bestFit="1" customWidth="1"/>
    <col min="8986" max="8986" width="11.28515625" style="16" customWidth="1"/>
    <col min="8987" max="8987" width="10.5703125" style="16" bestFit="1" customWidth="1"/>
    <col min="8988" max="8988" width="12.85546875" style="16" bestFit="1" customWidth="1"/>
    <col min="8989" max="9216" width="9.140625" style="16"/>
    <col min="9217" max="9217" width="10" style="16" customWidth="1"/>
    <col min="9218" max="9218" width="0" style="16" hidden="1" customWidth="1"/>
    <col min="9219" max="9219" width="28.5703125" style="16" customWidth="1"/>
    <col min="9220" max="9220" width="11.85546875" style="16" bestFit="1" customWidth="1"/>
    <col min="9221" max="9221" width="11.28515625" style="16" bestFit="1" customWidth="1"/>
    <col min="9222" max="9223" width="10.85546875" style="16" bestFit="1" customWidth="1"/>
    <col min="9224" max="9224" width="10.28515625" style="16" bestFit="1" customWidth="1"/>
    <col min="9225" max="9225" width="11.28515625" style="16" bestFit="1" customWidth="1"/>
    <col min="9226" max="9229" width="10.28515625" style="16" customWidth="1"/>
    <col min="9230" max="9230" width="11.85546875" style="16" bestFit="1" customWidth="1"/>
    <col min="9231" max="9232" width="11.28515625" style="16" bestFit="1" customWidth="1"/>
    <col min="9233" max="9233" width="11.85546875" style="16" bestFit="1" customWidth="1"/>
    <col min="9234" max="9236" width="12.85546875" style="16" customWidth="1"/>
    <col min="9237" max="9238" width="11.28515625" style="16" bestFit="1" customWidth="1"/>
    <col min="9239" max="9239" width="1.7109375" style="16" customWidth="1"/>
    <col min="9240" max="9240" width="11.85546875" style="16" bestFit="1" customWidth="1"/>
    <col min="9241" max="9241" width="10.85546875" style="16" bestFit="1" customWidth="1"/>
    <col min="9242" max="9242" width="11.28515625" style="16" customWidth="1"/>
    <col min="9243" max="9243" width="10.5703125" style="16" bestFit="1" customWidth="1"/>
    <col min="9244" max="9244" width="12.85546875" style="16" bestFit="1" customWidth="1"/>
    <col min="9245" max="9472" width="9.140625" style="16"/>
    <col min="9473" max="9473" width="10" style="16" customWidth="1"/>
    <col min="9474" max="9474" width="0" style="16" hidden="1" customWidth="1"/>
    <col min="9475" max="9475" width="28.5703125" style="16" customWidth="1"/>
    <col min="9476" max="9476" width="11.85546875" style="16" bestFit="1" customWidth="1"/>
    <col min="9477" max="9477" width="11.28515625" style="16" bestFit="1" customWidth="1"/>
    <col min="9478" max="9479" width="10.85546875" style="16" bestFit="1" customWidth="1"/>
    <col min="9480" max="9480" width="10.28515625" style="16" bestFit="1" customWidth="1"/>
    <col min="9481" max="9481" width="11.28515625" style="16" bestFit="1" customWidth="1"/>
    <col min="9482" max="9485" width="10.28515625" style="16" customWidth="1"/>
    <col min="9486" max="9486" width="11.85546875" style="16" bestFit="1" customWidth="1"/>
    <col min="9487" max="9488" width="11.28515625" style="16" bestFit="1" customWidth="1"/>
    <col min="9489" max="9489" width="11.85546875" style="16" bestFit="1" customWidth="1"/>
    <col min="9490" max="9492" width="12.85546875" style="16" customWidth="1"/>
    <col min="9493" max="9494" width="11.28515625" style="16" bestFit="1" customWidth="1"/>
    <col min="9495" max="9495" width="1.7109375" style="16" customWidth="1"/>
    <col min="9496" max="9496" width="11.85546875" style="16" bestFit="1" customWidth="1"/>
    <col min="9497" max="9497" width="10.85546875" style="16" bestFit="1" customWidth="1"/>
    <col min="9498" max="9498" width="11.28515625" style="16" customWidth="1"/>
    <col min="9499" max="9499" width="10.5703125" style="16" bestFit="1" customWidth="1"/>
    <col min="9500" max="9500" width="12.85546875" style="16" bestFit="1" customWidth="1"/>
    <col min="9501" max="9728" width="9.140625" style="16"/>
    <col min="9729" max="9729" width="10" style="16" customWidth="1"/>
    <col min="9730" max="9730" width="0" style="16" hidden="1" customWidth="1"/>
    <col min="9731" max="9731" width="28.5703125" style="16" customWidth="1"/>
    <col min="9732" max="9732" width="11.85546875" style="16" bestFit="1" customWidth="1"/>
    <col min="9733" max="9733" width="11.28515625" style="16" bestFit="1" customWidth="1"/>
    <col min="9734" max="9735" width="10.85546875" style="16" bestFit="1" customWidth="1"/>
    <col min="9736" max="9736" width="10.28515625" style="16" bestFit="1" customWidth="1"/>
    <col min="9737" max="9737" width="11.28515625" style="16" bestFit="1" customWidth="1"/>
    <col min="9738" max="9741" width="10.28515625" style="16" customWidth="1"/>
    <col min="9742" max="9742" width="11.85546875" style="16" bestFit="1" customWidth="1"/>
    <col min="9743" max="9744" width="11.28515625" style="16" bestFit="1" customWidth="1"/>
    <col min="9745" max="9745" width="11.85546875" style="16" bestFit="1" customWidth="1"/>
    <col min="9746" max="9748" width="12.85546875" style="16" customWidth="1"/>
    <col min="9749" max="9750" width="11.28515625" style="16" bestFit="1" customWidth="1"/>
    <col min="9751" max="9751" width="1.7109375" style="16" customWidth="1"/>
    <col min="9752" max="9752" width="11.85546875" style="16" bestFit="1" customWidth="1"/>
    <col min="9753" max="9753" width="10.85546875" style="16" bestFit="1" customWidth="1"/>
    <col min="9754" max="9754" width="11.28515625" style="16" customWidth="1"/>
    <col min="9755" max="9755" width="10.5703125" style="16" bestFit="1" customWidth="1"/>
    <col min="9756" max="9756" width="12.85546875" style="16" bestFit="1" customWidth="1"/>
    <col min="9757" max="9984" width="9.140625" style="16"/>
    <col min="9985" max="9985" width="10" style="16" customWidth="1"/>
    <col min="9986" max="9986" width="0" style="16" hidden="1" customWidth="1"/>
    <col min="9987" max="9987" width="28.5703125" style="16" customWidth="1"/>
    <col min="9988" max="9988" width="11.85546875" style="16" bestFit="1" customWidth="1"/>
    <col min="9989" max="9989" width="11.28515625" style="16" bestFit="1" customWidth="1"/>
    <col min="9990" max="9991" width="10.85546875" style="16" bestFit="1" customWidth="1"/>
    <col min="9992" max="9992" width="10.28515625" style="16" bestFit="1" customWidth="1"/>
    <col min="9993" max="9993" width="11.28515625" style="16" bestFit="1" customWidth="1"/>
    <col min="9994" max="9997" width="10.28515625" style="16" customWidth="1"/>
    <col min="9998" max="9998" width="11.85546875" style="16" bestFit="1" customWidth="1"/>
    <col min="9999" max="10000" width="11.28515625" style="16" bestFit="1" customWidth="1"/>
    <col min="10001" max="10001" width="11.85546875" style="16" bestFit="1" customWidth="1"/>
    <col min="10002" max="10004" width="12.85546875" style="16" customWidth="1"/>
    <col min="10005" max="10006" width="11.28515625" style="16" bestFit="1" customWidth="1"/>
    <col min="10007" max="10007" width="1.7109375" style="16" customWidth="1"/>
    <col min="10008" max="10008" width="11.85546875" style="16" bestFit="1" customWidth="1"/>
    <col min="10009" max="10009" width="10.85546875" style="16" bestFit="1" customWidth="1"/>
    <col min="10010" max="10010" width="11.28515625" style="16" customWidth="1"/>
    <col min="10011" max="10011" width="10.5703125" style="16" bestFit="1" customWidth="1"/>
    <col min="10012" max="10012" width="12.85546875" style="16" bestFit="1" customWidth="1"/>
    <col min="10013" max="10240" width="9.140625" style="16"/>
    <col min="10241" max="10241" width="10" style="16" customWidth="1"/>
    <col min="10242" max="10242" width="0" style="16" hidden="1" customWidth="1"/>
    <col min="10243" max="10243" width="28.5703125" style="16" customWidth="1"/>
    <col min="10244" max="10244" width="11.85546875" style="16" bestFit="1" customWidth="1"/>
    <col min="10245" max="10245" width="11.28515625" style="16" bestFit="1" customWidth="1"/>
    <col min="10246" max="10247" width="10.85546875" style="16" bestFit="1" customWidth="1"/>
    <col min="10248" max="10248" width="10.28515625" style="16" bestFit="1" customWidth="1"/>
    <col min="10249" max="10249" width="11.28515625" style="16" bestFit="1" customWidth="1"/>
    <col min="10250" max="10253" width="10.28515625" style="16" customWidth="1"/>
    <col min="10254" max="10254" width="11.85546875" style="16" bestFit="1" customWidth="1"/>
    <col min="10255" max="10256" width="11.28515625" style="16" bestFit="1" customWidth="1"/>
    <col min="10257" max="10257" width="11.85546875" style="16" bestFit="1" customWidth="1"/>
    <col min="10258" max="10260" width="12.85546875" style="16" customWidth="1"/>
    <col min="10261" max="10262" width="11.28515625" style="16" bestFit="1" customWidth="1"/>
    <col min="10263" max="10263" width="1.7109375" style="16" customWidth="1"/>
    <col min="10264" max="10264" width="11.85546875" style="16" bestFit="1" customWidth="1"/>
    <col min="10265" max="10265" width="10.85546875" style="16" bestFit="1" customWidth="1"/>
    <col min="10266" max="10266" width="11.28515625" style="16" customWidth="1"/>
    <col min="10267" max="10267" width="10.5703125" style="16" bestFit="1" customWidth="1"/>
    <col min="10268" max="10268" width="12.85546875" style="16" bestFit="1" customWidth="1"/>
    <col min="10269" max="10496" width="9.140625" style="16"/>
    <col min="10497" max="10497" width="10" style="16" customWidth="1"/>
    <col min="10498" max="10498" width="0" style="16" hidden="1" customWidth="1"/>
    <col min="10499" max="10499" width="28.5703125" style="16" customWidth="1"/>
    <col min="10500" max="10500" width="11.85546875" style="16" bestFit="1" customWidth="1"/>
    <col min="10501" max="10501" width="11.28515625" style="16" bestFit="1" customWidth="1"/>
    <col min="10502" max="10503" width="10.85546875" style="16" bestFit="1" customWidth="1"/>
    <col min="10504" max="10504" width="10.28515625" style="16" bestFit="1" customWidth="1"/>
    <col min="10505" max="10505" width="11.28515625" style="16" bestFit="1" customWidth="1"/>
    <col min="10506" max="10509" width="10.28515625" style="16" customWidth="1"/>
    <col min="10510" max="10510" width="11.85546875" style="16" bestFit="1" customWidth="1"/>
    <col min="10511" max="10512" width="11.28515625" style="16" bestFit="1" customWidth="1"/>
    <col min="10513" max="10513" width="11.85546875" style="16" bestFit="1" customWidth="1"/>
    <col min="10514" max="10516" width="12.85546875" style="16" customWidth="1"/>
    <col min="10517" max="10518" width="11.28515625" style="16" bestFit="1" customWidth="1"/>
    <col min="10519" max="10519" width="1.7109375" style="16" customWidth="1"/>
    <col min="10520" max="10520" width="11.85546875" style="16" bestFit="1" customWidth="1"/>
    <col min="10521" max="10521" width="10.85546875" style="16" bestFit="1" customWidth="1"/>
    <col min="10522" max="10522" width="11.28515625" style="16" customWidth="1"/>
    <col min="10523" max="10523" width="10.5703125" style="16" bestFit="1" customWidth="1"/>
    <col min="10524" max="10524" width="12.85546875" style="16" bestFit="1" customWidth="1"/>
    <col min="10525" max="10752" width="9.140625" style="16"/>
    <col min="10753" max="10753" width="10" style="16" customWidth="1"/>
    <col min="10754" max="10754" width="0" style="16" hidden="1" customWidth="1"/>
    <col min="10755" max="10755" width="28.5703125" style="16" customWidth="1"/>
    <col min="10756" max="10756" width="11.85546875" style="16" bestFit="1" customWidth="1"/>
    <col min="10757" max="10757" width="11.28515625" style="16" bestFit="1" customWidth="1"/>
    <col min="10758" max="10759" width="10.85546875" style="16" bestFit="1" customWidth="1"/>
    <col min="10760" max="10760" width="10.28515625" style="16" bestFit="1" customWidth="1"/>
    <col min="10761" max="10761" width="11.28515625" style="16" bestFit="1" customWidth="1"/>
    <col min="10762" max="10765" width="10.28515625" style="16" customWidth="1"/>
    <col min="10766" max="10766" width="11.85546875" style="16" bestFit="1" customWidth="1"/>
    <col min="10767" max="10768" width="11.28515625" style="16" bestFit="1" customWidth="1"/>
    <col min="10769" max="10769" width="11.85546875" style="16" bestFit="1" customWidth="1"/>
    <col min="10770" max="10772" width="12.85546875" style="16" customWidth="1"/>
    <col min="10773" max="10774" width="11.28515625" style="16" bestFit="1" customWidth="1"/>
    <col min="10775" max="10775" width="1.7109375" style="16" customWidth="1"/>
    <col min="10776" max="10776" width="11.85546875" style="16" bestFit="1" customWidth="1"/>
    <col min="10777" max="10777" width="10.85546875" style="16" bestFit="1" customWidth="1"/>
    <col min="10778" max="10778" width="11.28515625" style="16" customWidth="1"/>
    <col min="10779" max="10779" width="10.5703125" style="16" bestFit="1" customWidth="1"/>
    <col min="10780" max="10780" width="12.85546875" style="16" bestFit="1" customWidth="1"/>
    <col min="10781" max="11008" width="9.140625" style="16"/>
    <col min="11009" max="11009" width="10" style="16" customWidth="1"/>
    <col min="11010" max="11010" width="0" style="16" hidden="1" customWidth="1"/>
    <col min="11011" max="11011" width="28.5703125" style="16" customWidth="1"/>
    <col min="11012" max="11012" width="11.85546875" style="16" bestFit="1" customWidth="1"/>
    <col min="11013" max="11013" width="11.28515625" style="16" bestFit="1" customWidth="1"/>
    <col min="11014" max="11015" width="10.85546875" style="16" bestFit="1" customWidth="1"/>
    <col min="11016" max="11016" width="10.28515625" style="16" bestFit="1" customWidth="1"/>
    <col min="11017" max="11017" width="11.28515625" style="16" bestFit="1" customWidth="1"/>
    <col min="11018" max="11021" width="10.28515625" style="16" customWidth="1"/>
    <col min="11022" max="11022" width="11.85546875" style="16" bestFit="1" customWidth="1"/>
    <col min="11023" max="11024" width="11.28515625" style="16" bestFit="1" customWidth="1"/>
    <col min="11025" max="11025" width="11.85546875" style="16" bestFit="1" customWidth="1"/>
    <col min="11026" max="11028" width="12.85546875" style="16" customWidth="1"/>
    <col min="11029" max="11030" width="11.28515625" style="16" bestFit="1" customWidth="1"/>
    <col min="11031" max="11031" width="1.7109375" style="16" customWidth="1"/>
    <col min="11032" max="11032" width="11.85546875" style="16" bestFit="1" customWidth="1"/>
    <col min="11033" max="11033" width="10.85546875" style="16" bestFit="1" customWidth="1"/>
    <col min="11034" max="11034" width="11.28515625" style="16" customWidth="1"/>
    <col min="11035" max="11035" width="10.5703125" style="16" bestFit="1" customWidth="1"/>
    <col min="11036" max="11036" width="12.85546875" style="16" bestFit="1" customWidth="1"/>
    <col min="11037" max="11264" width="9.140625" style="16"/>
    <col min="11265" max="11265" width="10" style="16" customWidth="1"/>
    <col min="11266" max="11266" width="0" style="16" hidden="1" customWidth="1"/>
    <col min="11267" max="11267" width="28.5703125" style="16" customWidth="1"/>
    <col min="11268" max="11268" width="11.85546875" style="16" bestFit="1" customWidth="1"/>
    <col min="11269" max="11269" width="11.28515625" style="16" bestFit="1" customWidth="1"/>
    <col min="11270" max="11271" width="10.85546875" style="16" bestFit="1" customWidth="1"/>
    <col min="11272" max="11272" width="10.28515625" style="16" bestFit="1" customWidth="1"/>
    <col min="11273" max="11273" width="11.28515625" style="16" bestFit="1" customWidth="1"/>
    <col min="11274" max="11277" width="10.28515625" style="16" customWidth="1"/>
    <col min="11278" max="11278" width="11.85546875" style="16" bestFit="1" customWidth="1"/>
    <col min="11279" max="11280" width="11.28515625" style="16" bestFit="1" customWidth="1"/>
    <col min="11281" max="11281" width="11.85546875" style="16" bestFit="1" customWidth="1"/>
    <col min="11282" max="11284" width="12.85546875" style="16" customWidth="1"/>
    <col min="11285" max="11286" width="11.28515625" style="16" bestFit="1" customWidth="1"/>
    <col min="11287" max="11287" width="1.7109375" style="16" customWidth="1"/>
    <col min="11288" max="11288" width="11.85546875" style="16" bestFit="1" customWidth="1"/>
    <col min="11289" max="11289" width="10.85546875" style="16" bestFit="1" customWidth="1"/>
    <col min="11290" max="11290" width="11.28515625" style="16" customWidth="1"/>
    <col min="11291" max="11291" width="10.5703125" style="16" bestFit="1" customWidth="1"/>
    <col min="11292" max="11292" width="12.85546875" style="16" bestFit="1" customWidth="1"/>
    <col min="11293" max="11520" width="9.140625" style="16"/>
    <col min="11521" max="11521" width="10" style="16" customWidth="1"/>
    <col min="11522" max="11522" width="0" style="16" hidden="1" customWidth="1"/>
    <col min="11523" max="11523" width="28.5703125" style="16" customWidth="1"/>
    <col min="11524" max="11524" width="11.85546875" style="16" bestFit="1" customWidth="1"/>
    <col min="11525" max="11525" width="11.28515625" style="16" bestFit="1" customWidth="1"/>
    <col min="11526" max="11527" width="10.85546875" style="16" bestFit="1" customWidth="1"/>
    <col min="11528" max="11528" width="10.28515625" style="16" bestFit="1" customWidth="1"/>
    <col min="11529" max="11529" width="11.28515625" style="16" bestFit="1" customWidth="1"/>
    <col min="11530" max="11533" width="10.28515625" style="16" customWidth="1"/>
    <col min="11534" max="11534" width="11.85546875" style="16" bestFit="1" customWidth="1"/>
    <col min="11535" max="11536" width="11.28515625" style="16" bestFit="1" customWidth="1"/>
    <col min="11537" max="11537" width="11.85546875" style="16" bestFit="1" customWidth="1"/>
    <col min="11538" max="11540" width="12.85546875" style="16" customWidth="1"/>
    <col min="11541" max="11542" width="11.28515625" style="16" bestFit="1" customWidth="1"/>
    <col min="11543" max="11543" width="1.7109375" style="16" customWidth="1"/>
    <col min="11544" max="11544" width="11.85546875" style="16" bestFit="1" customWidth="1"/>
    <col min="11545" max="11545" width="10.85546875" style="16" bestFit="1" customWidth="1"/>
    <col min="11546" max="11546" width="11.28515625" style="16" customWidth="1"/>
    <col min="11547" max="11547" width="10.5703125" style="16" bestFit="1" customWidth="1"/>
    <col min="11548" max="11548" width="12.85546875" style="16" bestFit="1" customWidth="1"/>
    <col min="11549" max="11776" width="9.140625" style="16"/>
    <col min="11777" max="11777" width="10" style="16" customWidth="1"/>
    <col min="11778" max="11778" width="0" style="16" hidden="1" customWidth="1"/>
    <col min="11779" max="11779" width="28.5703125" style="16" customWidth="1"/>
    <col min="11780" max="11780" width="11.85546875" style="16" bestFit="1" customWidth="1"/>
    <col min="11781" max="11781" width="11.28515625" style="16" bestFit="1" customWidth="1"/>
    <col min="11782" max="11783" width="10.85546875" style="16" bestFit="1" customWidth="1"/>
    <col min="11784" max="11784" width="10.28515625" style="16" bestFit="1" customWidth="1"/>
    <col min="11785" max="11785" width="11.28515625" style="16" bestFit="1" customWidth="1"/>
    <col min="11786" max="11789" width="10.28515625" style="16" customWidth="1"/>
    <col min="11790" max="11790" width="11.85546875" style="16" bestFit="1" customWidth="1"/>
    <col min="11791" max="11792" width="11.28515625" style="16" bestFit="1" customWidth="1"/>
    <col min="11793" max="11793" width="11.85546875" style="16" bestFit="1" customWidth="1"/>
    <col min="11794" max="11796" width="12.85546875" style="16" customWidth="1"/>
    <col min="11797" max="11798" width="11.28515625" style="16" bestFit="1" customWidth="1"/>
    <col min="11799" max="11799" width="1.7109375" style="16" customWidth="1"/>
    <col min="11800" max="11800" width="11.85546875" style="16" bestFit="1" customWidth="1"/>
    <col min="11801" max="11801" width="10.85546875" style="16" bestFit="1" customWidth="1"/>
    <col min="11802" max="11802" width="11.28515625" style="16" customWidth="1"/>
    <col min="11803" max="11803" width="10.5703125" style="16" bestFit="1" customWidth="1"/>
    <col min="11804" max="11804" width="12.85546875" style="16" bestFit="1" customWidth="1"/>
    <col min="11805" max="12032" width="9.140625" style="16"/>
    <col min="12033" max="12033" width="10" style="16" customWidth="1"/>
    <col min="12034" max="12034" width="0" style="16" hidden="1" customWidth="1"/>
    <col min="12035" max="12035" width="28.5703125" style="16" customWidth="1"/>
    <col min="12036" max="12036" width="11.85546875" style="16" bestFit="1" customWidth="1"/>
    <col min="12037" max="12037" width="11.28515625" style="16" bestFit="1" customWidth="1"/>
    <col min="12038" max="12039" width="10.85546875" style="16" bestFit="1" customWidth="1"/>
    <col min="12040" max="12040" width="10.28515625" style="16" bestFit="1" customWidth="1"/>
    <col min="12041" max="12041" width="11.28515625" style="16" bestFit="1" customWidth="1"/>
    <col min="12042" max="12045" width="10.28515625" style="16" customWidth="1"/>
    <col min="12046" max="12046" width="11.85546875" style="16" bestFit="1" customWidth="1"/>
    <col min="12047" max="12048" width="11.28515625" style="16" bestFit="1" customWidth="1"/>
    <col min="12049" max="12049" width="11.85546875" style="16" bestFit="1" customWidth="1"/>
    <col min="12050" max="12052" width="12.85546875" style="16" customWidth="1"/>
    <col min="12053" max="12054" width="11.28515625" style="16" bestFit="1" customWidth="1"/>
    <col min="12055" max="12055" width="1.7109375" style="16" customWidth="1"/>
    <col min="12056" max="12056" width="11.85546875" style="16" bestFit="1" customWidth="1"/>
    <col min="12057" max="12057" width="10.85546875" style="16" bestFit="1" customWidth="1"/>
    <col min="12058" max="12058" width="11.28515625" style="16" customWidth="1"/>
    <col min="12059" max="12059" width="10.5703125" style="16" bestFit="1" customWidth="1"/>
    <col min="12060" max="12060" width="12.85546875" style="16" bestFit="1" customWidth="1"/>
    <col min="12061" max="12288" width="9.140625" style="16"/>
    <col min="12289" max="12289" width="10" style="16" customWidth="1"/>
    <col min="12290" max="12290" width="0" style="16" hidden="1" customWidth="1"/>
    <col min="12291" max="12291" width="28.5703125" style="16" customWidth="1"/>
    <col min="12292" max="12292" width="11.85546875" style="16" bestFit="1" customWidth="1"/>
    <col min="12293" max="12293" width="11.28515625" style="16" bestFit="1" customWidth="1"/>
    <col min="12294" max="12295" width="10.85546875" style="16" bestFit="1" customWidth="1"/>
    <col min="12296" max="12296" width="10.28515625" style="16" bestFit="1" customWidth="1"/>
    <col min="12297" max="12297" width="11.28515625" style="16" bestFit="1" customWidth="1"/>
    <col min="12298" max="12301" width="10.28515625" style="16" customWidth="1"/>
    <col min="12302" max="12302" width="11.85546875" style="16" bestFit="1" customWidth="1"/>
    <col min="12303" max="12304" width="11.28515625" style="16" bestFit="1" customWidth="1"/>
    <col min="12305" max="12305" width="11.85546875" style="16" bestFit="1" customWidth="1"/>
    <col min="12306" max="12308" width="12.85546875" style="16" customWidth="1"/>
    <col min="12309" max="12310" width="11.28515625" style="16" bestFit="1" customWidth="1"/>
    <col min="12311" max="12311" width="1.7109375" style="16" customWidth="1"/>
    <col min="12312" max="12312" width="11.85546875" style="16" bestFit="1" customWidth="1"/>
    <col min="12313" max="12313" width="10.85546875" style="16" bestFit="1" customWidth="1"/>
    <col min="12314" max="12314" width="11.28515625" style="16" customWidth="1"/>
    <col min="12315" max="12315" width="10.5703125" style="16" bestFit="1" customWidth="1"/>
    <col min="12316" max="12316" width="12.85546875" style="16" bestFit="1" customWidth="1"/>
    <col min="12317" max="12544" width="9.140625" style="16"/>
    <col min="12545" max="12545" width="10" style="16" customWidth="1"/>
    <col min="12546" max="12546" width="0" style="16" hidden="1" customWidth="1"/>
    <col min="12547" max="12547" width="28.5703125" style="16" customWidth="1"/>
    <col min="12548" max="12548" width="11.85546875" style="16" bestFit="1" customWidth="1"/>
    <col min="12549" max="12549" width="11.28515625" style="16" bestFit="1" customWidth="1"/>
    <col min="12550" max="12551" width="10.85546875" style="16" bestFit="1" customWidth="1"/>
    <col min="12552" max="12552" width="10.28515625" style="16" bestFit="1" customWidth="1"/>
    <col min="12553" max="12553" width="11.28515625" style="16" bestFit="1" customWidth="1"/>
    <col min="12554" max="12557" width="10.28515625" style="16" customWidth="1"/>
    <col min="12558" max="12558" width="11.85546875" style="16" bestFit="1" customWidth="1"/>
    <col min="12559" max="12560" width="11.28515625" style="16" bestFit="1" customWidth="1"/>
    <col min="12561" max="12561" width="11.85546875" style="16" bestFit="1" customWidth="1"/>
    <col min="12562" max="12564" width="12.85546875" style="16" customWidth="1"/>
    <col min="12565" max="12566" width="11.28515625" style="16" bestFit="1" customWidth="1"/>
    <col min="12567" max="12567" width="1.7109375" style="16" customWidth="1"/>
    <col min="12568" max="12568" width="11.85546875" style="16" bestFit="1" customWidth="1"/>
    <col min="12569" max="12569" width="10.85546875" style="16" bestFit="1" customWidth="1"/>
    <col min="12570" max="12570" width="11.28515625" style="16" customWidth="1"/>
    <col min="12571" max="12571" width="10.5703125" style="16" bestFit="1" customWidth="1"/>
    <col min="12572" max="12572" width="12.85546875" style="16" bestFit="1" customWidth="1"/>
    <col min="12573" max="12800" width="9.140625" style="16"/>
    <col min="12801" max="12801" width="10" style="16" customWidth="1"/>
    <col min="12802" max="12802" width="0" style="16" hidden="1" customWidth="1"/>
    <col min="12803" max="12803" width="28.5703125" style="16" customWidth="1"/>
    <col min="12804" max="12804" width="11.85546875" style="16" bestFit="1" customWidth="1"/>
    <col min="12805" max="12805" width="11.28515625" style="16" bestFit="1" customWidth="1"/>
    <col min="12806" max="12807" width="10.85546875" style="16" bestFit="1" customWidth="1"/>
    <col min="12808" max="12808" width="10.28515625" style="16" bestFit="1" customWidth="1"/>
    <col min="12809" max="12809" width="11.28515625" style="16" bestFit="1" customWidth="1"/>
    <col min="12810" max="12813" width="10.28515625" style="16" customWidth="1"/>
    <col min="12814" max="12814" width="11.85546875" style="16" bestFit="1" customWidth="1"/>
    <col min="12815" max="12816" width="11.28515625" style="16" bestFit="1" customWidth="1"/>
    <col min="12817" max="12817" width="11.85546875" style="16" bestFit="1" customWidth="1"/>
    <col min="12818" max="12820" width="12.85546875" style="16" customWidth="1"/>
    <col min="12821" max="12822" width="11.28515625" style="16" bestFit="1" customWidth="1"/>
    <col min="12823" max="12823" width="1.7109375" style="16" customWidth="1"/>
    <col min="12824" max="12824" width="11.85546875" style="16" bestFit="1" customWidth="1"/>
    <col min="12825" max="12825" width="10.85546875" style="16" bestFit="1" customWidth="1"/>
    <col min="12826" max="12826" width="11.28515625" style="16" customWidth="1"/>
    <col min="12827" max="12827" width="10.5703125" style="16" bestFit="1" customWidth="1"/>
    <col min="12828" max="12828" width="12.85546875" style="16" bestFit="1" customWidth="1"/>
    <col min="12829" max="13056" width="9.140625" style="16"/>
    <col min="13057" max="13057" width="10" style="16" customWidth="1"/>
    <col min="13058" max="13058" width="0" style="16" hidden="1" customWidth="1"/>
    <col min="13059" max="13059" width="28.5703125" style="16" customWidth="1"/>
    <col min="13060" max="13060" width="11.85546875" style="16" bestFit="1" customWidth="1"/>
    <col min="13061" max="13061" width="11.28515625" style="16" bestFit="1" customWidth="1"/>
    <col min="13062" max="13063" width="10.85546875" style="16" bestFit="1" customWidth="1"/>
    <col min="13064" max="13064" width="10.28515625" style="16" bestFit="1" customWidth="1"/>
    <col min="13065" max="13065" width="11.28515625" style="16" bestFit="1" customWidth="1"/>
    <col min="13066" max="13069" width="10.28515625" style="16" customWidth="1"/>
    <col min="13070" max="13070" width="11.85546875" style="16" bestFit="1" customWidth="1"/>
    <col min="13071" max="13072" width="11.28515625" style="16" bestFit="1" customWidth="1"/>
    <col min="13073" max="13073" width="11.85546875" style="16" bestFit="1" customWidth="1"/>
    <col min="13074" max="13076" width="12.85546875" style="16" customWidth="1"/>
    <col min="13077" max="13078" width="11.28515625" style="16" bestFit="1" customWidth="1"/>
    <col min="13079" max="13079" width="1.7109375" style="16" customWidth="1"/>
    <col min="13080" max="13080" width="11.85546875" style="16" bestFit="1" customWidth="1"/>
    <col min="13081" max="13081" width="10.85546875" style="16" bestFit="1" customWidth="1"/>
    <col min="13082" max="13082" width="11.28515625" style="16" customWidth="1"/>
    <col min="13083" max="13083" width="10.5703125" style="16" bestFit="1" customWidth="1"/>
    <col min="13084" max="13084" width="12.85546875" style="16" bestFit="1" customWidth="1"/>
    <col min="13085" max="13312" width="9.140625" style="16"/>
    <col min="13313" max="13313" width="10" style="16" customWidth="1"/>
    <col min="13314" max="13314" width="0" style="16" hidden="1" customWidth="1"/>
    <col min="13315" max="13315" width="28.5703125" style="16" customWidth="1"/>
    <col min="13316" max="13316" width="11.85546875" style="16" bestFit="1" customWidth="1"/>
    <col min="13317" max="13317" width="11.28515625" style="16" bestFit="1" customWidth="1"/>
    <col min="13318" max="13319" width="10.85546875" style="16" bestFit="1" customWidth="1"/>
    <col min="13320" max="13320" width="10.28515625" style="16" bestFit="1" customWidth="1"/>
    <col min="13321" max="13321" width="11.28515625" style="16" bestFit="1" customWidth="1"/>
    <col min="13322" max="13325" width="10.28515625" style="16" customWidth="1"/>
    <col min="13326" max="13326" width="11.85546875" style="16" bestFit="1" customWidth="1"/>
    <col min="13327" max="13328" width="11.28515625" style="16" bestFit="1" customWidth="1"/>
    <col min="13329" max="13329" width="11.85546875" style="16" bestFit="1" customWidth="1"/>
    <col min="13330" max="13332" width="12.85546875" style="16" customWidth="1"/>
    <col min="13333" max="13334" width="11.28515625" style="16" bestFit="1" customWidth="1"/>
    <col min="13335" max="13335" width="1.7109375" style="16" customWidth="1"/>
    <col min="13336" max="13336" width="11.85546875" style="16" bestFit="1" customWidth="1"/>
    <col min="13337" max="13337" width="10.85546875" style="16" bestFit="1" customWidth="1"/>
    <col min="13338" max="13338" width="11.28515625" style="16" customWidth="1"/>
    <col min="13339" max="13339" width="10.5703125" style="16" bestFit="1" customWidth="1"/>
    <col min="13340" max="13340" width="12.85546875" style="16" bestFit="1" customWidth="1"/>
    <col min="13341" max="13568" width="9.140625" style="16"/>
    <col min="13569" max="13569" width="10" style="16" customWidth="1"/>
    <col min="13570" max="13570" width="0" style="16" hidden="1" customWidth="1"/>
    <col min="13571" max="13571" width="28.5703125" style="16" customWidth="1"/>
    <col min="13572" max="13572" width="11.85546875" style="16" bestFit="1" customWidth="1"/>
    <col min="13573" max="13573" width="11.28515625" style="16" bestFit="1" customWidth="1"/>
    <col min="13574" max="13575" width="10.85546875" style="16" bestFit="1" customWidth="1"/>
    <col min="13576" max="13576" width="10.28515625" style="16" bestFit="1" customWidth="1"/>
    <col min="13577" max="13577" width="11.28515625" style="16" bestFit="1" customWidth="1"/>
    <col min="13578" max="13581" width="10.28515625" style="16" customWidth="1"/>
    <col min="13582" max="13582" width="11.85546875" style="16" bestFit="1" customWidth="1"/>
    <col min="13583" max="13584" width="11.28515625" style="16" bestFit="1" customWidth="1"/>
    <col min="13585" max="13585" width="11.85546875" style="16" bestFit="1" customWidth="1"/>
    <col min="13586" max="13588" width="12.85546875" style="16" customWidth="1"/>
    <col min="13589" max="13590" width="11.28515625" style="16" bestFit="1" customWidth="1"/>
    <col min="13591" max="13591" width="1.7109375" style="16" customWidth="1"/>
    <col min="13592" max="13592" width="11.85546875" style="16" bestFit="1" customWidth="1"/>
    <col min="13593" max="13593" width="10.85546875" style="16" bestFit="1" customWidth="1"/>
    <col min="13594" max="13594" width="11.28515625" style="16" customWidth="1"/>
    <col min="13595" max="13595" width="10.5703125" style="16" bestFit="1" customWidth="1"/>
    <col min="13596" max="13596" width="12.85546875" style="16" bestFit="1" customWidth="1"/>
    <col min="13597" max="13824" width="9.140625" style="16"/>
    <col min="13825" max="13825" width="10" style="16" customWidth="1"/>
    <col min="13826" max="13826" width="0" style="16" hidden="1" customWidth="1"/>
    <col min="13827" max="13827" width="28.5703125" style="16" customWidth="1"/>
    <col min="13828" max="13828" width="11.85546875" style="16" bestFit="1" customWidth="1"/>
    <col min="13829" max="13829" width="11.28515625" style="16" bestFit="1" customWidth="1"/>
    <col min="13830" max="13831" width="10.85546875" style="16" bestFit="1" customWidth="1"/>
    <col min="13832" max="13832" width="10.28515625" style="16" bestFit="1" customWidth="1"/>
    <col min="13833" max="13833" width="11.28515625" style="16" bestFit="1" customWidth="1"/>
    <col min="13834" max="13837" width="10.28515625" style="16" customWidth="1"/>
    <col min="13838" max="13838" width="11.85546875" style="16" bestFit="1" customWidth="1"/>
    <col min="13839" max="13840" width="11.28515625" style="16" bestFit="1" customWidth="1"/>
    <col min="13841" max="13841" width="11.85546875" style="16" bestFit="1" customWidth="1"/>
    <col min="13842" max="13844" width="12.85546875" style="16" customWidth="1"/>
    <col min="13845" max="13846" width="11.28515625" style="16" bestFit="1" customWidth="1"/>
    <col min="13847" max="13847" width="1.7109375" style="16" customWidth="1"/>
    <col min="13848" max="13848" width="11.85546875" style="16" bestFit="1" customWidth="1"/>
    <col min="13849" max="13849" width="10.85546875" style="16" bestFit="1" customWidth="1"/>
    <col min="13850" max="13850" width="11.28515625" style="16" customWidth="1"/>
    <col min="13851" max="13851" width="10.5703125" style="16" bestFit="1" customWidth="1"/>
    <col min="13852" max="13852" width="12.85546875" style="16" bestFit="1" customWidth="1"/>
    <col min="13853" max="14080" width="9.140625" style="16"/>
    <col min="14081" max="14081" width="10" style="16" customWidth="1"/>
    <col min="14082" max="14082" width="0" style="16" hidden="1" customWidth="1"/>
    <col min="14083" max="14083" width="28.5703125" style="16" customWidth="1"/>
    <col min="14084" max="14084" width="11.85546875" style="16" bestFit="1" customWidth="1"/>
    <col min="14085" max="14085" width="11.28515625" style="16" bestFit="1" customWidth="1"/>
    <col min="14086" max="14087" width="10.85546875" style="16" bestFit="1" customWidth="1"/>
    <col min="14088" max="14088" width="10.28515625" style="16" bestFit="1" customWidth="1"/>
    <col min="14089" max="14089" width="11.28515625" style="16" bestFit="1" customWidth="1"/>
    <col min="14090" max="14093" width="10.28515625" style="16" customWidth="1"/>
    <col min="14094" max="14094" width="11.85546875" style="16" bestFit="1" customWidth="1"/>
    <col min="14095" max="14096" width="11.28515625" style="16" bestFit="1" customWidth="1"/>
    <col min="14097" max="14097" width="11.85546875" style="16" bestFit="1" customWidth="1"/>
    <col min="14098" max="14100" width="12.85546875" style="16" customWidth="1"/>
    <col min="14101" max="14102" width="11.28515625" style="16" bestFit="1" customWidth="1"/>
    <col min="14103" max="14103" width="1.7109375" style="16" customWidth="1"/>
    <col min="14104" max="14104" width="11.85546875" style="16" bestFit="1" customWidth="1"/>
    <col min="14105" max="14105" width="10.85546875" style="16" bestFit="1" customWidth="1"/>
    <col min="14106" max="14106" width="11.28515625" style="16" customWidth="1"/>
    <col min="14107" max="14107" width="10.5703125" style="16" bestFit="1" customWidth="1"/>
    <col min="14108" max="14108" width="12.85546875" style="16" bestFit="1" customWidth="1"/>
    <col min="14109" max="14336" width="9.140625" style="16"/>
    <col min="14337" max="14337" width="10" style="16" customWidth="1"/>
    <col min="14338" max="14338" width="0" style="16" hidden="1" customWidth="1"/>
    <col min="14339" max="14339" width="28.5703125" style="16" customWidth="1"/>
    <col min="14340" max="14340" width="11.85546875" style="16" bestFit="1" customWidth="1"/>
    <col min="14341" max="14341" width="11.28515625" style="16" bestFit="1" customWidth="1"/>
    <col min="14342" max="14343" width="10.85546875" style="16" bestFit="1" customWidth="1"/>
    <col min="14344" max="14344" width="10.28515625" style="16" bestFit="1" customWidth="1"/>
    <col min="14345" max="14345" width="11.28515625" style="16" bestFit="1" customWidth="1"/>
    <col min="14346" max="14349" width="10.28515625" style="16" customWidth="1"/>
    <col min="14350" max="14350" width="11.85546875" style="16" bestFit="1" customWidth="1"/>
    <col min="14351" max="14352" width="11.28515625" style="16" bestFit="1" customWidth="1"/>
    <col min="14353" max="14353" width="11.85546875" style="16" bestFit="1" customWidth="1"/>
    <col min="14354" max="14356" width="12.85546875" style="16" customWidth="1"/>
    <col min="14357" max="14358" width="11.28515625" style="16" bestFit="1" customWidth="1"/>
    <col min="14359" max="14359" width="1.7109375" style="16" customWidth="1"/>
    <col min="14360" max="14360" width="11.85546875" style="16" bestFit="1" customWidth="1"/>
    <col min="14361" max="14361" width="10.85546875" style="16" bestFit="1" customWidth="1"/>
    <col min="14362" max="14362" width="11.28515625" style="16" customWidth="1"/>
    <col min="14363" max="14363" width="10.5703125" style="16" bestFit="1" customWidth="1"/>
    <col min="14364" max="14364" width="12.85546875" style="16" bestFit="1" customWidth="1"/>
    <col min="14365" max="14592" width="9.140625" style="16"/>
    <col min="14593" max="14593" width="10" style="16" customWidth="1"/>
    <col min="14594" max="14594" width="0" style="16" hidden="1" customWidth="1"/>
    <col min="14595" max="14595" width="28.5703125" style="16" customWidth="1"/>
    <col min="14596" max="14596" width="11.85546875" style="16" bestFit="1" customWidth="1"/>
    <col min="14597" max="14597" width="11.28515625" style="16" bestFit="1" customWidth="1"/>
    <col min="14598" max="14599" width="10.85546875" style="16" bestFit="1" customWidth="1"/>
    <col min="14600" max="14600" width="10.28515625" style="16" bestFit="1" customWidth="1"/>
    <col min="14601" max="14601" width="11.28515625" style="16" bestFit="1" customWidth="1"/>
    <col min="14602" max="14605" width="10.28515625" style="16" customWidth="1"/>
    <col min="14606" max="14606" width="11.85546875" style="16" bestFit="1" customWidth="1"/>
    <col min="14607" max="14608" width="11.28515625" style="16" bestFit="1" customWidth="1"/>
    <col min="14609" max="14609" width="11.85546875" style="16" bestFit="1" customWidth="1"/>
    <col min="14610" max="14612" width="12.85546875" style="16" customWidth="1"/>
    <col min="14613" max="14614" width="11.28515625" style="16" bestFit="1" customWidth="1"/>
    <col min="14615" max="14615" width="1.7109375" style="16" customWidth="1"/>
    <col min="14616" max="14616" width="11.85546875" style="16" bestFit="1" customWidth="1"/>
    <col min="14617" max="14617" width="10.85546875" style="16" bestFit="1" customWidth="1"/>
    <col min="14618" max="14618" width="11.28515625" style="16" customWidth="1"/>
    <col min="14619" max="14619" width="10.5703125" style="16" bestFit="1" customWidth="1"/>
    <col min="14620" max="14620" width="12.85546875" style="16" bestFit="1" customWidth="1"/>
    <col min="14621" max="14848" width="9.140625" style="16"/>
    <col min="14849" max="14849" width="10" style="16" customWidth="1"/>
    <col min="14850" max="14850" width="0" style="16" hidden="1" customWidth="1"/>
    <col min="14851" max="14851" width="28.5703125" style="16" customWidth="1"/>
    <col min="14852" max="14852" width="11.85546875" style="16" bestFit="1" customWidth="1"/>
    <col min="14853" max="14853" width="11.28515625" style="16" bestFit="1" customWidth="1"/>
    <col min="14854" max="14855" width="10.85546875" style="16" bestFit="1" customWidth="1"/>
    <col min="14856" max="14856" width="10.28515625" style="16" bestFit="1" customWidth="1"/>
    <col min="14857" max="14857" width="11.28515625" style="16" bestFit="1" customWidth="1"/>
    <col min="14858" max="14861" width="10.28515625" style="16" customWidth="1"/>
    <col min="14862" max="14862" width="11.85546875" style="16" bestFit="1" customWidth="1"/>
    <col min="14863" max="14864" width="11.28515625" style="16" bestFit="1" customWidth="1"/>
    <col min="14865" max="14865" width="11.85546875" style="16" bestFit="1" customWidth="1"/>
    <col min="14866" max="14868" width="12.85546875" style="16" customWidth="1"/>
    <col min="14869" max="14870" width="11.28515625" style="16" bestFit="1" customWidth="1"/>
    <col min="14871" max="14871" width="1.7109375" style="16" customWidth="1"/>
    <col min="14872" max="14872" width="11.85546875" style="16" bestFit="1" customWidth="1"/>
    <col min="14873" max="14873" width="10.85546875" style="16" bestFit="1" customWidth="1"/>
    <col min="14874" max="14874" width="11.28515625" style="16" customWidth="1"/>
    <col min="14875" max="14875" width="10.5703125" style="16" bestFit="1" customWidth="1"/>
    <col min="14876" max="14876" width="12.85546875" style="16" bestFit="1" customWidth="1"/>
    <col min="14877" max="15104" width="9.140625" style="16"/>
    <col min="15105" max="15105" width="10" style="16" customWidth="1"/>
    <col min="15106" max="15106" width="0" style="16" hidden="1" customWidth="1"/>
    <col min="15107" max="15107" width="28.5703125" style="16" customWidth="1"/>
    <col min="15108" max="15108" width="11.85546875" style="16" bestFit="1" customWidth="1"/>
    <col min="15109" max="15109" width="11.28515625" style="16" bestFit="1" customWidth="1"/>
    <col min="15110" max="15111" width="10.85546875" style="16" bestFit="1" customWidth="1"/>
    <col min="15112" max="15112" width="10.28515625" style="16" bestFit="1" customWidth="1"/>
    <col min="15113" max="15113" width="11.28515625" style="16" bestFit="1" customWidth="1"/>
    <col min="15114" max="15117" width="10.28515625" style="16" customWidth="1"/>
    <col min="15118" max="15118" width="11.85546875" style="16" bestFit="1" customWidth="1"/>
    <col min="15119" max="15120" width="11.28515625" style="16" bestFit="1" customWidth="1"/>
    <col min="15121" max="15121" width="11.85546875" style="16" bestFit="1" customWidth="1"/>
    <col min="15122" max="15124" width="12.85546875" style="16" customWidth="1"/>
    <col min="15125" max="15126" width="11.28515625" style="16" bestFit="1" customWidth="1"/>
    <col min="15127" max="15127" width="1.7109375" style="16" customWidth="1"/>
    <col min="15128" max="15128" width="11.85546875" style="16" bestFit="1" customWidth="1"/>
    <col min="15129" max="15129" width="10.85546875" style="16" bestFit="1" customWidth="1"/>
    <col min="15130" max="15130" width="11.28515625" style="16" customWidth="1"/>
    <col min="15131" max="15131" width="10.5703125" style="16" bestFit="1" customWidth="1"/>
    <col min="15132" max="15132" width="12.85546875" style="16" bestFit="1" customWidth="1"/>
    <col min="15133" max="15360" width="9.140625" style="16"/>
    <col min="15361" max="15361" width="10" style="16" customWidth="1"/>
    <col min="15362" max="15362" width="0" style="16" hidden="1" customWidth="1"/>
    <col min="15363" max="15363" width="28.5703125" style="16" customWidth="1"/>
    <col min="15364" max="15364" width="11.85546875" style="16" bestFit="1" customWidth="1"/>
    <col min="15365" max="15365" width="11.28515625" style="16" bestFit="1" customWidth="1"/>
    <col min="15366" max="15367" width="10.85546875" style="16" bestFit="1" customWidth="1"/>
    <col min="15368" max="15368" width="10.28515625" style="16" bestFit="1" customWidth="1"/>
    <col min="15369" max="15369" width="11.28515625" style="16" bestFit="1" customWidth="1"/>
    <col min="15370" max="15373" width="10.28515625" style="16" customWidth="1"/>
    <col min="15374" max="15374" width="11.85546875" style="16" bestFit="1" customWidth="1"/>
    <col min="15375" max="15376" width="11.28515625" style="16" bestFit="1" customWidth="1"/>
    <col min="15377" max="15377" width="11.85546875" style="16" bestFit="1" customWidth="1"/>
    <col min="15378" max="15380" width="12.85546875" style="16" customWidth="1"/>
    <col min="15381" max="15382" width="11.28515625" style="16" bestFit="1" customWidth="1"/>
    <col min="15383" max="15383" width="1.7109375" style="16" customWidth="1"/>
    <col min="15384" max="15384" width="11.85546875" style="16" bestFit="1" customWidth="1"/>
    <col min="15385" max="15385" width="10.85546875" style="16" bestFit="1" customWidth="1"/>
    <col min="15386" max="15386" width="11.28515625" style="16" customWidth="1"/>
    <col min="15387" max="15387" width="10.5703125" style="16" bestFit="1" customWidth="1"/>
    <col min="15388" max="15388" width="12.85546875" style="16" bestFit="1" customWidth="1"/>
    <col min="15389" max="15616" width="9.140625" style="16"/>
    <col min="15617" max="15617" width="10" style="16" customWidth="1"/>
    <col min="15618" max="15618" width="0" style="16" hidden="1" customWidth="1"/>
    <col min="15619" max="15619" width="28.5703125" style="16" customWidth="1"/>
    <col min="15620" max="15620" width="11.85546875" style="16" bestFit="1" customWidth="1"/>
    <col min="15621" max="15621" width="11.28515625" style="16" bestFit="1" customWidth="1"/>
    <col min="15622" max="15623" width="10.85546875" style="16" bestFit="1" customWidth="1"/>
    <col min="15624" max="15624" width="10.28515625" style="16" bestFit="1" customWidth="1"/>
    <col min="15625" max="15625" width="11.28515625" style="16" bestFit="1" customWidth="1"/>
    <col min="15626" max="15629" width="10.28515625" style="16" customWidth="1"/>
    <col min="15630" max="15630" width="11.85546875" style="16" bestFit="1" customWidth="1"/>
    <col min="15631" max="15632" width="11.28515625" style="16" bestFit="1" customWidth="1"/>
    <col min="15633" max="15633" width="11.85546875" style="16" bestFit="1" customWidth="1"/>
    <col min="15634" max="15636" width="12.85546875" style="16" customWidth="1"/>
    <col min="15637" max="15638" width="11.28515625" style="16" bestFit="1" customWidth="1"/>
    <col min="15639" max="15639" width="1.7109375" style="16" customWidth="1"/>
    <col min="15640" max="15640" width="11.85546875" style="16" bestFit="1" customWidth="1"/>
    <col min="15641" max="15641" width="10.85546875" style="16" bestFit="1" customWidth="1"/>
    <col min="15642" max="15642" width="11.28515625" style="16" customWidth="1"/>
    <col min="15643" max="15643" width="10.5703125" style="16" bestFit="1" customWidth="1"/>
    <col min="15644" max="15644" width="12.85546875" style="16" bestFit="1" customWidth="1"/>
    <col min="15645" max="15872" width="9.140625" style="16"/>
    <col min="15873" max="15873" width="10" style="16" customWidth="1"/>
    <col min="15874" max="15874" width="0" style="16" hidden="1" customWidth="1"/>
    <col min="15875" max="15875" width="28.5703125" style="16" customWidth="1"/>
    <col min="15876" max="15876" width="11.85546875" style="16" bestFit="1" customWidth="1"/>
    <col min="15877" max="15877" width="11.28515625" style="16" bestFit="1" customWidth="1"/>
    <col min="15878" max="15879" width="10.85546875" style="16" bestFit="1" customWidth="1"/>
    <col min="15880" max="15880" width="10.28515625" style="16" bestFit="1" customWidth="1"/>
    <col min="15881" max="15881" width="11.28515625" style="16" bestFit="1" customWidth="1"/>
    <col min="15882" max="15885" width="10.28515625" style="16" customWidth="1"/>
    <col min="15886" max="15886" width="11.85546875" style="16" bestFit="1" customWidth="1"/>
    <col min="15887" max="15888" width="11.28515625" style="16" bestFit="1" customWidth="1"/>
    <col min="15889" max="15889" width="11.85546875" style="16" bestFit="1" customWidth="1"/>
    <col min="15890" max="15892" width="12.85546875" style="16" customWidth="1"/>
    <col min="15893" max="15894" width="11.28515625" style="16" bestFit="1" customWidth="1"/>
    <col min="15895" max="15895" width="1.7109375" style="16" customWidth="1"/>
    <col min="15896" max="15896" width="11.85546875" style="16" bestFit="1" customWidth="1"/>
    <col min="15897" max="15897" width="10.85546875" style="16" bestFit="1" customWidth="1"/>
    <col min="15898" max="15898" width="11.28515625" style="16" customWidth="1"/>
    <col min="15899" max="15899" width="10.5703125" style="16" bestFit="1" customWidth="1"/>
    <col min="15900" max="15900" width="12.85546875" style="16" bestFit="1" customWidth="1"/>
    <col min="15901" max="16128" width="9.140625" style="16"/>
    <col min="16129" max="16129" width="10" style="16" customWidth="1"/>
    <col min="16130" max="16130" width="0" style="16" hidden="1" customWidth="1"/>
    <col min="16131" max="16131" width="28.5703125" style="16" customWidth="1"/>
    <col min="16132" max="16132" width="11.85546875" style="16" bestFit="1" customWidth="1"/>
    <col min="16133" max="16133" width="11.28515625" style="16" bestFit="1" customWidth="1"/>
    <col min="16134" max="16135" width="10.85546875" style="16" bestFit="1" customWidth="1"/>
    <col min="16136" max="16136" width="10.28515625" style="16" bestFit="1" customWidth="1"/>
    <col min="16137" max="16137" width="11.28515625" style="16" bestFit="1" customWidth="1"/>
    <col min="16138" max="16141" width="10.28515625" style="16" customWidth="1"/>
    <col min="16142" max="16142" width="11.85546875" style="16" bestFit="1" customWidth="1"/>
    <col min="16143" max="16144" width="11.28515625" style="16" bestFit="1" customWidth="1"/>
    <col min="16145" max="16145" width="11.85546875" style="16" bestFit="1" customWidth="1"/>
    <col min="16146" max="16148" width="12.85546875" style="16" customWidth="1"/>
    <col min="16149" max="16150" width="11.28515625" style="16" bestFit="1" customWidth="1"/>
    <col min="16151" max="16151" width="1.7109375" style="16" customWidth="1"/>
    <col min="16152" max="16152" width="11.85546875" style="16" bestFit="1" customWidth="1"/>
    <col min="16153" max="16153" width="10.85546875" style="16" bestFit="1" customWidth="1"/>
    <col min="16154" max="16154" width="11.28515625" style="16" customWidth="1"/>
    <col min="16155" max="16155" width="10.5703125" style="16" bestFit="1" customWidth="1"/>
    <col min="16156" max="16156" width="12.85546875" style="16" bestFit="1" customWidth="1"/>
    <col min="16157" max="16384" width="9.140625" style="16"/>
  </cols>
  <sheetData>
    <row r="1" spans="1:28" ht="13.5" customHeight="1" x14ac:dyDescent="0.2">
      <c r="A1" s="17" t="s">
        <v>10</v>
      </c>
      <c r="B1" s="17"/>
      <c r="C1" s="15"/>
      <c r="D1" s="15"/>
      <c r="E1" s="15"/>
    </row>
    <row r="2" spans="1:28" ht="13.5" customHeight="1" x14ac:dyDescent="0.2">
      <c r="A2" s="17"/>
      <c r="B2" s="17"/>
      <c r="C2" s="15"/>
      <c r="D2" s="15"/>
      <c r="E2" s="15"/>
    </row>
    <row r="3" spans="1:28" ht="13.5" customHeight="1" x14ac:dyDescent="0.2">
      <c r="A3" s="17" t="s">
        <v>93</v>
      </c>
      <c r="B3" s="17"/>
      <c r="C3" s="15"/>
      <c r="D3" s="15"/>
      <c r="E3" s="15"/>
      <c r="Z3" s="40"/>
    </row>
    <row r="4" spans="1:28" ht="13.5" customHeight="1" x14ac:dyDescent="0.2">
      <c r="A4" s="19"/>
      <c r="B4" s="19"/>
      <c r="C4" s="15"/>
      <c r="D4" s="15"/>
      <c r="E4" s="41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</row>
    <row r="5" spans="1:28" ht="13.5" customHeight="1" x14ac:dyDescent="0.2">
      <c r="F5" s="18"/>
      <c r="G5" s="18"/>
      <c r="H5" s="18"/>
      <c r="I5" s="18"/>
      <c r="J5" s="18"/>
      <c r="K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</row>
    <row r="6" spans="1:28" ht="41.25" customHeight="1" x14ac:dyDescent="0.2">
      <c r="A6" s="21" t="s">
        <v>24</v>
      </c>
      <c r="B6" s="21" t="s">
        <v>53</v>
      </c>
      <c r="C6" s="22" t="s">
        <v>21</v>
      </c>
      <c r="D6" s="32" t="s">
        <v>26</v>
      </c>
      <c r="E6" s="98" t="s">
        <v>28</v>
      </c>
      <c r="F6" s="98"/>
      <c r="G6" s="32" t="s">
        <v>25</v>
      </c>
      <c r="H6" s="32" t="s">
        <v>61</v>
      </c>
      <c r="I6" s="32" t="s">
        <v>91</v>
      </c>
      <c r="J6" s="32" t="s">
        <v>46</v>
      </c>
      <c r="K6" s="32" t="s">
        <v>47</v>
      </c>
      <c r="L6" s="32" t="s">
        <v>55</v>
      </c>
      <c r="M6" s="32" t="s">
        <v>92</v>
      </c>
      <c r="N6" s="32"/>
      <c r="O6" s="32"/>
      <c r="P6" s="34"/>
      <c r="Q6" s="49" t="s">
        <v>48</v>
      </c>
      <c r="R6" s="32" t="s">
        <v>29</v>
      </c>
      <c r="S6" s="32" t="s">
        <v>39</v>
      </c>
      <c r="T6" s="32" t="s">
        <v>74</v>
      </c>
      <c r="U6" s="32" t="s">
        <v>40</v>
      </c>
      <c r="V6" s="32" t="s">
        <v>49</v>
      </c>
      <c r="W6" s="32" t="s">
        <v>50</v>
      </c>
      <c r="X6" s="32" t="s">
        <v>51</v>
      </c>
      <c r="Y6" s="32" t="s">
        <v>52</v>
      </c>
      <c r="Z6" s="32" t="s">
        <v>42</v>
      </c>
      <c r="AA6" s="32"/>
      <c r="AB6" s="23" t="s">
        <v>22</v>
      </c>
    </row>
    <row r="7" spans="1:28" ht="13.5" customHeight="1" x14ac:dyDescent="0.2">
      <c r="D7" s="18" t="s">
        <v>23</v>
      </c>
      <c r="E7" s="18" t="s">
        <v>27</v>
      </c>
      <c r="F7" s="18" t="s">
        <v>23</v>
      </c>
      <c r="G7" s="18" t="s">
        <v>23</v>
      </c>
      <c r="H7" s="18" t="s">
        <v>23</v>
      </c>
      <c r="I7" s="18"/>
      <c r="J7" s="18" t="s">
        <v>23</v>
      </c>
      <c r="K7" s="18" t="s">
        <v>23</v>
      </c>
      <c r="L7" s="18" t="s">
        <v>23</v>
      </c>
      <c r="M7" s="18" t="s">
        <v>23</v>
      </c>
      <c r="N7" s="18" t="s">
        <v>23</v>
      </c>
      <c r="O7" s="18" t="s">
        <v>23</v>
      </c>
      <c r="P7" s="35"/>
      <c r="Q7" s="18" t="s">
        <v>23</v>
      </c>
      <c r="R7" s="18" t="s">
        <v>23</v>
      </c>
      <c r="S7" s="18" t="s">
        <v>23</v>
      </c>
      <c r="T7" s="18" t="s">
        <v>23</v>
      </c>
      <c r="U7" s="18" t="s">
        <v>23</v>
      </c>
      <c r="V7" s="18" t="s">
        <v>23</v>
      </c>
      <c r="W7" s="18" t="s">
        <v>23</v>
      </c>
      <c r="X7" s="18" t="s">
        <v>23</v>
      </c>
      <c r="Y7" s="18" t="s">
        <v>23</v>
      </c>
      <c r="Z7" s="18" t="s">
        <v>23</v>
      </c>
      <c r="AA7" s="18" t="s">
        <v>23</v>
      </c>
      <c r="AB7" s="18" t="s">
        <v>23</v>
      </c>
    </row>
    <row r="8" spans="1:28" ht="13.5" customHeight="1" x14ac:dyDescent="0.2">
      <c r="D8" s="26"/>
      <c r="E8" s="26"/>
      <c r="F8" s="26"/>
      <c r="P8" s="36"/>
    </row>
    <row r="9" spans="1:28" ht="13.5" customHeight="1" x14ac:dyDescent="0.2">
      <c r="A9" s="24">
        <v>45078</v>
      </c>
      <c r="B9" s="24"/>
      <c r="C9" s="16" t="s">
        <v>72</v>
      </c>
      <c r="D9" s="26">
        <v>10862.820000000009</v>
      </c>
      <c r="E9" s="26">
        <v>248.50066058128141</v>
      </c>
      <c r="F9" s="26">
        <v>341.79697599989208</v>
      </c>
      <c r="G9" s="26">
        <v>-10000</v>
      </c>
      <c r="H9" s="26">
        <v>275.38</v>
      </c>
      <c r="I9" s="26">
        <v>2312380</v>
      </c>
      <c r="J9" s="25">
        <v>4570</v>
      </c>
      <c r="K9" s="25">
        <v>-6050</v>
      </c>
      <c r="L9" s="25">
        <v>0</v>
      </c>
      <c r="M9" s="25">
        <v>-2312380</v>
      </c>
      <c r="N9" s="25"/>
      <c r="O9" s="25"/>
      <c r="P9" s="37"/>
      <c r="Q9" s="25"/>
      <c r="R9" s="25"/>
      <c r="S9" s="25"/>
      <c r="T9" s="25"/>
      <c r="U9" s="25"/>
      <c r="V9" s="25"/>
      <c r="W9" s="25"/>
      <c r="X9" s="25"/>
      <c r="Y9" s="25"/>
      <c r="Z9" s="26"/>
      <c r="AA9" s="26"/>
      <c r="AB9" s="26">
        <f t="shared" ref="AB9:AB26" si="0">SUM(D9:AA9)</f>
        <v>248.49763658130541</v>
      </c>
    </row>
    <row r="10" spans="1:28" ht="13.5" customHeight="1" x14ac:dyDescent="0.2">
      <c r="A10" s="24">
        <v>45082</v>
      </c>
      <c r="B10" s="24"/>
      <c r="C10" s="16" t="s">
        <v>39</v>
      </c>
      <c r="D10" s="26">
        <v>-10</v>
      </c>
      <c r="E10" s="26"/>
      <c r="F10" s="26"/>
      <c r="G10" s="25"/>
      <c r="H10" s="25"/>
      <c r="I10" s="25"/>
      <c r="J10" s="25"/>
      <c r="K10" s="25"/>
      <c r="L10" s="25"/>
      <c r="M10" s="25"/>
      <c r="N10" s="25"/>
      <c r="O10" s="25"/>
      <c r="P10" s="37"/>
      <c r="Q10" s="25"/>
      <c r="R10" s="25"/>
      <c r="S10" s="25">
        <f>-D10</f>
        <v>10</v>
      </c>
      <c r="T10" s="25"/>
      <c r="U10" s="25"/>
      <c r="V10" s="25"/>
      <c r="W10" s="25"/>
      <c r="X10" s="25"/>
      <c r="Y10" s="25"/>
      <c r="Z10" s="25"/>
      <c r="AB10" s="26">
        <f t="shared" si="0"/>
        <v>0</v>
      </c>
    </row>
    <row r="11" spans="1:28" ht="13.5" customHeight="1" x14ac:dyDescent="0.2">
      <c r="A11" s="24">
        <v>45092</v>
      </c>
      <c r="B11" s="24"/>
      <c r="C11" s="16" t="s">
        <v>94</v>
      </c>
      <c r="D11" s="26">
        <v>-2376</v>
      </c>
      <c r="E11" s="26"/>
      <c r="F11" s="26"/>
      <c r="G11" s="25"/>
      <c r="H11" s="25"/>
      <c r="I11" s="25"/>
      <c r="J11" s="25"/>
      <c r="K11" s="25"/>
      <c r="L11" s="25"/>
      <c r="M11" s="25"/>
      <c r="N11" s="25"/>
      <c r="O11" s="25"/>
      <c r="P11" s="37"/>
      <c r="Q11" s="25"/>
      <c r="R11" s="25"/>
      <c r="S11" s="25"/>
      <c r="T11" s="25"/>
      <c r="U11" s="25"/>
      <c r="V11" s="25">
        <f>-D11</f>
        <v>2376</v>
      </c>
      <c r="W11" s="25"/>
      <c r="X11" s="25"/>
      <c r="Y11" s="25"/>
      <c r="Z11" s="25"/>
      <c r="AB11" s="26">
        <f t="shared" si="0"/>
        <v>0</v>
      </c>
    </row>
    <row r="12" spans="1:28" ht="13.5" customHeight="1" x14ac:dyDescent="0.2">
      <c r="A12" s="24">
        <v>45092</v>
      </c>
      <c r="B12" s="24"/>
      <c r="C12" s="20" t="s">
        <v>95</v>
      </c>
      <c r="D12" s="26">
        <v>2700</v>
      </c>
      <c r="E12" s="26"/>
      <c r="F12" s="26"/>
      <c r="G12" s="25"/>
      <c r="H12" s="25"/>
      <c r="I12" s="25"/>
      <c r="J12" s="25"/>
      <c r="K12" s="25"/>
      <c r="L12" s="25"/>
      <c r="M12" s="25"/>
      <c r="N12" s="25"/>
      <c r="O12" s="25"/>
      <c r="P12" s="37"/>
      <c r="Q12" s="25">
        <f>-D12</f>
        <v>-2700</v>
      </c>
      <c r="R12" s="25"/>
      <c r="S12" s="25"/>
      <c r="T12" s="25"/>
      <c r="U12" s="25"/>
      <c r="V12" s="25"/>
      <c r="W12" s="25"/>
      <c r="X12" s="25"/>
      <c r="Y12" s="25"/>
      <c r="Z12" s="25"/>
      <c r="AB12" s="26">
        <f t="shared" si="0"/>
        <v>0</v>
      </c>
    </row>
    <row r="13" spans="1:28" ht="13.5" customHeight="1" x14ac:dyDescent="0.2">
      <c r="A13" s="24">
        <v>45104</v>
      </c>
      <c r="B13" s="24"/>
      <c r="C13" s="16" t="s">
        <v>103</v>
      </c>
      <c r="D13" s="26">
        <v>-109</v>
      </c>
      <c r="E13" s="26"/>
      <c r="F13" s="26"/>
      <c r="G13" s="25"/>
      <c r="H13" s="25"/>
      <c r="I13" s="25"/>
      <c r="J13" s="25"/>
      <c r="K13" s="25"/>
      <c r="L13" s="25"/>
      <c r="M13" s="25"/>
      <c r="N13" s="25"/>
      <c r="O13" s="25"/>
      <c r="P13" s="37"/>
      <c r="Q13" s="25"/>
      <c r="R13" s="25"/>
      <c r="S13" s="25"/>
      <c r="T13" s="25"/>
      <c r="U13" s="25"/>
      <c r="V13" s="25"/>
      <c r="W13" s="25">
        <f>-D13</f>
        <v>109</v>
      </c>
      <c r="X13" s="25"/>
      <c r="Y13" s="25"/>
      <c r="Z13" s="25"/>
      <c r="AB13" s="26">
        <f t="shared" si="0"/>
        <v>0</v>
      </c>
    </row>
    <row r="14" spans="1:28" ht="13.5" customHeight="1" x14ac:dyDescent="0.2">
      <c r="A14" s="24">
        <v>45106</v>
      </c>
      <c r="B14" s="24"/>
      <c r="C14" s="20" t="s">
        <v>96</v>
      </c>
      <c r="D14" s="26">
        <v>-50</v>
      </c>
      <c r="E14" s="26"/>
      <c r="F14" s="26"/>
      <c r="G14" s="25"/>
      <c r="H14" s="25"/>
      <c r="I14" s="25"/>
      <c r="J14" s="25"/>
      <c r="K14" s="25"/>
      <c r="L14" s="25"/>
      <c r="M14" s="25"/>
      <c r="N14" s="25"/>
      <c r="O14" s="25"/>
      <c r="P14" s="37"/>
      <c r="Q14" s="25"/>
      <c r="R14" s="25"/>
      <c r="S14" s="25"/>
      <c r="T14" s="25"/>
      <c r="U14" s="25">
        <v>50</v>
      </c>
      <c r="V14" s="25"/>
      <c r="W14" s="25"/>
      <c r="X14" s="25"/>
      <c r="Y14" s="25"/>
      <c r="Z14" s="25"/>
      <c r="AB14" s="26">
        <f t="shared" si="0"/>
        <v>0</v>
      </c>
    </row>
    <row r="15" spans="1:28" ht="13.5" customHeight="1" x14ac:dyDescent="0.2">
      <c r="A15" s="24">
        <v>45110</v>
      </c>
      <c r="B15" s="24"/>
      <c r="C15" s="16" t="s">
        <v>39</v>
      </c>
      <c r="D15" s="26">
        <v>-10</v>
      </c>
      <c r="E15" s="26"/>
      <c r="F15" s="26"/>
      <c r="G15" s="25"/>
      <c r="H15" s="25"/>
      <c r="I15" s="25"/>
      <c r="J15" s="25"/>
      <c r="K15" s="25"/>
      <c r="L15" s="25"/>
      <c r="M15" s="25"/>
      <c r="N15" s="25"/>
      <c r="O15" s="25"/>
      <c r="P15" s="37"/>
      <c r="Q15" s="25"/>
      <c r="R15" s="25"/>
      <c r="S15" s="25">
        <f>-D15</f>
        <v>10</v>
      </c>
      <c r="T15" s="25"/>
      <c r="U15" s="25"/>
      <c r="V15" s="25"/>
      <c r="W15" s="25"/>
      <c r="X15" s="25"/>
      <c r="Y15" s="25"/>
      <c r="Z15" s="25"/>
      <c r="AB15" s="26">
        <f t="shared" ref="AB15" si="1">SUM(D15:AA15)</f>
        <v>0</v>
      </c>
    </row>
    <row r="16" spans="1:28" ht="13.5" customHeight="1" x14ac:dyDescent="0.2">
      <c r="A16" s="24">
        <v>45117</v>
      </c>
      <c r="B16" s="24"/>
      <c r="C16" s="16" t="s">
        <v>73</v>
      </c>
      <c r="D16" s="26">
        <v>-129.46</v>
      </c>
      <c r="E16" s="26"/>
      <c r="F16" s="26"/>
      <c r="G16" s="25"/>
      <c r="H16" s="25"/>
      <c r="I16" s="25"/>
      <c r="J16" s="25"/>
      <c r="K16" s="25"/>
      <c r="L16" s="25"/>
      <c r="M16" s="25"/>
      <c r="N16" s="25"/>
      <c r="O16" s="25"/>
      <c r="P16" s="37"/>
      <c r="Q16" s="25"/>
      <c r="R16" s="25"/>
      <c r="S16" s="25"/>
      <c r="T16" s="25"/>
      <c r="U16" s="25"/>
      <c r="V16" s="25"/>
      <c r="W16" s="25"/>
      <c r="X16" s="25"/>
      <c r="Y16" s="25">
        <f>-D16</f>
        <v>129.46</v>
      </c>
      <c r="Z16" s="25"/>
      <c r="AB16" s="26">
        <f t="shared" ref="AB16" si="2">SUM(D16:AA16)</f>
        <v>0</v>
      </c>
    </row>
    <row r="17" spans="1:28" ht="13.5" customHeight="1" x14ac:dyDescent="0.2">
      <c r="A17" s="24">
        <f>A16</f>
        <v>45117</v>
      </c>
      <c r="B17" s="24"/>
      <c r="C17" s="20" t="s">
        <v>41</v>
      </c>
      <c r="D17" s="26">
        <v>16.8</v>
      </c>
      <c r="E17" s="26"/>
      <c r="F17" s="26"/>
      <c r="G17" s="25"/>
      <c r="H17" s="25"/>
      <c r="I17" s="25"/>
      <c r="J17" s="25"/>
      <c r="K17" s="25"/>
      <c r="L17" s="25"/>
      <c r="M17" s="25"/>
      <c r="N17" s="25"/>
      <c r="O17" s="25"/>
      <c r="P17" s="37"/>
      <c r="Q17" s="25"/>
      <c r="R17" s="25">
        <f>-D17</f>
        <v>-16.8</v>
      </c>
      <c r="S17" s="25"/>
      <c r="T17" s="25"/>
      <c r="U17" s="25"/>
      <c r="V17" s="25"/>
      <c r="W17" s="25"/>
      <c r="X17" s="25"/>
      <c r="Y17" s="25"/>
      <c r="Z17" s="25"/>
      <c r="AB17" s="26">
        <f t="shared" ref="AB17" si="3">SUM(D17:AA17)</f>
        <v>0</v>
      </c>
    </row>
    <row r="18" spans="1:28" ht="13.5" customHeight="1" x14ac:dyDescent="0.2">
      <c r="A18" s="24">
        <v>45124</v>
      </c>
      <c r="B18" s="24"/>
      <c r="C18" s="16" t="s">
        <v>97</v>
      </c>
      <c r="D18" s="26">
        <v>4400</v>
      </c>
      <c r="E18" s="26"/>
      <c r="F18" s="26"/>
      <c r="G18" s="25"/>
      <c r="H18" s="25"/>
      <c r="I18" s="25"/>
      <c r="J18" s="25">
        <f>-D18</f>
        <v>-4400</v>
      </c>
      <c r="K18" s="25"/>
      <c r="L18" s="25"/>
      <c r="M18" s="25"/>
      <c r="N18" s="25"/>
      <c r="O18" s="25"/>
      <c r="P18" s="37"/>
      <c r="Q18" s="25"/>
      <c r="R18" s="25"/>
      <c r="S18" s="25"/>
      <c r="T18" s="25"/>
      <c r="U18" s="25"/>
      <c r="V18" s="25"/>
      <c r="W18" s="25"/>
      <c r="X18" s="25"/>
      <c r="Y18" s="25"/>
      <c r="Z18" s="25"/>
      <c r="AB18" s="26">
        <f t="shared" si="0"/>
        <v>0</v>
      </c>
    </row>
    <row r="19" spans="1:28" ht="13.5" customHeight="1" x14ac:dyDescent="0.2">
      <c r="A19" s="24">
        <f>A18</f>
        <v>45124</v>
      </c>
      <c r="B19" s="24"/>
      <c r="C19" s="20" t="s">
        <v>98</v>
      </c>
      <c r="D19" s="26">
        <v>-4400</v>
      </c>
      <c r="E19" s="26"/>
      <c r="F19" s="26"/>
      <c r="G19" s="25"/>
      <c r="H19" s="25"/>
      <c r="I19" s="25"/>
      <c r="J19" s="25"/>
      <c r="K19" s="25">
        <f>-D19</f>
        <v>4400</v>
      </c>
      <c r="L19" s="25"/>
      <c r="M19" s="25"/>
      <c r="N19" s="25"/>
      <c r="O19" s="25"/>
      <c r="P19" s="37"/>
      <c r="Q19" s="25"/>
      <c r="R19" s="25"/>
      <c r="S19" s="25"/>
      <c r="T19" s="25"/>
      <c r="U19" s="25"/>
      <c r="V19" s="25"/>
      <c r="W19" s="25"/>
      <c r="X19" s="25"/>
      <c r="Y19" s="25"/>
      <c r="Z19" s="25"/>
      <c r="AB19" s="26">
        <f t="shared" si="0"/>
        <v>0</v>
      </c>
    </row>
    <row r="20" spans="1:28" ht="13.5" customHeight="1" x14ac:dyDescent="0.2">
      <c r="A20" s="24">
        <v>45134</v>
      </c>
      <c r="B20" s="24"/>
      <c r="C20" s="16" t="s">
        <v>99</v>
      </c>
      <c r="D20" s="26">
        <v>90.46</v>
      </c>
      <c r="E20" s="26"/>
      <c r="F20" s="26"/>
      <c r="G20" s="25"/>
      <c r="H20" s="25"/>
      <c r="I20" s="25"/>
      <c r="J20" s="25">
        <f>-D20</f>
        <v>-90.46</v>
      </c>
      <c r="K20" s="33"/>
      <c r="L20" s="25"/>
      <c r="M20" s="25"/>
      <c r="N20" s="25"/>
      <c r="O20" s="25"/>
      <c r="P20" s="37"/>
      <c r="Q20" s="25"/>
      <c r="R20" s="25"/>
      <c r="S20" s="25"/>
      <c r="T20" s="25"/>
      <c r="U20" s="25"/>
      <c r="V20" s="25"/>
      <c r="W20" s="25"/>
      <c r="X20" s="25"/>
      <c r="Y20" s="25"/>
      <c r="Z20" s="25"/>
      <c r="AB20" s="26">
        <f t="shared" si="0"/>
        <v>0</v>
      </c>
    </row>
    <row r="21" spans="1:28" ht="13.5" customHeight="1" x14ac:dyDescent="0.2">
      <c r="A21" s="24">
        <v>45141</v>
      </c>
      <c r="B21" s="24"/>
      <c r="C21" s="16" t="s">
        <v>39</v>
      </c>
      <c r="D21" s="26">
        <v>-10</v>
      </c>
      <c r="E21" s="26"/>
      <c r="F21" s="26"/>
      <c r="G21" s="25"/>
      <c r="H21" s="25"/>
      <c r="I21" s="25"/>
      <c r="J21" s="25"/>
      <c r="K21" s="25"/>
      <c r="L21" s="25"/>
      <c r="M21" s="25"/>
      <c r="N21" s="25"/>
      <c r="O21" s="25"/>
      <c r="P21" s="37"/>
      <c r="Q21" s="25"/>
      <c r="R21" s="25"/>
      <c r="S21" s="25">
        <f>-D21</f>
        <v>10</v>
      </c>
      <c r="T21" s="25"/>
      <c r="U21" s="25"/>
      <c r="V21" s="25"/>
      <c r="W21" s="25"/>
      <c r="X21" s="25"/>
      <c r="Y21" s="25"/>
      <c r="Z21" s="25"/>
      <c r="AB21" s="26">
        <f t="shared" si="0"/>
        <v>0</v>
      </c>
    </row>
    <row r="22" spans="1:28" ht="13.5" customHeight="1" x14ac:dyDescent="0.2">
      <c r="A22" s="24">
        <v>45160</v>
      </c>
      <c r="B22" s="24" t="s">
        <v>100</v>
      </c>
      <c r="C22" s="16" t="s">
        <v>101</v>
      </c>
      <c r="D22" s="26">
        <v>-492</v>
      </c>
      <c r="E22" s="26"/>
      <c r="F22" s="26"/>
      <c r="G22" s="25"/>
      <c r="H22" s="25"/>
      <c r="I22" s="25"/>
      <c r="J22" s="25"/>
      <c r="K22" s="25"/>
      <c r="L22" s="25"/>
      <c r="M22" s="25"/>
      <c r="N22" s="25"/>
      <c r="O22" s="25"/>
      <c r="P22" s="37"/>
      <c r="Q22" s="25"/>
      <c r="R22" s="25"/>
      <c r="S22" s="25"/>
      <c r="T22" s="25">
        <f>-D22</f>
        <v>492</v>
      </c>
      <c r="U22" s="25"/>
      <c r="V22" s="25"/>
      <c r="W22" s="25"/>
      <c r="X22" s="25"/>
      <c r="Y22" s="25"/>
      <c r="Z22" s="25"/>
      <c r="AB22" s="26">
        <f t="shared" si="0"/>
        <v>0</v>
      </c>
    </row>
    <row r="23" spans="1:28" ht="13.5" customHeight="1" x14ac:dyDescent="0.2">
      <c r="A23" s="24">
        <v>45160</v>
      </c>
      <c r="B23" s="24"/>
      <c r="C23" s="16" t="s">
        <v>102</v>
      </c>
      <c r="D23" s="26">
        <v>-300</v>
      </c>
      <c r="E23" s="26"/>
      <c r="F23" s="26"/>
      <c r="G23" s="25"/>
      <c r="H23" s="25"/>
      <c r="I23" s="25"/>
      <c r="J23" s="25"/>
      <c r="K23" s="25"/>
      <c r="L23" s="25"/>
      <c r="M23" s="25"/>
      <c r="N23" s="25"/>
      <c r="O23" s="25"/>
      <c r="P23" s="37"/>
      <c r="Q23" s="25"/>
      <c r="R23" s="25"/>
      <c r="S23" s="25"/>
      <c r="T23" s="25">
        <f>-D23</f>
        <v>300</v>
      </c>
      <c r="U23" s="25"/>
      <c r="V23" s="25"/>
      <c r="W23" s="25"/>
      <c r="X23" s="25"/>
      <c r="Y23" s="25"/>
      <c r="Z23" s="25"/>
      <c r="AB23" s="26">
        <f t="shared" si="0"/>
        <v>0</v>
      </c>
    </row>
    <row r="24" spans="1:28" ht="13.5" customHeight="1" x14ac:dyDescent="0.2">
      <c r="A24" s="24">
        <v>45173</v>
      </c>
      <c r="B24" s="24"/>
      <c r="C24" s="16" t="s">
        <v>39</v>
      </c>
      <c r="D24" s="26">
        <v>-10</v>
      </c>
      <c r="E24" s="26"/>
      <c r="F24" s="26"/>
      <c r="G24" s="25"/>
      <c r="H24" s="25"/>
      <c r="I24" s="25"/>
      <c r="J24" s="25"/>
      <c r="K24" s="25"/>
      <c r="L24" s="25"/>
      <c r="M24" s="25"/>
      <c r="N24" s="25"/>
      <c r="O24" s="25"/>
      <c r="P24" s="37"/>
      <c r="Q24" s="25"/>
      <c r="R24" s="25"/>
      <c r="S24" s="25">
        <f>-D24</f>
        <v>10</v>
      </c>
      <c r="T24" s="25"/>
      <c r="U24" s="25"/>
      <c r="V24" s="25"/>
      <c r="W24" s="25"/>
      <c r="X24" s="25"/>
      <c r="Y24" s="25"/>
      <c r="Z24" s="25"/>
      <c r="AB24" s="26">
        <f t="shared" si="0"/>
        <v>0</v>
      </c>
    </row>
    <row r="25" spans="1:28" ht="13.5" customHeight="1" x14ac:dyDescent="0.2">
      <c r="A25" s="24">
        <v>45194</v>
      </c>
      <c r="B25" s="24"/>
      <c r="C25" s="16" t="s">
        <v>104</v>
      </c>
      <c r="D25" s="26">
        <v>-77.36</v>
      </c>
      <c r="E25" s="26"/>
      <c r="F25" s="26"/>
      <c r="G25" s="25"/>
      <c r="H25" s="25"/>
      <c r="I25" s="25"/>
      <c r="J25" s="25"/>
      <c r="K25" s="25"/>
      <c r="L25" s="25"/>
      <c r="M25" s="25"/>
      <c r="N25" s="25"/>
      <c r="O25" s="25"/>
      <c r="P25" s="37"/>
      <c r="Q25" s="25"/>
      <c r="R25" s="25"/>
      <c r="S25" s="25"/>
      <c r="T25" s="25"/>
      <c r="U25" s="25"/>
      <c r="V25" s="25"/>
      <c r="W25" s="25">
        <f>-D25</f>
        <v>77.36</v>
      </c>
      <c r="X25" s="25"/>
      <c r="Y25" s="25"/>
      <c r="Z25" s="25"/>
      <c r="AB25" s="26">
        <f t="shared" si="0"/>
        <v>0</v>
      </c>
    </row>
    <row r="26" spans="1:28" ht="13.5" customHeight="1" x14ac:dyDescent="0.2">
      <c r="A26" s="24">
        <v>45195</v>
      </c>
      <c r="B26" s="24" t="s">
        <v>105</v>
      </c>
      <c r="C26" s="16" t="s">
        <v>106</v>
      </c>
      <c r="D26" s="26">
        <v>-447.44</v>
      </c>
      <c r="E26" s="26"/>
      <c r="F26" s="26"/>
      <c r="G26" s="25"/>
      <c r="H26" s="25"/>
      <c r="I26" s="25"/>
      <c r="J26" s="25"/>
      <c r="K26" s="25"/>
      <c r="L26" s="25"/>
      <c r="M26" s="25"/>
      <c r="N26" s="25"/>
      <c r="O26" s="25"/>
      <c r="P26" s="37"/>
      <c r="Q26" s="25"/>
      <c r="R26" s="25"/>
      <c r="S26" s="25"/>
      <c r="T26" s="25"/>
      <c r="U26" s="25">
        <f>-D26</f>
        <v>447.44</v>
      </c>
      <c r="V26" s="25"/>
      <c r="W26" s="25"/>
      <c r="X26" s="25"/>
      <c r="Y26" s="25"/>
      <c r="Z26" s="25"/>
      <c r="AB26" s="26">
        <f t="shared" si="0"/>
        <v>0</v>
      </c>
    </row>
    <row r="27" spans="1:28" ht="13.5" customHeight="1" x14ac:dyDescent="0.2">
      <c r="A27" s="24">
        <v>45202</v>
      </c>
      <c r="B27" s="24"/>
      <c r="C27" s="16" t="s">
        <v>39</v>
      </c>
      <c r="D27" s="26">
        <v>-10</v>
      </c>
      <c r="E27" s="26"/>
      <c r="F27" s="26"/>
      <c r="G27" s="25"/>
      <c r="H27" s="25"/>
      <c r="I27" s="25"/>
      <c r="J27" s="25"/>
      <c r="K27" s="25"/>
      <c r="L27" s="25"/>
      <c r="M27" s="25"/>
      <c r="N27" s="25"/>
      <c r="O27" s="25"/>
      <c r="P27" s="37"/>
      <c r="Q27" s="25"/>
      <c r="R27" s="25"/>
      <c r="S27" s="25">
        <f>-D27</f>
        <v>10</v>
      </c>
      <c r="T27" s="25"/>
      <c r="U27" s="25"/>
      <c r="V27" s="25"/>
      <c r="W27" s="25"/>
      <c r="X27" s="25"/>
      <c r="Y27" s="25"/>
      <c r="Z27" s="25"/>
      <c r="AB27" s="26">
        <f t="shared" ref="AB27" si="4">SUM(D27:AA27)</f>
        <v>0</v>
      </c>
    </row>
    <row r="28" spans="1:28" ht="13.5" customHeight="1" x14ac:dyDescent="0.2">
      <c r="A28" s="24">
        <v>45233</v>
      </c>
      <c r="B28" s="24"/>
      <c r="C28" s="16" t="s">
        <v>39</v>
      </c>
      <c r="D28" s="26">
        <v>-10</v>
      </c>
      <c r="E28" s="26"/>
      <c r="F28" s="26"/>
      <c r="G28" s="25"/>
      <c r="H28" s="25"/>
      <c r="I28" s="25"/>
      <c r="J28" s="25"/>
      <c r="K28" s="25"/>
      <c r="L28" s="25"/>
      <c r="M28" s="25"/>
      <c r="N28" s="25"/>
      <c r="O28" s="25"/>
      <c r="P28" s="37"/>
      <c r="Q28" s="25"/>
      <c r="R28" s="25"/>
      <c r="S28" s="25">
        <f t="shared" ref="S28:S31" si="5">-D28</f>
        <v>10</v>
      </c>
      <c r="T28" s="25"/>
      <c r="U28" s="25"/>
      <c r="V28" s="25"/>
      <c r="W28" s="25"/>
      <c r="X28" s="25"/>
      <c r="Y28" s="25"/>
      <c r="Z28" s="25"/>
      <c r="AB28" s="26">
        <f t="shared" ref="AB28:AB31" si="6">SUM(D28:AA28)</f>
        <v>0</v>
      </c>
    </row>
    <row r="29" spans="1:28" ht="13.5" customHeight="1" x14ac:dyDescent="0.2">
      <c r="A29" s="24">
        <v>45263</v>
      </c>
      <c r="B29" s="24"/>
      <c r="C29" s="16" t="s">
        <v>39</v>
      </c>
      <c r="D29" s="26">
        <v>-10</v>
      </c>
      <c r="E29" s="26"/>
      <c r="F29" s="26"/>
      <c r="G29" s="25"/>
      <c r="H29" s="25"/>
      <c r="I29" s="25"/>
      <c r="J29" s="25"/>
      <c r="K29" s="25"/>
      <c r="L29" s="25"/>
      <c r="M29" s="25"/>
      <c r="N29" s="25"/>
      <c r="O29" s="25"/>
      <c r="P29" s="37"/>
      <c r="Q29" s="25"/>
      <c r="R29" s="25"/>
      <c r="S29" s="25">
        <f t="shared" si="5"/>
        <v>10</v>
      </c>
      <c r="T29" s="25"/>
      <c r="U29" s="25"/>
      <c r="V29" s="25"/>
      <c r="W29" s="25"/>
      <c r="X29" s="25"/>
      <c r="Y29" s="25"/>
      <c r="Z29" s="25"/>
      <c r="AB29" s="26">
        <f t="shared" si="6"/>
        <v>0</v>
      </c>
    </row>
    <row r="30" spans="1:28" ht="13.5" customHeight="1" x14ac:dyDescent="0.2">
      <c r="A30" s="24">
        <v>45294</v>
      </c>
      <c r="B30" s="24"/>
      <c r="C30" s="16" t="s">
        <v>39</v>
      </c>
      <c r="D30" s="26">
        <v>-10</v>
      </c>
      <c r="E30" s="26"/>
      <c r="F30" s="26"/>
      <c r="G30" s="25"/>
      <c r="H30" s="25"/>
      <c r="I30" s="25"/>
      <c r="J30" s="25"/>
      <c r="K30" s="25"/>
      <c r="L30" s="25"/>
      <c r="M30" s="25"/>
      <c r="N30" s="25"/>
      <c r="O30" s="25"/>
      <c r="P30" s="37"/>
      <c r="Q30" s="25"/>
      <c r="R30" s="25"/>
      <c r="S30" s="25">
        <f t="shared" si="5"/>
        <v>10</v>
      </c>
      <c r="T30" s="25"/>
      <c r="U30" s="25"/>
      <c r="V30" s="25"/>
      <c r="W30" s="25"/>
      <c r="X30" s="25"/>
      <c r="Y30" s="25"/>
      <c r="Z30" s="25"/>
      <c r="AB30" s="26">
        <f t="shared" si="6"/>
        <v>0</v>
      </c>
    </row>
    <row r="31" spans="1:28" ht="13.5" customHeight="1" x14ac:dyDescent="0.2">
      <c r="A31" s="24">
        <v>45325</v>
      </c>
      <c r="B31" s="24"/>
      <c r="C31" s="16" t="s">
        <v>39</v>
      </c>
      <c r="D31" s="26">
        <v>-10</v>
      </c>
      <c r="E31" s="26"/>
      <c r="F31" s="26"/>
      <c r="G31" s="25"/>
      <c r="H31" s="25"/>
      <c r="I31" s="25"/>
      <c r="J31" s="25"/>
      <c r="K31" s="25"/>
      <c r="L31" s="25"/>
      <c r="M31" s="25"/>
      <c r="N31" s="25"/>
      <c r="O31" s="25"/>
      <c r="P31" s="37"/>
      <c r="Q31" s="25"/>
      <c r="R31" s="25"/>
      <c r="S31" s="25">
        <f t="shared" si="5"/>
        <v>10</v>
      </c>
      <c r="T31" s="25"/>
      <c r="U31" s="25"/>
      <c r="V31" s="25"/>
      <c r="W31" s="25"/>
      <c r="X31" s="25"/>
      <c r="Y31" s="25"/>
      <c r="Z31" s="25"/>
      <c r="AB31" s="26">
        <f t="shared" si="6"/>
        <v>0</v>
      </c>
    </row>
    <row r="32" spans="1:28" ht="13.5" customHeight="1" x14ac:dyDescent="0.2">
      <c r="A32" s="24">
        <v>45354</v>
      </c>
      <c r="B32" s="24"/>
      <c r="C32" s="16" t="s">
        <v>39</v>
      </c>
      <c r="D32" s="26">
        <v>-10</v>
      </c>
      <c r="E32" s="26"/>
      <c r="F32" s="26"/>
      <c r="G32" s="25"/>
      <c r="H32" s="25"/>
      <c r="I32" s="25"/>
      <c r="J32" s="25"/>
      <c r="K32" s="25"/>
      <c r="L32" s="25"/>
      <c r="M32" s="25"/>
      <c r="N32" s="25"/>
      <c r="O32" s="25"/>
      <c r="P32" s="37"/>
      <c r="Q32" s="25"/>
      <c r="R32" s="25"/>
      <c r="S32" s="25">
        <f t="shared" ref="S32:S34" si="7">-D32</f>
        <v>10</v>
      </c>
      <c r="T32" s="25"/>
      <c r="U32" s="25"/>
      <c r="V32" s="25"/>
      <c r="W32" s="25"/>
      <c r="X32" s="25"/>
      <c r="Y32" s="25"/>
      <c r="Z32" s="25"/>
      <c r="AB32" s="26">
        <f t="shared" ref="AB32:AB34" si="8">SUM(D32:AA32)</f>
        <v>0</v>
      </c>
    </row>
    <row r="33" spans="1:28" ht="13.5" customHeight="1" x14ac:dyDescent="0.2">
      <c r="A33" s="24">
        <v>45385</v>
      </c>
      <c r="B33" s="24"/>
      <c r="C33" s="16" t="s">
        <v>39</v>
      </c>
      <c r="D33" s="26">
        <v>-10</v>
      </c>
      <c r="E33" s="26"/>
      <c r="F33" s="26"/>
      <c r="G33" s="25"/>
      <c r="H33" s="25"/>
      <c r="I33" s="25"/>
      <c r="J33" s="25"/>
      <c r="K33" s="25"/>
      <c r="L33" s="25"/>
      <c r="M33" s="25"/>
      <c r="N33" s="25"/>
      <c r="O33" s="25"/>
      <c r="P33" s="37"/>
      <c r="Q33" s="25"/>
      <c r="R33" s="25"/>
      <c r="S33" s="25">
        <f t="shared" si="7"/>
        <v>10</v>
      </c>
      <c r="T33" s="25"/>
      <c r="U33" s="25"/>
      <c r="V33" s="25"/>
      <c r="W33" s="25"/>
      <c r="X33" s="25"/>
      <c r="Y33" s="25"/>
      <c r="Z33" s="25"/>
      <c r="AB33" s="26">
        <f t="shared" si="8"/>
        <v>0</v>
      </c>
    </row>
    <row r="34" spans="1:28" ht="13.5" customHeight="1" x14ac:dyDescent="0.2">
      <c r="A34" s="24">
        <v>45415</v>
      </c>
      <c r="B34" s="24"/>
      <c r="C34" s="16" t="s">
        <v>39</v>
      </c>
      <c r="D34" s="26">
        <v>-10</v>
      </c>
      <c r="E34" s="26"/>
      <c r="F34" s="26"/>
      <c r="G34" s="25"/>
      <c r="H34" s="25"/>
      <c r="I34" s="25"/>
      <c r="J34" s="25"/>
      <c r="K34" s="25"/>
      <c r="L34" s="25"/>
      <c r="M34" s="25"/>
      <c r="N34" s="25"/>
      <c r="O34" s="25"/>
      <c r="P34" s="37"/>
      <c r="Q34" s="25"/>
      <c r="R34" s="25"/>
      <c r="S34" s="25">
        <f t="shared" si="7"/>
        <v>10</v>
      </c>
      <c r="T34" s="25"/>
      <c r="U34" s="25"/>
      <c r="V34" s="25"/>
      <c r="W34" s="25"/>
      <c r="X34" s="25"/>
      <c r="Y34" s="25"/>
      <c r="Z34" s="25"/>
      <c r="AB34" s="26">
        <f t="shared" si="8"/>
        <v>0</v>
      </c>
    </row>
    <row r="35" spans="1:28" ht="13.5" customHeight="1" x14ac:dyDescent="0.2">
      <c r="A35" s="24">
        <v>45443</v>
      </c>
      <c r="B35" s="24" t="s">
        <v>79</v>
      </c>
      <c r="C35" s="16" t="s">
        <v>80</v>
      </c>
      <c r="D35" s="26"/>
      <c r="E35" s="26"/>
      <c r="F35" s="26"/>
      <c r="G35" s="25"/>
      <c r="H35" s="25"/>
      <c r="I35" s="25"/>
      <c r="J35" s="25">
        <v>-79.540000000000006</v>
      </c>
      <c r="L35" s="25"/>
      <c r="M35" s="25"/>
      <c r="N35" s="25"/>
      <c r="O35" s="25"/>
      <c r="P35" s="37"/>
      <c r="Q35" s="25"/>
      <c r="R35" s="25"/>
      <c r="S35" s="25"/>
      <c r="T35" s="25"/>
      <c r="U35" s="25"/>
      <c r="V35" s="25"/>
      <c r="W35" s="25"/>
      <c r="X35" s="25"/>
      <c r="Y35" s="25">
        <v>79.540000000000006</v>
      </c>
      <c r="Z35" s="25"/>
      <c r="AB35" s="26">
        <f t="shared" ref="AB35:AB37" si="9">SUM(D35:AA35)</f>
        <v>0</v>
      </c>
    </row>
    <row r="36" spans="1:28" ht="13.5" customHeight="1" x14ac:dyDescent="0.2">
      <c r="A36" s="24">
        <v>45443</v>
      </c>
      <c r="B36" s="24" t="s">
        <v>109</v>
      </c>
      <c r="C36" s="20" t="s">
        <v>113</v>
      </c>
      <c r="D36" s="26"/>
      <c r="E36" s="26">
        <f>4.43-248.5</f>
        <v>-244.07</v>
      </c>
      <c r="F36" s="26">
        <f>5.98-341.8</f>
        <v>-335.82</v>
      </c>
      <c r="G36" s="25"/>
      <c r="H36" s="25"/>
      <c r="I36" s="25"/>
      <c r="J36" s="25"/>
      <c r="K36" s="25"/>
      <c r="L36" s="25"/>
      <c r="M36" s="25"/>
      <c r="N36" s="25"/>
      <c r="O36" s="25"/>
      <c r="P36" s="37"/>
      <c r="Q36" s="25"/>
      <c r="R36" s="25"/>
      <c r="S36" s="25">
        <f>-F36</f>
        <v>335.82</v>
      </c>
      <c r="T36" s="25"/>
      <c r="U36" s="25"/>
      <c r="V36" s="25"/>
      <c r="W36" s="25"/>
      <c r="X36" s="25"/>
      <c r="Y36" s="25"/>
      <c r="Z36" s="25"/>
      <c r="AB36" s="26">
        <f>SUM(F36:AA36)</f>
        <v>0</v>
      </c>
    </row>
    <row r="37" spans="1:28" ht="13.5" customHeight="1" x14ac:dyDescent="0.2">
      <c r="A37" s="24"/>
      <c r="B37" s="24"/>
      <c r="D37" s="26"/>
      <c r="E37" s="26"/>
      <c r="F37" s="26"/>
      <c r="G37" s="25"/>
      <c r="H37" s="25"/>
      <c r="I37" s="25"/>
      <c r="J37" s="25"/>
      <c r="K37" s="25"/>
      <c r="L37" s="25"/>
      <c r="M37" s="25"/>
      <c r="N37" s="25"/>
      <c r="O37" s="25"/>
      <c r="P37" s="37"/>
      <c r="Q37" s="25"/>
      <c r="R37" s="25"/>
      <c r="S37" s="25"/>
      <c r="T37" s="25"/>
      <c r="U37" s="25"/>
      <c r="V37" s="25"/>
      <c r="W37" s="25"/>
      <c r="X37" s="25"/>
      <c r="Y37" s="25"/>
      <c r="Z37" s="25"/>
      <c r="AB37" s="26">
        <f t="shared" si="9"/>
        <v>0</v>
      </c>
    </row>
    <row r="38" spans="1:28" ht="15.75" customHeight="1" thickBot="1" x14ac:dyDescent="0.25">
      <c r="D38" s="27">
        <f t="shared" ref="D38:O38" si="10">SUM(D9:D37)</f>
        <v>9568.820000000007</v>
      </c>
      <c r="E38" s="27">
        <f t="shared" si="10"/>
        <v>4.4306605812814155</v>
      </c>
      <c r="F38" s="27">
        <f t="shared" si="10"/>
        <v>5.9769759998920904</v>
      </c>
      <c r="G38" s="28">
        <f t="shared" si="10"/>
        <v>-10000</v>
      </c>
      <c r="H38" s="28">
        <f t="shared" si="10"/>
        <v>275.38</v>
      </c>
      <c r="I38" s="28">
        <f t="shared" si="10"/>
        <v>2312380</v>
      </c>
      <c r="J38" s="27">
        <f t="shared" si="10"/>
        <v>0</v>
      </c>
      <c r="K38" s="27">
        <f t="shared" si="10"/>
        <v>-1650</v>
      </c>
      <c r="L38" s="27">
        <f t="shared" si="10"/>
        <v>0</v>
      </c>
      <c r="M38" s="27">
        <f t="shared" si="10"/>
        <v>-2312380</v>
      </c>
      <c r="N38" s="27">
        <f t="shared" si="10"/>
        <v>0</v>
      </c>
      <c r="O38" s="27">
        <f t="shared" si="10"/>
        <v>0</v>
      </c>
      <c r="P38" s="38"/>
      <c r="Q38" s="27">
        <f t="shared" ref="Q38:AA38" si="11">SUM(Q9:Q37)</f>
        <v>-2700</v>
      </c>
      <c r="R38" s="27">
        <f t="shared" si="11"/>
        <v>-16.8</v>
      </c>
      <c r="S38" s="27">
        <f t="shared" si="11"/>
        <v>455.82</v>
      </c>
      <c r="T38" s="27">
        <f t="shared" si="11"/>
        <v>792</v>
      </c>
      <c r="U38" s="27">
        <f t="shared" si="11"/>
        <v>497.44</v>
      </c>
      <c r="V38" s="27">
        <f t="shared" si="11"/>
        <v>2376</v>
      </c>
      <c r="W38" s="27">
        <f t="shared" si="11"/>
        <v>186.36</v>
      </c>
      <c r="X38" s="27">
        <f t="shared" si="11"/>
        <v>0</v>
      </c>
      <c r="Y38" s="27">
        <f t="shared" si="11"/>
        <v>209</v>
      </c>
      <c r="Z38" s="28">
        <f t="shared" si="11"/>
        <v>0</v>
      </c>
      <c r="AA38" s="28">
        <f t="shared" si="11"/>
        <v>0</v>
      </c>
      <c r="AB38" s="26">
        <f>SUM(F38:AA38)</f>
        <v>-9568.8230240003377</v>
      </c>
    </row>
    <row r="39" spans="1:28" ht="15.75" customHeight="1" thickTop="1" x14ac:dyDescent="0.2">
      <c r="F39" s="29"/>
      <c r="G39" s="30"/>
      <c r="H39" s="30"/>
      <c r="I39" s="30"/>
      <c r="J39" s="29"/>
      <c r="K39" s="29"/>
      <c r="L39" s="29"/>
      <c r="M39" s="29"/>
      <c r="N39" s="29"/>
      <c r="O39" s="29"/>
      <c r="P39" s="39"/>
      <c r="Q39" s="29"/>
      <c r="R39" s="29"/>
      <c r="S39" s="29"/>
      <c r="T39" s="29"/>
      <c r="U39" s="29"/>
      <c r="V39" s="29"/>
      <c r="W39" s="29"/>
      <c r="X39" s="29"/>
      <c r="Y39" s="29"/>
      <c r="Z39" s="30"/>
      <c r="AA39" s="30"/>
      <c r="AB39" s="31"/>
    </row>
    <row r="40" spans="1:28" ht="13.5" customHeight="1" x14ac:dyDescent="0.2">
      <c r="F40" s="25"/>
      <c r="G40" s="26"/>
      <c r="H40" s="26"/>
      <c r="I40" s="26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9"/>
      <c r="Z40" s="30"/>
      <c r="AA40" s="26"/>
      <c r="AB40" s="26">
        <f>SUM(R38:Z38)+SUM(G38:K38)</f>
        <v>2305505.1999999997</v>
      </c>
    </row>
    <row r="41" spans="1:28" ht="13.5" customHeight="1" x14ac:dyDescent="0.2">
      <c r="F41" s="25"/>
      <c r="G41" s="26"/>
      <c r="H41" s="26"/>
      <c r="I41" s="26"/>
      <c r="J41" s="25"/>
      <c r="K41" s="25"/>
      <c r="L41" s="25"/>
      <c r="M41" s="42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9"/>
      <c r="Z41" s="30"/>
      <c r="AA41" s="26"/>
    </row>
    <row r="42" spans="1:28" ht="13.5" customHeight="1" x14ac:dyDescent="0.2">
      <c r="F42" s="25"/>
      <c r="G42" s="26"/>
      <c r="H42" s="26"/>
      <c r="I42" s="26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9"/>
      <c r="Z42" s="30"/>
      <c r="AA42" s="26"/>
    </row>
    <row r="43" spans="1:28" ht="13.5" customHeight="1" x14ac:dyDescent="0.2">
      <c r="F43" s="25"/>
      <c r="G43" s="26"/>
      <c r="H43" s="26"/>
      <c r="I43" s="26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9"/>
      <c r="Z43" s="30"/>
      <c r="AA43" s="26"/>
    </row>
    <row r="44" spans="1:28" ht="13.5" customHeight="1" x14ac:dyDescent="0.2">
      <c r="F44" s="25"/>
      <c r="G44" s="26"/>
      <c r="H44" s="26"/>
      <c r="I44" s="26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9"/>
      <c r="Z44" s="30"/>
      <c r="AA44" s="26"/>
    </row>
    <row r="45" spans="1:28" ht="13.5" customHeight="1" x14ac:dyDescent="0.2">
      <c r="F45" s="25"/>
      <c r="G45" s="26"/>
      <c r="H45" s="26"/>
      <c r="I45" s="26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9"/>
      <c r="Z45" s="30"/>
      <c r="AA45" s="26"/>
    </row>
    <row r="46" spans="1:28" ht="13.5" customHeight="1" x14ac:dyDescent="0.2">
      <c r="F46" s="25"/>
      <c r="G46" s="26"/>
      <c r="H46" s="26"/>
      <c r="I46" s="26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9"/>
      <c r="Z46" s="30"/>
      <c r="AA46" s="26"/>
    </row>
    <row r="47" spans="1:28" ht="13.5" customHeight="1" x14ac:dyDescent="0.2">
      <c r="Y47" s="31"/>
    </row>
    <row r="48" spans="1:28" ht="13.5" customHeight="1" x14ac:dyDescent="0.2">
      <c r="Z48" s="29"/>
    </row>
    <row r="49" spans="3:16156" s="20" customFormat="1" ht="13.5" customHeight="1" x14ac:dyDescent="0.2"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Y49" s="83"/>
      <c r="Z49" s="29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/>
      <c r="AL49" s="16"/>
      <c r="AM49" s="16"/>
      <c r="AN49" s="16"/>
      <c r="AO49" s="16"/>
      <c r="AP49" s="16"/>
      <c r="AQ49" s="16"/>
      <c r="AR49" s="16"/>
      <c r="AS49" s="16"/>
      <c r="AT49" s="16"/>
      <c r="AU49" s="16"/>
      <c r="AV49" s="16"/>
      <c r="AW49" s="16"/>
      <c r="AX49" s="16"/>
      <c r="AY49" s="16"/>
      <c r="AZ49" s="16"/>
      <c r="BA49" s="16"/>
      <c r="BB49" s="16"/>
      <c r="BC49" s="16"/>
      <c r="BD49" s="16"/>
      <c r="BE49" s="16"/>
      <c r="BF49" s="16"/>
      <c r="BG49" s="16"/>
      <c r="BH49" s="16"/>
      <c r="BI49" s="16"/>
      <c r="BJ49" s="16"/>
      <c r="BK49" s="16"/>
      <c r="BL49" s="16"/>
      <c r="BM49" s="16"/>
      <c r="BN49" s="16"/>
      <c r="BO49" s="16"/>
      <c r="BP49" s="16"/>
      <c r="BQ49" s="16"/>
      <c r="BR49" s="16"/>
      <c r="BS49" s="16"/>
      <c r="BT49" s="16"/>
      <c r="BU49" s="16"/>
      <c r="BV49" s="16"/>
      <c r="BW49" s="16"/>
      <c r="BX49" s="16"/>
      <c r="BY49" s="16"/>
      <c r="BZ49" s="16"/>
      <c r="CA49" s="16"/>
      <c r="CB49" s="16"/>
      <c r="CC49" s="16"/>
      <c r="CD49" s="16"/>
      <c r="CE49" s="16"/>
      <c r="CF49" s="16"/>
      <c r="CG49" s="16"/>
      <c r="CH49" s="16"/>
      <c r="CI49" s="16"/>
      <c r="CJ49" s="16"/>
      <c r="CK49" s="16"/>
      <c r="CL49" s="16"/>
      <c r="CM49" s="16"/>
      <c r="CN49" s="16"/>
      <c r="CO49" s="16"/>
      <c r="CP49" s="16"/>
      <c r="CQ49" s="16"/>
      <c r="CR49" s="16"/>
      <c r="CS49" s="16"/>
      <c r="CT49" s="16"/>
      <c r="CU49" s="16"/>
      <c r="CV49" s="16"/>
      <c r="CW49" s="16"/>
      <c r="CX49" s="16"/>
      <c r="CY49" s="16"/>
      <c r="CZ49" s="16"/>
      <c r="DA49" s="16"/>
      <c r="DB49" s="16"/>
      <c r="DC49" s="16"/>
      <c r="DD49" s="16"/>
      <c r="DE49" s="16"/>
      <c r="DF49" s="16"/>
      <c r="DG49" s="16"/>
      <c r="DH49" s="16"/>
      <c r="DI49" s="16"/>
      <c r="DJ49" s="16"/>
      <c r="DK49" s="16"/>
      <c r="DL49" s="16"/>
      <c r="DM49" s="16"/>
      <c r="DN49" s="16"/>
      <c r="DO49" s="16"/>
      <c r="DP49" s="16"/>
      <c r="DQ49" s="16"/>
      <c r="DR49" s="16"/>
      <c r="DS49" s="16"/>
      <c r="DT49" s="16"/>
      <c r="DU49" s="16"/>
      <c r="DV49" s="16"/>
      <c r="DW49" s="16"/>
      <c r="DX49" s="16"/>
      <c r="DY49" s="16"/>
      <c r="DZ49" s="16"/>
      <c r="EA49" s="16"/>
      <c r="EB49" s="16"/>
      <c r="EC49" s="16"/>
      <c r="ED49" s="16"/>
      <c r="EE49" s="16"/>
      <c r="EF49" s="16"/>
      <c r="EG49" s="16"/>
      <c r="EH49" s="16"/>
      <c r="EI49" s="16"/>
      <c r="EJ49" s="16"/>
      <c r="EK49" s="16"/>
      <c r="EL49" s="16"/>
      <c r="EM49" s="16"/>
      <c r="EN49" s="16"/>
      <c r="EO49" s="16"/>
      <c r="EP49" s="16"/>
      <c r="EQ49" s="16"/>
      <c r="ER49" s="16"/>
      <c r="ES49" s="16"/>
      <c r="ET49" s="16"/>
      <c r="EU49" s="16"/>
      <c r="EV49" s="16"/>
      <c r="EW49" s="16"/>
      <c r="EX49" s="16"/>
      <c r="EY49" s="16"/>
      <c r="EZ49" s="16"/>
      <c r="FA49" s="16"/>
      <c r="FB49" s="16"/>
      <c r="FC49" s="16"/>
      <c r="FD49" s="16"/>
      <c r="FE49" s="16"/>
      <c r="FF49" s="16"/>
      <c r="FG49" s="16"/>
      <c r="FH49" s="16"/>
      <c r="FI49" s="16"/>
      <c r="FJ49" s="16"/>
      <c r="FK49" s="16"/>
      <c r="FL49" s="16"/>
      <c r="FM49" s="16"/>
      <c r="FN49" s="16"/>
      <c r="FO49" s="16"/>
      <c r="FP49" s="16"/>
      <c r="FQ49" s="16"/>
      <c r="FR49" s="16"/>
      <c r="FS49" s="16"/>
      <c r="FT49" s="16"/>
      <c r="FU49" s="16"/>
      <c r="FV49" s="16"/>
      <c r="FW49" s="16"/>
      <c r="FX49" s="16"/>
      <c r="FY49" s="16"/>
      <c r="FZ49" s="16"/>
      <c r="GA49" s="16"/>
      <c r="GB49" s="16"/>
      <c r="GC49" s="16"/>
      <c r="GD49" s="16"/>
      <c r="GE49" s="16"/>
      <c r="GF49" s="16"/>
      <c r="GG49" s="16"/>
      <c r="GH49" s="16"/>
      <c r="GI49" s="16"/>
      <c r="GJ49" s="16"/>
      <c r="GK49" s="16"/>
      <c r="GL49" s="16"/>
      <c r="GM49" s="16"/>
      <c r="GN49" s="16"/>
      <c r="GO49" s="16"/>
      <c r="GP49" s="16"/>
      <c r="GQ49" s="16"/>
      <c r="GR49" s="16"/>
      <c r="GS49" s="16"/>
      <c r="GT49" s="16"/>
      <c r="GU49" s="16"/>
      <c r="GV49" s="16"/>
      <c r="GW49" s="16"/>
      <c r="GX49" s="16"/>
      <c r="GY49" s="16"/>
      <c r="GZ49" s="16"/>
      <c r="HA49" s="16"/>
      <c r="HB49" s="16"/>
      <c r="HC49" s="16"/>
      <c r="HD49" s="16"/>
      <c r="HE49" s="16"/>
      <c r="HF49" s="16"/>
      <c r="HG49" s="16"/>
      <c r="HH49" s="16"/>
      <c r="HI49" s="16"/>
      <c r="HJ49" s="16"/>
      <c r="HK49" s="16"/>
      <c r="HL49" s="16"/>
      <c r="HM49" s="16"/>
      <c r="HN49" s="16"/>
      <c r="HO49" s="16"/>
      <c r="HP49" s="16"/>
      <c r="HQ49" s="16"/>
      <c r="HR49" s="16"/>
      <c r="HS49" s="16"/>
      <c r="HT49" s="16"/>
      <c r="HU49" s="16"/>
      <c r="HV49" s="16"/>
      <c r="HW49" s="16"/>
      <c r="HX49" s="16"/>
      <c r="HY49" s="16"/>
      <c r="HZ49" s="16"/>
      <c r="IA49" s="16"/>
      <c r="IB49" s="16"/>
      <c r="IC49" s="16"/>
      <c r="ID49" s="16"/>
      <c r="IE49" s="16"/>
      <c r="IF49" s="16"/>
      <c r="IG49" s="16"/>
      <c r="IH49" s="16"/>
      <c r="II49" s="16"/>
      <c r="IJ49" s="16"/>
      <c r="IK49" s="16"/>
      <c r="IL49" s="16"/>
      <c r="IM49" s="16"/>
      <c r="IN49" s="16"/>
      <c r="IO49" s="16"/>
      <c r="IP49" s="16"/>
      <c r="IQ49" s="16"/>
      <c r="IR49" s="16"/>
      <c r="IS49" s="16"/>
      <c r="IT49" s="16"/>
      <c r="IU49" s="16"/>
      <c r="IV49" s="16"/>
      <c r="IW49" s="16"/>
      <c r="IX49" s="16"/>
      <c r="IY49" s="16"/>
      <c r="IZ49" s="16"/>
      <c r="JA49" s="16"/>
      <c r="JB49" s="16"/>
      <c r="JC49" s="16"/>
      <c r="JD49" s="16"/>
      <c r="JE49" s="16"/>
      <c r="JF49" s="16"/>
      <c r="JG49" s="16"/>
      <c r="JH49" s="16"/>
      <c r="JI49" s="16"/>
      <c r="JJ49" s="16"/>
      <c r="JK49" s="16"/>
      <c r="JL49" s="16"/>
      <c r="JM49" s="16"/>
      <c r="JN49" s="16"/>
      <c r="JO49" s="16"/>
      <c r="JP49" s="16"/>
      <c r="JQ49" s="16"/>
      <c r="JR49" s="16"/>
      <c r="JS49" s="16"/>
      <c r="JT49" s="16"/>
      <c r="JU49" s="16"/>
      <c r="JV49" s="16"/>
      <c r="JW49" s="16"/>
      <c r="JX49" s="16"/>
      <c r="JY49" s="16"/>
      <c r="JZ49" s="16"/>
      <c r="KA49" s="16"/>
      <c r="KB49" s="16"/>
      <c r="KC49" s="16"/>
      <c r="KD49" s="16"/>
      <c r="KE49" s="16"/>
      <c r="KF49" s="16"/>
      <c r="KG49" s="16"/>
      <c r="KH49" s="16"/>
      <c r="KI49" s="16"/>
      <c r="KJ49" s="16"/>
      <c r="KK49" s="16"/>
      <c r="KL49" s="16"/>
      <c r="KM49" s="16"/>
      <c r="KN49" s="16"/>
      <c r="KO49" s="16"/>
      <c r="KP49" s="16"/>
      <c r="KQ49" s="16"/>
      <c r="KR49" s="16"/>
      <c r="KS49" s="16"/>
      <c r="KT49" s="16"/>
      <c r="KU49" s="16"/>
      <c r="KV49" s="16"/>
      <c r="KW49" s="16"/>
      <c r="KX49" s="16"/>
      <c r="KY49" s="16"/>
      <c r="KZ49" s="16"/>
      <c r="LA49" s="16"/>
      <c r="LB49" s="16"/>
      <c r="LC49" s="16"/>
      <c r="LD49" s="16"/>
      <c r="LE49" s="16"/>
      <c r="LF49" s="16"/>
      <c r="LG49" s="16"/>
      <c r="LH49" s="16"/>
      <c r="LI49" s="16"/>
      <c r="LJ49" s="16"/>
      <c r="LK49" s="16"/>
      <c r="LL49" s="16"/>
      <c r="LM49" s="16"/>
      <c r="LN49" s="16"/>
      <c r="LO49" s="16"/>
      <c r="LP49" s="16"/>
      <c r="LQ49" s="16"/>
      <c r="LR49" s="16"/>
      <c r="LS49" s="16"/>
      <c r="LT49" s="16"/>
      <c r="LU49" s="16"/>
      <c r="LV49" s="16"/>
      <c r="LW49" s="16"/>
      <c r="LX49" s="16"/>
      <c r="LY49" s="16"/>
      <c r="LZ49" s="16"/>
      <c r="MA49" s="16"/>
      <c r="MB49" s="16"/>
      <c r="MC49" s="16"/>
      <c r="MD49" s="16"/>
      <c r="ME49" s="16"/>
      <c r="MF49" s="16"/>
      <c r="MG49" s="16"/>
      <c r="MH49" s="16"/>
      <c r="MI49" s="16"/>
      <c r="MJ49" s="16"/>
      <c r="MK49" s="16"/>
      <c r="ML49" s="16"/>
      <c r="MM49" s="16"/>
      <c r="MN49" s="16"/>
      <c r="MO49" s="16"/>
      <c r="MP49" s="16"/>
      <c r="MQ49" s="16"/>
      <c r="MR49" s="16"/>
      <c r="MS49" s="16"/>
      <c r="MT49" s="16"/>
      <c r="MU49" s="16"/>
      <c r="MV49" s="16"/>
      <c r="MW49" s="16"/>
      <c r="MX49" s="16"/>
      <c r="MY49" s="16"/>
      <c r="MZ49" s="16"/>
      <c r="NA49" s="16"/>
      <c r="NB49" s="16"/>
      <c r="NC49" s="16"/>
      <c r="ND49" s="16"/>
      <c r="NE49" s="16"/>
      <c r="NF49" s="16"/>
      <c r="NG49" s="16"/>
      <c r="NH49" s="16"/>
      <c r="NI49" s="16"/>
      <c r="NJ49" s="16"/>
      <c r="NK49" s="16"/>
      <c r="NL49" s="16"/>
      <c r="NM49" s="16"/>
      <c r="NN49" s="16"/>
      <c r="NO49" s="16"/>
      <c r="NP49" s="16"/>
      <c r="NQ49" s="16"/>
      <c r="NR49" s="16"/>
      <c r="NS49" s="16"/>
      <c r="NT49" s="16"/>
      <c r="NU49" s="16"/>
      <c r="NV49" s="16"/>
      <c r="NW49" s="16"/>
      <c r="NX49" s="16"/>
      <c r="NY49" s="16"/>
      <c r="NZ49" s="16"/>
      <c r="OA49" s="16"/>
      <c r="OB49" s="16"/>
      <c r="OC49" s="16"/>
      <c r="OD49" s="16"/>
      <c r="OE49" s="16"/>
      <c r="OF49" s="16"/>
      <c r="OG49" s="16"/>
      <c r="OH49" s="16"/>
      <c r="OI49" s="16"/>
      <c r="OJ49" s="16"/>
      <c r="OK49" s="16"/>
      <c r="OL49" s="16"/>
      <c r="OM49" s="16"/>
      <c r="ON49" s="16"/>
      <c r="OO49" s="16"/>
      <c r="OP49" s="16"/>
      <c r="OQ49" s="16"/>
      <c r="OR49" s="16"/>
      <c r="OS49" s="16"/>
      <c r="OT49" s="16"/>
      <c r="OU49" s="16"/>
      <c r="OV49" s="16"/>
      <c r="OW49" s="16"/>
      <c r="OX49" s="16"/>
      <c r="OY49" s="16"/>
      <c r="OZ49" s="16"/>
      <c r="PA49" s="16"/>
      <c r="PB49" s="16"/>
      <c r="PC49" s="16"/>
      <c r="PD49" s="16"/>
      <c r="PE49" s="16"/>
      <c r="PF49" s="16"/>
      <c r="PG49" s="16"/>
      <c r="PH49" s="16"/>
      <c r="PI49" s="16"/>
      <c r="PJ49" s="16"/>
      <c r="PK49" s="16"/>
      <c r="PL49" s="16"/>
      <c r="PM49" s="16"/>
      <c r="PN49" s="16"/>
      <c r="PO49" s="16"/>
      <c r="PP49" s="16"/>
      <c r="PQ49" s="16"/>
      <c r="PR49" s="16"/>
      <c r="PS49" s="16"/>
      <c r="PT49" s="16"/>
      <c r="PU49" s="16"/>
      <c r="PV49" s="16"/>
      <c r="PW49" s="16"/>
      <c r="PX49" s="16"/>
      <c r="PY49" s="16"/>
      <c r="PZ49" s="16"/>
      <c r="QA49" s="16"/>
      <c r="QB49" s="16"/>
      <c r="QC49" s="16"/>
      <c r="QD49" s="16"/>
      <c r="QE49" s="16"/>
      <c r="QF49" s="16"/>
      <c r="QG49" s="16"/>
      <c r="QH49" s="16"/>
      <c r="QI49" s="16"/>
      <c r="QJ49" s="16"/>
      <c r="QK49" s="16"/>
      <c r="QL49" s="16"/>
      <c r="QM49" s="16"/>
      <c r="QN49" s="16"/>
      <c r="QO49" s="16"/>
      <c r="QP49" s="16"/>
      <c r="QQ49" s="16"/>
      <c r="QR49" s="16"/>
      <c r="QS49" s="16"/>
      <c r="QT49" s="16"/>
      <c r="QU49" s="16"/>
      <c r="QV49" s="16"/>
      <c r="QW49" s="16"/>
      <c r="QX49" s="16"/>
      <c r="QY49" s="16"/>
      <c r="QZ49" s="16"/>
      <c r="RA49" s="16"/>
      <c r="RB49" s="16"/>
      <c r="RC49" s="16"/>
      <c r="RD49" s="16"/>
      <c r="RE49" s="16"/>
      <c r="RF49" s="16"/>
      <c r="RG49" s="16"/>
      <c r="RH49" s="16"/>
      <c r="RI49" s="16"/>
      <c r="RJ49" s="16"/>
      <c r="RK49" s="16"/>
      <c r="RL49" s="16"/>
      <c r="RM49" s="16"/>
      <c r="RN49" s="16"/>
      <c r="RO49" s="16"/>
      <c r="RP49" s="16"/>
      <c r="RQ49" s="16"/>
      <c r="RR49" s="16"/>
      <c r="RS49" s="16"/>
      <c r="RT49" s="16"/>
      <c r="RU49" s="16"/>
      <c r="RV49" s="16"/>
      <c r="RW49" s="16"/>
      <c r="RX49" s="16"/>
      <c r="RY49" s="16"/>
      <c r="RZ49" s="16"/>
      <c r="SA49" s="16"/>
      <c r="SB49" s="16"/>
      <c r="SC49" s="16"/>
      <c r="SD49" s="16"/>
      <c r="SE49" s="16"/>
      <c r="SF49" s="16"/>
      <c r="SG49" s="16"/>
      <c r="SH49" s="16"/>
      <c r="SI49" s="16"/>
      <c r="SJ49" s="16"/>
      <c r="SK49" s="16"/>
      <c r="SL49" s="16"/>
      <c r="SM49" s="16"/>
      <c r="SN49" s="16"/>
      <c r="SO49" s="16"/>
      <c r="SP49" s="16"/>
      <c r="SQ49" s="16"/>
      <c r="SR49" s="16"/>
      <c r="SS49" s="16"/>
      <c r="ST49" s="16"/>
      <c r="SU49" s="16"/>
      <c r="SV49" s="16"/>
      <c r="SW49" s="16"/>
      <c r="SX49" s="16"/>
      <c r="SY49" s="16"/>
      <c r="SZ49" s="16"/>
      <c r="TA49" s="16"/>
      <c r="TB49" s="16"/>
      <c r="TC49" s="16"/>
      <c r="TD49" s="16"/>
      <c r="TE49" s="16"/>
      <c r="TF49" s="16"/>
      <c r="TG49" s="16"/>
      <c r="TH49" s="16"/>
      <c r="TI49" s="16"/>
      <c r="TJ49" s="16"/>
      <c r="TK49" s="16"/>
      <c r="TL49" s="16"/>
      <c r="TM49" s="16"/>
      <c r="TN49" s="16"/>
      <c r="TO49" s="16"/>
      <c r="TP49" s="16"/>
      <c r="TQ49" s="16"/>
      <c r="TR49" s="16"/>
      <c r="TS49" s="16"/>
      <c r="TT49" s="16"/>
      <c r="TU49" s="16"/>
      <c r="TV49" s="16"/>
      <c r="TW49" s="16"/>
      <c r="TX49" s="16"/>
      <c r="TY49" s="16"/>
      <c r="TZ49" s="16"/>
      <c r="UA49" s="16"/>
      <c r="UB49" s="16"/>
      <c r="UC49" s="16"/>
      <c r="UD49" s="16"/>
      <c r="UE49" s="16"/>
      <c r="UF49" s="16"/>
      <c r="UG49" s="16"/>
      <c r="UH49" s="16"/>
      <c r="UI49" s="16"/>
      <c r="UJ49" s="16"/>
      <c r="UK49" s="16"/>
      <c r="UL49" s="16"/>
      <c r="UM49" s="16"/>
      <c r="UN49" s="16"/>
      <c r="UO49" s="16"/>
      <c r="UP49" s="16"/>
      <c r="UQ49" s="16"/>
      <c r="UR49" s="16"/>
      <c r="US49" s="16"/>
      <c r="UT49" s="16"/>
      <c r="UU49" s="16"/>
      <c r="UV49" s="16"/>
      <c r="UW49" s="16"/>
      <c r="UX49" s="16"/>
      <c r="UY49" s="16"/>
      <c r="UZ49" s="16"/>
      <c r="VA49" s="16"/>
      <c r="VB49" s="16"/>
      <c r="VC49" s="16"/>
      <c r="VD49" s="16"/>
      <c r="VE49" s="16"/>
      <c r="VF49" s="16"/>
      <c r="VG49" s="16"/>
      <c r="VH49" s="16"/>
      <c r="VI49" s="16"/>
      <c r="VJ49" s="16"/>
      <c r="VK49" s="16"/>
      <c r="VL49" s="16"/>
      <c r="VM49" s="16"/>
      <c r="VN49" s="16"/>
      <c r="VO49" s="16"/>
      <c r="VP49" s="16"/>
      <c r="VQ49" s="16"/>
      <c r="VR49" s="16"/>
      <c r="VS49" s="16"/>
      <c r="VT49" s="16"/>
      <c r="VU49" s="16"/>
      <c r="VV49" s="16"/>
      <c r="VW49" s="16"/>
      <c r="VX49" s="16"/>
      <c r="VY49" s="16"/>
      <c r="VZ49" s="16"/>
      <c r="WA49" s="16"/>
      <c r="WB49" s="16"/>
      <c r="WC49" s="16"/>
      <c r="WD49" s="16"/>
      <c r="WE49" s="16"/>
      <c r="WF49" s="16"/>
      <c r="WG49" s="16"/>
      <c r="WH49" s="16"/>
      <c r="WI49" s="16"/>
      <c r="WJ49" s="16"/>
      <c r="WK49" s="16"/>
      <c r="WL49" s="16"/>
      <c r="WM49" s="16"/>
      <c r="WN49" s="16"/>
      <c r="WO49" s="16"/>
      <c r="WP49" s="16"/>
      <c r="WQ49" s="16"/>
      <c r="WR49" s="16"/>
      <c r="WS49" s="16"/>
      <c r="WT49" s="16"/>
      <c r="WU49" s="16"/>
      <c r="WV49" s="16"/>
      <c r="WW49" s="16"/>
      <c r="WX49" s="16"/>
      <c r="WY49" s="16"/>
      <c r="WZ49" s="16"/>
      <c r="XA49" s="16"/>
      <c r="XB49" s="16"/>
      <c r="XC49" s="16"/>
      <c r="XD49" s="16"/>
      <c r="XE49" s="16"/>
      <c r="XF49" s="16"/>
      <c r="XG49" s="16"/>
      <c r="XH49" s="16"/>
      <c r="XI49" s="16"/>
      <c r="XJ49" s="16"/>
      <c r="XK49" s="16"/>
      <c r="XL49" s="16"/>
      <c r="XM49" s="16"/>
      <c r="XN49" s="16"/>
      <c r="XO49" s="16"/>
      <c r="XP49" s="16"/>
      <c r="XQ49" s="16"/>
      <c r="XR49" s="16"/>
      <c r="XS49" s="16"/>
      <c r="XT49" s="16"/>
      <c r="XU49" s="16"/>
      <c r="XV49" s="16"/>
      <c r="XW49" s="16"/>
      <c r="XX49" s="16"/>
      <c r="XY49" s="16"/>
      <c r="XZ49" s="16"/>
      <c r="YA49" s="16"/>
      <c r="YB49" s="16"/>
      <c r="YC49" s="16"/>
      <c r="YD49" s="16"/>
      <c r="YE49" s="16"/>
      <c r="YF49" s="16"/>
      <c r="YG49" s="16"/>
      <c r="YH49" s="16"/>
      <c r="YI49" s="16"/>
      <c r="YJ49" s="16"/>
      <c r="YK49" s="16"/>
      <c r="YL49" s="16"/>
      <c r="YM49" s="16"/>
      <c r="YN49" s="16"/>
      <c r="YO49" s="16"/>
      <c r="YP49" s="16"/>
      <c r="YQ49" s="16"/>
      <c r="YR49" s="16"/>
      <c r="YS49" s="16"/>
      <c r="YT49" s="16"/>
      <c r="YU49" s="16"/>
      <c r="YV49" s="16"/>
      <c r="YW49" s="16"/>
      <c r="YX49" s="16"/>
      <c r="YY49" s="16"/>
      <c r="YZ49" s="16"/>
      <c r="ZA49" s="16"/>
      <c r="ZB49" s="16"/>
      <c r="ZC49" s="16"/>
      <c r="ZD49" s="16"/>
      <c r="ZE49" s="16"/>
      <c r="ZF49" s="16"/>
      <c r="ZG49" s="16"/>
      <c r="ZH49" s="16"/>
      <c r="ZI49" s="16"/>
      <c r="ZJ49" s="16"/>
      <c r="ZK49" s="16"/>
      <c r="ZL49" s="16"/>
      <c r="ZM49" s="16"/>
      <c r="ZN49" s="16"/>
      <c r="ZO49" s="16"/>
      <c r="ZP49" s="16"/>
      <c r="ZQ49" s="16"/>
      <c r="ZR49" s="16"/>
      <c r="ZS49" s="16"/>
      <c r="ZT49" s="16"/>
      <c r="ZU49" s="16"/>
      <c r="ZV49" s="16"/>
      <c r="ZW49" s="16"/>
      <c r="ZX49" s="16"/>
      <c r="ZY49" s="16"/>
      <c r="ZZ49" s="16"/>
      <c r="AAA49" s="16"/>
      <c r="AAB49" s="16"/>
      <c r="AAC49" s="16"/>
      <c r="AAD49" s="16"/>
      <c r="AAE49" s="16"/>
      <c r="AAF49" s="16"/>
      <c r="AAG49" s="16"/>
      <c r="AAH49" s="16"/>
      <c r="AAI49" s="16"/>
      <c r="AAJ49" s="16"/>
      <c r="AAK49" s="16"/>
      <c r="AAL49" s="16"/>
      <c r="AAM49" s="16"/>
      <c r="AAN49" s="16"/>
      <c r="AAO49" s="16"/>
      <c r="AAP49" s="16"/>
      <c r="AAQ49" s="16"/>
      <c r="AAR49" s="16"/>
      <c r="AAS49" s="16"/>
      <c r="AAT49" s="16"/>
      <c r="AAU49" s="16"/>
      <c r="AAV49" s="16"/>
      <c r="AAW49" s="16"/>
      <c r="AAX49" s="16"/>
      <c r="AAY49" s="16"/>
      <c r="AAZ49" s="16"/>
      <c r="ABA49" s="16"/>
      <c r="ABB49" s="16"/>
      <c r="ABC49" s="16"/>
      <c r="ABD49" s="16"/>
      <c r="ABE49" s="16"/>
      <c r="ABF49" s="16"/>
      <c r="ABG49" s="16"/>
      <c r="ABH49" s="16"/>
      <c r="ABI49" s="16"/>
      <c r="ABJ49" s="16"/>
      <c r="ABK49" s="16"/>
      <c r="ABL49" s="16"/>
      <c r="ABM49" s="16"/>
      <c r="ABN49" s="16"/>
      <c r="ABO49" s="16"/>
      <c r="ABP49" s="16"/>
      <c r="ABQ49" s="16"/>
      <c r="ABR49" s="16"/>
      <c r="ABS49" s="16"/>
      <c r="ABT49" s="16"/>
      <c r="ABU49" s="16"/>
      <c r="ABV49" s="16"/>
      <c r="ABW49" s="16"/>
      <c r="ABX49" s="16"/>
      <c r="ABY49" s="16"/>
      <c r="ABZ49" s="16"/>
      <c r="ACA49" s="16"/>
      <c r="ACB49" s="16"/>
      <c r="ACC49" s="16"/>
      <c r="ACD49" s="16"/>
      <c r="ACE49" s="16"/>
      <c r="ACF49" s="16"/>
      <c r="ACG49" s="16"/>
      <c r="ACH49" s="16"/>
      <c r="ACI49" s="16"/>
      <c r="ACJ49" s="16"/>
      <c r="ACK49" s="16"/>
      <c r="ACL49" s="16"/>
      <c r="ACM49" s="16"/>
      <c r="ACN49" s="16"/>
      <c r="ACO49" s="16"/>
      <c r="ACP49" s="16"/>
      <c r="ACQ49" s="16"/>
      <c r="ACR49" s="16"/>
      <c r="ACS49" s="16"/>
      <c r="ACT49" s="16"/>
      <c r="ACU49" s="16"/>
      <c r="ACV49" s="16"/>
      <c r="ACW49" s="16"/>
      <c r="ACX49" s="16"/>
      <c r="ACY49" s="16"/>
      <c r="ACZ49" s="16"/>
      <c r="ADA49" s="16"/>
      <c r="ADB49" s="16"/>
      <c r="ADC49" s="16"/>
      <c r="ADD49" s="16"/>
      <c r="ADE49" s="16"/>
      <c r="ADF49" s="16"/>
      <c r="ADG49" s="16"/>
      <c r="ADH49" s="16"/>
      <c r="ADI49" s="16"/>
      <c r="ADJ49" s="16"/>
      <c r="ADK49" s="16"/>
      <c r="ADL49" s="16"/>
      <c r="ADM49" s="16"/>
      <c r="ADN49" s="16"/>
      <c r="ADO49" s="16"/>
      <c r="ADP49" s="16"/>
      <c r="ADQ49" s="16"/>
      <c r="ADR49" s="16"/>
      <c r="ADS49" s="16"/>
      <c r="ADT49" s="16"/>
      <c r="ADU49" s="16"/>
      <c r="ADV49" s="16"/>
      <c r="ADW49" s="16"/>
      <c r="ADX49" s="16"/>
      <c r="ADY49" s="16"/>
      <c r="ADZ49" s="16"/>
      <c r="AEA49" s="16"/>
      <c r="AEB49" s="16"/>
      <c r="AEC49" s="16"/>
      <c r="AED49" s="16"/>
      <c r="AEE49" s="16"/>
      <c r="AEF49" s="16"/>
      <c r="AEG49" s="16"/>
      <c r="AEH49" s="16"/>
      <c r="AEI49" s="16"/>
      <c r="AEJ49" s="16"/>
      <c r="AEK49" s="16"/>
      <c r="AEL49" s="16"/>
      <c r="AEM49" s="16"/>
      <c r="AEN49" s="16"/>
      <c r="AEO49" s="16"/>
      <c r="AEP49" s="16"/>
      <c r="AEQ49" s="16"/>
      <c r="AER49" s="16"/>
      <c r="AES49" s="16"/>
      <c r="AET49" s="16"/>
      <c r="AEU49" s="16"/>
      <c r="AEV49" s="16"/>
      <c r="AEW49" s="16"/>
      <c r="AEX49" s="16"/>
      <c r="AEY49" s="16"/>
      <c r="AEZ49" s="16"/>
      <c r="AFA49" s="16"/>
      <c r="AFB49" s="16"/>
      <c r="AFC49" s="16"/>
      <c r="AFD49" s="16"/>
      <c r="AFE49" s="16"/>
      <c r="AFF49" s="16"/>
      <c r="AFG49" s="16"/>
      <c r="AFH49" s="16"/>
      <c r="AFI49" s="16"/>
      <c r="AFJ49" s="16"/>
      <c r="AFK49" s="16"/>
      <c r="AFL49" s="16"/>
      <c r="AFM49" s="16"/>
      <c r="AFN49" s="16"/>
      <c r="AFO49" s="16"/>
      <c r="AFP49" s="16"/>
      <c r="AFQ49" s="16"/>
      <c r="AFR49" s="16"/>
      <c r="AFS49" s="16"/>
      <c r="AFT49" s="16"/>
      <c r="AFU49" s="16"/>
      <c r="AFV49" s="16"/>
      <c r="AFW49" s="16"/>
      <c r="AFX49" s="16"/>
      <c r="AFY49" s="16"/>
      <c r="AFZ49" s="16"/>
      <c r="AGA49" s="16"/>
      <c r="AGB49" s="16"/>
      <c r="AGC49" s="16"/>
      <c r="AGD49" s="16"/>
      <c r="AGE49" s="16"/>
      <c r="AGF49" s="16"/>
      <c r="AGG49" s="16"/>
      <c r="AGH49" s="16"/>
      <c r="AGI49" s="16"/>
      <c r="AGJ49" s="16"/>
      <c r="AGK49" s="16"/>
      <c r="AGL49" s="16"/>
      <c r="AGM49" s="16"/>
      <c r="AGN49" s="16"/>
      <c r="AGO49" s="16"/>
      <c r="AGP49" s="16"/>
      <c r="AGQ49" s="16"/>
      <c r="AGR49" s="16"/>
      <c r="AGS49" s="16"/>
      <c r="AGT49" s="16"/>
      <c r="AGU49" s="16"/>
      <c r="AGV49" s="16"/>
      <c r="AGW49" s="16"/>
      <c r="AGX49" s="16"/>
      <c r="AGY49" s="16"/>
      <c r="AGZ49" s="16"/>
      <c r="AHA49" s="16"/>
      <c r="AHB49" s="16"/>
      <c r="AHC49" s="16"/>
      <c r="AHD49" s="16"/>
      <c r="AHE49" s="16"/>
      <c r="AHF49" s="16"/>
      <c r="AHG49" s="16"/>
      <c r="AHH49" s="16"/>
      <c r="AHI49" s="16"/>
      <c r="AHJ49" s="16"/>
      <c r="AHK49" s="16"/>
      <c r="AHL49" s="16"/>
      <c r="AHM49" s="16"/>
      <c r="AHN49" s="16"/>
      <c r="AHO49" s="16"/>
      <c r="AHP49" s="16"/>
      <c r="AHQ49" s="16"/>
      <c r="AHR49" s="16"/>
      <c r="AHS49" s="16"/>
      <c r="AHT49" s="16"/>
      <c r="AHU49" s="16"/>
      <c r="AHV49" s="16"/>
      <c r="AHW49" s="16"/>
      <c r="AHX49" s="16"/>
      <c r="AHY49" s="16"/>
      <c r="AHZ49" s="16"/>
      <c r="AIA49" s="16"/>
      <c r="AIB49" s="16"/>
      <c r="AIC49" s="16"/>
      <c r="AID49" s="16"/>
      <c r="AIE49" s="16"/>
      <c r="AIF49" s="16"/>
      <c r="AIG49" s="16"/>
      <c r="AIH49" s="16"/>
      <c r="AII49" s="16"/>
      <c r="AIJ49" s="16"/>
      <c r="AIK49" s="16"/>
      <c r="AIL49" s="16"/>
      <c r="AIM49" s="16"/>
      <c r="AIN49" s="16"/>
      <c r="AIO49" s="16"/>
      <c r="AIP49" s="16"/>
      <c r="AIQ49" s="16"/>
      <c r="AIR49" s="16"/>
      <c r="AIS49" s="16"/>
      <c r="AIT49" s="16"/>
      <c r="AIU49" s="16"/>
      <c r="AIV49" s="16"/>
      <c r="AIW49" s="16"/>
      <c r="AIX49" s="16"/>
      <c r="AIY49" s="16"/>
      <c r="AIZ49" s="16"/>
      <c r="AJA49" s="16"/>
      <c r="AJB49" s="16"/>
      <c r="AJC49" s="16"/>
      <c r="AJD49" s="16"/>
      <c r="AJE49" s="16"/>
      <c r="AJF49" s="16"/>
      <c r="AJG49" s="16"/>
      <c r="AJH49" s="16"/>
      <c r="AJI49" s="16"/>
      <c r="AJJ49" s="16"/>
      <c r="AJK49" s="16"/>
      <c r="AJL49" s="16"/>
      <c r="AJM49" s="16"/>
      <c r="AJN49" s="16"/>
      <c r="AJO49" s="16"/>
      <c r="AJP49" s="16"/>
      <c r="AJQ49" s="16"/>
      <c r="AJR49" s="16"/>
      <c r="AJS49" s="16"/>
      <c r="AJT49" s="16"/>
      <c r="AJU49" s="16"/>
      <c r="AJV49" s="16"/>
      <c r="AJW49" s="16"/>
      <c r="AJX49" s="16"/>
      <c r="AJY49" s="16"/>
      <c r="AJZ49" s="16"/>
      <c r="AKA49" s="16"/>
      <c r="AKB49" s="16"/>
      <c r="AKC49" s="16"/>
      <c r="AKD49" s="16"/>
      <c r="AKE49" s="16"/>
      <c r="AKF49" s="16"/>
      <c r="AKG49" s="16"/>
      <c r="AKH49" s="16"/>
      <c r="AKI49" s="16"/>
      <c r="AKJ49" s="16"/>
      <c r="AKK49" s="16"/>
      <c r="AKL49" s="16"/>
      <c r="AKM49" s="16"/>
      <c r="AKN49" s="16"/>
      <c r="AKO49" s="16"/>
      <c r="AKP49" s="16"/>
      <c r="AKQ49" s="16"/>
      <c r="AKR49" s="16"/>
      <c r="AKS49" s="16"/>
      <c r="AKT49" s="16"/>
      <c r="AKU49" s="16"/>
      <c r="AKV49" s="16"/>
      <c r="AKW49" s="16"/>
      <c r="AKX49" s="16"/>
      <c r="AKY49" s="16"/>
      <c r="AKZ49" s="16"/>
      <c r="ALA49" s="16"/>
      <c r="ALB49" s="16"/>
      <c r="ALC49" s="16"/>
      <c r="ALD49" s="16"/>
      <c r="ALE49" s="16"/>
      <c r="ALF49" s="16"/>
      <c r="ALG49" s="16"/>
      <c r="ALH49" s="16"/>
      <c r="ALI49" s="16"/>
      <c r="ALJ49" s="16"/>
      <c r="ALK49" s="16"/>
      <c r="ALL49" s="16"/>
      <c r="ALM49" s="16"/>
      <c r="ALN49" s="16"/>
      <c r="ALO49" s="16"/>
      <c r="ALP49" s="16"/>
      <c r="ALQ49" s="16"/>
      <c r="ALR49" s="16"/>
      <c r="ALS49" s="16"/>
      <c r="ALT49" s="16"/>
      <c r="ALU49" s="16"/>
      <c r="ALV49" s="16"/>
      <c r="ALW49" s="16"/>
      <c r="ALX49" s="16"/>
      <c r="ALY49" s="16"/>
      <c r="ALZ49" s="16"/>
      <c r="AMA49" s="16"/>
      <c r="AMB49" s="16"/>
      <c r="AMC49" s="16"/>
      <c r="AMD49" s="16"/>
      <c r="AME49" s="16"/>
      <c r="AMF49" s="16"/>
      <c r="AMG49" s="16"/>
      <c r="AMH49" s="16"/>
      <c r="AMI49" s="16"/>
      <c r="AMJ49" s="16"/>
      <c r="AMK49" s="16"/>
      <c r="AML49" s="16"/>
      <c r="AMM49" s="16"/>
      <c r="AMN49" s="16"/>
      <c r="AMO49" s="16"/>
      <c r="AMP49" s="16"/>
      <c r="AMQ49" s="16"/>
      <c r="AMR49" s="16"/>
      <c r="AMS49" s="16"/>
      <c r="AMT49" s="16"/>
      <c r="AMU49" s="16"/>
      <c r="AMV49" s="16"/>
      <c r="AMW49" s="16"/>
      <c r="AMX49" s="16"/>
      <c r="AMY49" s="16"/>
      <c r="AMZ49" s="16"/>
      <c r="ANA49" s="16"/>
      <c r="ANB49" s="16"/>
      <c r="ANC49" s="16"/>
      <c r="AND49" s="16"/>
      <c r="ANE49" s="16"/>
      <c r="ANF49" s="16"/>
      <c r="ANG49" s="16"/>
      <c r="ANH49" s="16"/>
      <c r="ANI49" s="16"/>
      <c r="ANJ49" s="16"/>
      <c r="ANK49" s="16"/>
      <c r="ANL49" s="16"/>
      <c r="ANM49" s="16"/>
      <c r="ANN49" s="16"/>
      <c r="ANO49" s="16"/>
      <c r="ANP49" s="16"/>
      <c r="ANQ49" s="16"/>
      <c r="ANR49" s="16"/>
      <c r="ANS49" s="16"/>
      <c r="ANT49" s="16"/>
      <c r="ANU49" s="16"/>
      <c r="ANV49" s="16"/>
      <c r="ANW49" s="16"/>
      <c r="ANX49" s="16"/>
      <c r="ANY49" s="16"/>
      <c r="ANZ49" s="16"/>
      <c r="AOA49" s="16"/>
      <c r="AOB49" s="16"/>
      <c r="AOC49" s="16"/>
      <c r="AOD49" s="16"/>
      <c r="AOE49" s="16"/>
      <c r="AOF49" s="16"/>
      <c r="AOG49" s="16"/>
      <c r="AOH49" s="16"/>
      <c r="AOI49" s="16"/>
      <c r="AOJ49" s="16"/>
      <c r="AOK49" s="16"/>
      <c r="AOL49" s="16"/>
      <c r="AOM49" s="16"/>
      <c r="AON49" s="16"/>
      <c r="AOO49" s="16"/>
      <c r="AOP49" s="16"/>
      <c r="AOQ49" s="16"/>
      <c r="AOR49" s="16"/>
      <c r="AOS49" s="16"/>
      <c r="AOT49" s="16"/>
      <c r="AOU49" s="16"/>
      <c r="AOV49" s="16"/>
      <c r="AOW49" s="16"/>
      <c r="AOX49" s="16"/>
      <c r="AOY49" s="16"/>
      <c r="AOZ49" s="16"/>
      <c r="APA49" s="16"/>
      <c r="APB49" s="16"/>
      <c r="APC49" s="16"/>
      <c r="APD49" s="16"/>
      <c r="APE49" s="16"/>
      <c r="APF49" s="16"/>
      <c r="APG49" s="16"/>
      <c r="APH49" s="16"/>
      <c r="API49" s="16"/>
      <c r="APJ49" s="16"/>
      <c r="APK49" s="16"/>
      <c r="APL49" s="16"/>
      <c r="APM49" s="16"/>
      <c r="APN49" s="16"/>
      <c r="APO49" s="16"/>
      <c r="APP49" s="16"/>
      <c r="APQ49" s="16"/>
      <c r="APR49" s="16"/>
      <c r="APS49" s="16"/>
      <c r="APT49" s="16"/>
      <c r="APU49" s="16"/>
      <c r="APV49" s="16"/>
      <c r="APW49" s="16"/>
      <c r="APX49" s="16"/>
      <c r="APY49" s="16"/>
      <c r="APZ49" s="16"/>
      <c r="AQA49" s="16"/>
      <c r="AQB49" s="16"/>
      <c r="AQC49" s="16"/>
      <c r="AQD49" s="16"/>
      <c r="AQE49" s="16"/>
      <c r="AQF49" s="16"/>
      <c r="AQG49" s="16"/>
      <c r="AQH49" s="16"/>
      <c r="AQI49" s="16"/>
      <c r="AQJ49" s="16"/>
      <c r="AQK49" s="16"/>
      <c r="AQL49" s="16"/>
      <c r="AQM49" s="16"/>
      <c r="AQN49" s="16"/>
      <c r="AQO49" s="16"/>
      <c r="AQP49" s="16"/>
      <c r="AQQ49" s="16"/>
      <c r="AQR49" s="16"/>
      <c r="AQS49" s="16"/>
      <c r="AQT49" s="16"/>
      <c r="AQU49" s="16"/>
      <c r="AQV49" s="16"/>
      <c r="AQW49" s="16"/>
      <c r="AQX49" s="16"/>
      <c r="AQY49" s="16"/>
      <c r="AQZ49" s="16"/>
      <c r="ARA49" s="16"/>
      <c r="ARB49" s="16"/>
      <c r="ARC49" s="16"/>
      <c r="ARD49" s="16"/>
      <c r="ARE49" s="16"/>
      <c r="ARF49" s="16"/>
      <c r="ARG49" s="16"/>
      <c r="ARH49" s="16"/>
      <c r="ARI49" s="16"/>
      <c r="ARJ49" s="16"/>
      <c r="ARK49" s="16"/>
      <c r="ARL49" s="16"/>
      <c r="ARM49" s="16"/>
      <c r="ARN49" s="16"/>
      <c r="ARO49" s="16"/>
      <c r="ARP49" s="16"/>
      <c r="ARQ49" s="16"/>
      <c r="ARR49" s="16"/>
      <c r="ARS49" s="16"/>
      <c r="ART49" s="16"/>
      <c r="ARU49" s="16"/>
      <c r="ARV49" s="16"/>
      <c r="ARW49" s="16"/>
      <c r="ARX49" s="16"/>
      <c r="ARY49" s="16"/>
      <c r="ARZ49" s="16"/>
      <c r="ASA49" s="16"/>
      <c r="ASB49" s="16"/>
      <c r="ASC49" s="16"/>
      <c r="ASD49" s="16"/>
      <c r="ASE49" s="16"/>
      <c r="ASF49" s="16"/>
      <c r="ASG49" s="16"/>
      <c r="ASH49" s="16"/>
      <c r="ASI49" s="16"/>
      <c r="ASJ49" s="16"/>
      <c r="ASK49" s="16"/>
      <c r="ASL49" s="16"/>
      <c r="ASM49" s="16"/>
      <c r="ASN49" s="16"/>
      <c r="ASO49" s="16"/>
      <c r="ASP49" s="16"/>
      <c r="ASQ49" s="16"/>
      <c r="ASR49" s="16"/>
      <c r="ASS49" s="16"/>
      <c r="AST49" s="16"/>
      <c r="ASU49" s="16"/>
      <c r="ASV49" s="16"/>
      <c r="ASW49" s="16"/>
      <c r="ASX49" s="16"/>
      <c r="ASY49" s="16"/>
      <c r="ASZ49" s="16"/>
      <c r="ATA49" s="16"/>
      <c r="ATB49" s="16"/>
      <c r="ATC49" s="16"/>
      <c r="ATD49" s="16"/>
      <c r="ATE49" s="16"/>
      <c r="ATF49" s="16"/>
      <c r="ATG49" s="16"/>
      <c r="ATH49" s="16"/>
      <c r="ATI49" s="16"/>
      <c r="ATJ49" s="16"/>
      <c r="ATK49" s="16"/>
      <c r="ATL49" s="16"/>
      <c r="ATM49" s="16"/>
      <c r="ATN49" s="16"/>
      <c r="ATO49" s="16"/>
      <c r="ATP49" s="16"/>
      <c r="ATQ49" s="16"/>
      <c r="ATR49" s="16"/>
      <c r="ATS49" s="16"/>
      <c r="ATT49" s="16"/>
      <c r="ATU49" s="16"/>
      <c r="ATV49" s="16"/>
      <c r="ATW49" s="16"/>
      <c r="ATX49" s="16"/>
      <c r="ATY49" s="16"/>
      <c r="ATZ49" s="16"/>
      <c r="AUA49" s="16"/>
      <c r="AUB49" s="16"/>
      <c r="AUC49" s="16"/>
      <c r="AUD49" s="16"/>
      <c r="AUE49" s="16"/>
      <c r="AUF49" s="16"/>
      <c r="AUG49" s="16"/>
      <c r="AUH49" s="16"/>
      <c r="AUI49" s="16"/>
      <c r="AUJ49" s="16"/>
      <c r="AUK49" s="16"/>
      <c r="AUL49" s="16"/>
      <c r="AUM49" s="16"/>
      <c r="AUN49" s="16"/>
      <c r="AUO49" s="16"/>
      <c r="AUP49" s="16"/>
      <c r="AUQ49" s="16"/>
      <c r="AUR49" s="16"/>
      <c r="AUS49" s="16"/>
      <c r="AUT49" s="16"/>
      <c r="AUU49" s="16"/>
      <c r="AUV49" s="16"/>
      <c r="AUW49" s="16"/>
      <c r="AUX49" s="16"/>
      <c r="AUY49" s="16"/>
      <c r="AUZ49" s="16"/>
      <c r="AVA49" s="16"/>
      <c r="AVB49" s="16"/>
      <c r="AVC49" s="16"/>
      <c r="AVD49" s="16"/>
      <c r="AVE49" s="16"/>
      <c r="AVF49" s="16"/>
      <c r="AVG49" s="16"/>
      <c r="AVH49" s="16"/>
      <c r="AVI49" s="16"/>
      <c r="AVJ49" s="16"/>
      <c r="AVK49" s="16"/>
      <c r="AVL49" s="16"/>
      <c r="AVM49" s="16"/>
      <c r="AVN49" s="16"/>
      <c r="AVO49" s="16"/>
      <c r="AVP49" s="16"/>
      <c r="AVQ49" s="16"/>
      <c r="AVR49" s="16"/>
      <c r="AVS49" s="16"/>
      <c r="AVT49" s="16"/>
      <c r="AVU49" s="16"/>
      <c r="AVV49" s="16"/>
      <c r="AVW49" s="16"/>
      <c r="AVX49" s="16"/>
      <c r="AVY49" s="16"/>
      <c r="AVZ49" s="16"/>
      <c r="AWA49" s="16"/>
      <c r="AWB49" s="16"/>
      <c r="AWC49" s="16"/>
      <c r="AWD49" s="16"/>
      <c r="AWE49" s="16"/>
      <c r="AWF49" s="16"/>
      <c r="AWG49" s="16"/>
      <c r="AWH49" s="16"/>
      <c r="AWI49" s="16"/>
      <c r="AWJ49" s="16"/>
      <c r="AWK49" s="16"/>
      <c r="AWL49" s="16"/>
      <c r="AWM49" s="16"/>
      <c r="AWN49" s="16"/>
      <c r="AWO49" s="16"/>
      <c r="AWP49" s="16"/>
      <c r="AWQ49" s="16"/>
      <c r="AWR49" s="16"/>
      <c r="AWS49" s="16"/>
      <c r="AWT49" s="16"/>
      <c r="AWU49" s="16"/>
      <c r="AWV49" s="16"/>
      <c r="AWW49" s="16"/>
      <c r="AWX49" s="16"/>
      <c r="AWY49" s="16"/>
      <c r="AWZ49" s="16"/>
      <c r="AXA49" s="16"/>
      <c r="AXB49" s="16"/>
      <c r="AXC49" s="16"/>
      <c r="AXD49" s="16"/>
      <c r="AXE49" s="16"/>
      <c r="AXF49" s="16"/>
      <c r="AXG49" s="16"/>
      <c r="AXH49" s="16"/>
      <c r="AXI49" s="16"/>
      <c r="AXJ49" s="16"/>
      <c r="AXK49" s="16"/>
      <c r="AXL49" s="16"/>
      <c r="AXM49" s="16"/>
      <c r="AXN49" s="16"/>
      <c r="AXO49" s="16"/>
      <c r="AXP49" s="16"/>
      <c r="AXQ49" s="16"/>
      <c r="AXR49" s="16"/>
      <c r="AXS49" s="16"/>
      <c r="AXT49" s="16"/>
      <c r="AXU49" s="16"/>
      <c r="AXV49" s="16"/>
      <c r="AXW49" s="16"/>
      <c r="AXX49" s="16"/>
      <c r="AXY49" s="16"/>
      <c r="AXZ49" s="16"/>
      <c r="AYA49" s="16"/>
      <c r="AYB49" s="16"/>
      <c r="AYC49" s="16"/>
      <c r="AYD49" s="16"/>
      <c r="AYE49" s="16"/>
      <c r="AYF49" s="16"/>
      <c r="AYG49" s="16"/>
      <c r="AYH49" s="16"/>
      <c r="AYI49" s="16"/>
      <c r="AYJ49" s="16"/>
      <c r="AYK49" s="16"/>
      <c r="AYL49" s="16"/>
      <c r="AYM49" s="16"/>
      <c r="AYN49" s="16"/>
      <c r="AYO49" s="16"/>
      <c r="AYP49" s="16"/>
      <c r="AYQ49" s="16"/>
      <c r="AYR49" s="16"/>
      <c r="AYS49" s="16"/>
      <c r="AYT49" s="16"/>
      <c r="AYU49" s="16"/>
      <c r="AYV49" s="16"/>
      <c r="AYW49" s="16"/>
      <c r="AYX49" s="16"/>
      <c r="AYY49" s="16"/>
      <c r="AYZ49" s="16"/>
      <c r="AZA49" s="16"/>
      <c r="AZB49" s="16"/>
      <c r="AZC49" s="16"/>
      <c r="AZD49" s="16"/>
      <c r="AZE49" s="16"/>
      <c r="AZF49" s="16"/>
      <c r="AZG49" s="16"/>
      <c r="AZH49" s="16"/>
      <c r="AZI49" s="16"/>
      <c r="AZJ49" s="16"/>
      <c r="AZK49" s="16"/>
      <c r="AZL49" s="16"/>
      <c r="AZM49" s="16"/>
      <c r="AZN49" s="16"/>
      <c r="AZO49" s="16"/>
      <c r="AZP49" s="16"/>
      <c r="AZQ49" s="16"/>
      <c r="AZR49" s="16"/>
      <c r="AZS49" s="16"/>
      <c r="AZT49" s="16"/>
      <c r="AZU49" s="16"/>
      <c r="AZV49" s="16"/>
      <c r="AZW49" s="16"/>
      <c r="AZX49" s="16"/>
      <c r="AZY49" s="16"/>
      <c r="AZZ49" s="16"/>
      <c r="BAA49" s="16"/>
      <c r="BAB49" s="16"/>
      <c r="BAC49" s="16"/>
      <c r="BAD49" s="16"/>
      <c r="BAE49" s="16"/>
      <c r="BAF49" s="16"/>
      <c r="BAG49" s="16"/>
      <c r="BAH49" s="16"/>
      <c r="BAI49" s="16"/>
      <c r="BAJ49" s="16"/>
      <c r="BAK49" s="16"/>
      <c r="BAL49" s="16"/>
      <c r="BAM49" s="16"/>
      <c r="BAN49" s="16"/>
      <c r="BAO49" s="16"/>
      <c r="BAP49" s="16"/>
      <c r="BAQ49" s="16"/>
      <c r="BAR49" s="16"/>
      <c r="BAS49" s="16"/>
      <c r="BAT49" s="16"/>
      <c r="BAU49" s="16"/>
      <c r="BAV49" s="16"/>
      <c r="BAW49" s="16"/>
      <c r="BAX49" s="16"/>
      <c r="BAY49" s="16"/>
      <c r="BAZ49" s="16"/>
      <c r="BBA49" s="16"/>
      <c r="BBB49" s="16"/>
      <c r="BBC49" s="16"/>
      <c r="BBD49" s="16"/>
      <c r="BBE49" s="16"/>
      <c r="BBF49" s="16"/>
      <c r="BBG49" s="16"/>
      <c r="BBH49" s="16"/>
      <c r="BBI49" s="16"/>
      <c r="BBJ49" s="16"/>
      <c r="BBK49" s="16"/>
      <c r="BBL49" s="16"/>
      <c r="BBM49" s="16"/>
      <c r="BBN49" s="16"/>
      <c r="BBO49" s="16"/>
      <c r="BBP49" s="16"/>
      <c r="BBQ49" s="16"/>
      <c r="BBR49" s="16"/>
      <c r="BBS49" s="16"/>
      <c r="BBT49" s="16"/>
      <c r="BBU49" s="16"/>
      <c r="BBV49" s="16"/>
      <c r="BBW49" s="16"/>
      <c r="BBX49" s="16"/>
      <c r="BBY49" s="16"/>
      <c r="BBZ49" s="16"/>
      <c r="BCA49" s="16"/>
      <c r="BCB49" s="16"/>
      <c r="BCC49" s="16"/>
      <c r="BCD49" s="16"/>
      <c r="BCE49" s="16"/>
      <c r="BCF49" s="16"/>
      <c r="BCG49" s="16"/>
      <c r="BCH49" s="16"/>
      <c r="BCI49" s="16"/>
      <c r="BCJ49" s="16"/>
      <c r="BCK49" s="16"/>
      <c r="BCL49" s="16"/>
      <c r="BCM49" s="16"/>
      <c r="BCN49" s="16"/>
      <c r="BCO49" s="16"/>
      <c r="BCP49" s="16"/>
      <c r="BCQ49" s="16"/>
      <c r="BCR49" s="16"/>
      <c r="BCS49" s="16"/>
      <c r="BCT49" s="16"/>
      <c r="BCU49" s="16"/>
      <c r="BCV49" s="16"/>
      <c r="BCW49" s="16"/>
      <c r="BCX49" s="16"/>
      <c r="BCY49" s="16"/>
      <c r="BCZ49" s="16"/>
      <c r="BDA49" s="16"/>
      <c r="BDB49" s="16"/>
      <c r="BDC49" s="16"/>
      <c r="BDD49" s="16"/>
      <c r="BDE49" s="16"/>
      <c r="BDF49" s="16"/>
      <c r="BDG49" s="16"/>
      <c r="BDH49" s="16"/>
      <c r="BDI49" s="16"/>
      <c r="BDJ49" s="16"/>
      <c r="BDK49" s="16"/>
      <c r="BDL49" s="16"/>
      <c r="BDM49" s="16"/>
      <c r="BDN49" s="16"/>
      <c r="BDO49" s="16"/>
      <c r="BDP49" s="16"/>
      <c r="BDQ49" s="16"/>
      <c r="BDR49" s="16"/>
      <c r="BDS49" s="16"/>
      <c r="BDT49" s="16"/>
      <c r="BDU49" s="16"/>
      <c r="BDV49" s="16"/>
      <c r="BDW49" s="16"/>
      <c r="BDX49" s="16"/>
      <c r="BDY49" s="16"/>
      <c r="BDZ49" s="16"/>
      <c r="BEA49" s="16"/>
      <c r="BEB49" s="16"/>
      <c r="BEC49" s="16"/>
      <c r="BED49" s="16"/>
      <c r="BEE49" s="16"/>
      <c r="BEF49" s="16"/>
      <c r="BEG49" s="16"/>
      <c r="BEH49" s="16"/>
      <c r="BEI49" s="16"/>
      <c r="BEJ49" s="16"/>
      <c r="BEK49" s="16"/>
      <c r="BEL49" s="16"/>
      <c r="BEM49" s="16"/>
      <c r="BEN49" s="16"/>
      <c r="BEO49" s="16"/>
      <c r="BEP49" s="16"/>
      <c r="BEQ49" s="16"/>
      <c r="BER49" s="16"/>
      <c r="BES49" s="16"/>
      <c r="BET49" s="16"/>
      <c r="BEU49" s="16"/>
      <c r="BEV49" s="16"/>
      <c r="BEW49" s="16"/>
      <c r="BEX49" s="16"/>
      <c r="BEY49" s="16"/>
      <c r="BEZ49" s="16"/>
      <c r="BFA49" s="16"/>
      <c r="BFB49" s="16"/>
      <c r="BFC49" s="16"/>
      <c r="BFD49" s="16"/>
      <c r="BFE49" s="16"/>
      <c r="BFF49" s="16"/>
      <c r="BFG49" s="16"/>
      <c r="BFH49" s="16"/>
      <c r="BFI49" s="16"/>
      <c r="BFJ49" s="16"/>
      <c r="BFK49" s="16"/>
      <c r="BFL49" s="16"/>
      <c r="BFM49" s="16"/>
      <c r="BFN49" s="16"/>
      <c r="BFO49" s="16"/>
      <c r="BFP49" s="16"/>
      <c r="BFQ49" s="16"/>
      <c r="BFR49" s="16"/>
      <c r="BFS49" s="16"/>
      <c r="BFT49" s="16"/>
      <c r="BFU49" s="16"/>
      <c r="BFV49" s="16"/>
      <c r="BFW49" s="16"/>
      <c r="BFX49" s="16"/>
      <c r="BFY49" s="16"/>
      <c r="BFZ49" s="16"/>
      <c r="BGA49" s="16"/>
      <c r="BGB49" s="16"/>
      <c r="BGC49" s="16"/>
      <c r="BGD49" s="16"/>
      <c r="BGE49" s="16"/>
      <c r="BGF49" s="16"/>
      <c r="BGG49" s="16"/>
      <c r="BGH49" s="16"/>
      <c r="BGI49" s="16"/>
      <c r="BGJ49" s="16"/>
      <c r="BGK49" s="16"/>
      <c r="BGL49" s="16"/>
      <c r="BGM49" s="16"/>
      <c r="BGN49" s="16"/>
      <c r="BGO49" s="16"/>
      <c r="BGP49" s="16"/>
      <c r="BGQ49" s="16"/>
      <c r="BGR49" s="16"/>
      <c r="BGS49" s="16"/>
      <c r="BGT49" s="16"/>
      <c r="BGU49" s="16"/>
      <c r="BGV49" s="16"/>
      <c r="BGW49" s="16"/>
      <c r="BGX49" s="16"/>
      <c r="BGY49" s="16"/>
      <c r="BGZ49" s="16"/>
      <c r="BHA49" s="16"/>
      <c r="BHB49" s="16"/>
      <c r="BHC49" s="16"/>
      <c r="BHD49" s="16"/>
      <c r="BHE49" s="16"/>
      <c r="BHF49" s="16"/>
      <c r="BHG49" s="16"/>
      <c r="BHH49" s="16"/>
      <c r="BHI49" s="16"/>
      <c r="BHJ49" s="16"/>
      <c r="BHK49" s="16"/>
      <c r="BHL49" s="16"/>
      <c r="BHM49" s="16"/>
      <c r="BHN49" s="16"/>
      <c r="BHO49" s="16"/>
      <c r="BHP49" s="16"/>
      <c r="BHQ49" s="16"/>
      <c r="BHR49" s="16"/>
      <c r="BHS49" s="16"/>
      <c r="BHT49" s="16"/>
      <c r="BHU49" s="16"/>
      <c r="BHV49" s="16"/>
      <c r="BHW49" s="16"/>
      <c r="BHX49" s="16"/>
      <c r="BHY49" s="16"/>
      <c r="BHZ49" s="16"/>
      <c r="BIA49" s="16"/>
      <c r="BIB49" s="16"/>
      <c r="BIC49" s="16"/>
      <c r="BID49" s="16"/>
      <c r="BIE49" s="16"/>
      <c r="BIF49" s="16"/>
      <c r="BIG49" s="16"/>
      <c r="BIH49" s="16"/>
      <c r="BII49" s="16"/>
      <c r="BIJ49" s="16"/>
      <c r="BIK49" s="16"/>
      <c r="BIL49" s="16"/>
      <c r="BIM49" s="16"/>
      <c r="BIN49" s="16"/>
      <c r="BIO49" s="16"/>
      <c r="BIP49" s="16"/>
      <c r="BIQ49" s="16"/>
      <c r="BIR49" s="16"/>
      <c r="BIS49" s="16"/>
      <c r="BIT49" s="16"/>
      <c r="BIU49" s="16"/>
      <c r="BIV49" s="16"/>
      <c r="BIW49" s="16"/>
      <c r="BIX49" s="16"/>
      <c r="BIY49" s="16"/>
      <c r="BIZ49" s="16"/>
      <c r="BJA49" s="16"/>
      <c r="BJB49" s="16"/>
      <c r="BJC49" s="16"/>
      <c r="BJD49" s="16"/>
      <c r="BJE49" s="16"/>
      <c r="BJF49" s="16"/>
      <c r="BJG49" s="16"/>
      <c r="BJH49" s="16"/>
      <c r="BJI49" s="16"/>
      <c r="BJJ49" s="16"/>
      <c r="BJK49" s="16"/>
      <c r="BJL49" s="16"/>
      <c r="BJM49" s="16"/>
      <c r="BJN49" s="16"/>
      <c r="BJO49" s="16"/>
      <c r="BJP49" s="16"/>
      <c r="BJQ49" s="16"/>
      <c r="BJR49" s="16"/>
      <c r="BJS49" s="16"/>
      <c r="BJT49" s="16"/>
      <c r="BJU49" s="16"/>
      <c r="BJV49" s="16"/>
      <c r="BJW49" s="16"/>
      <c r="BJX49" s="16"/>
      <c r="BJY49" s="16"/>
      <c r="BJZ49" s="16"/>
      <c r="BKA49" s="16"/>
      <c r="BKB49" s="16"/>
      <c r="BKC49" s="16"/>
      <c r="BKD49" s="16"/>
      <c r="BKE49" s="16"/>
      <c r="BKF49" s="16"/>
      <c r="BKG49" s="16"/>
      <c r="BKH49" s="16"/>
      <c r="BKI49" s="16"/>
      <c r="BKJ49" s="16"/>
      <c r="BKK49" s="16"/>
      <c r="BKL49" s="16"/>
      <c r="BKM49" s="16"/>
      <c r="BKN49" s="16"/>
      <c r="BKO49" s="16"/>
      <c r="BKP49" s="16"/>
      <c r="BKQ49" s="16"/>
      <c r="BKR49" s="16"/>
      <c r="BKS49" s="16"/>
      <c r="BKT49" s="16"/>
      <c r="BKU49" s="16"/>
      <c r="BKV49" s="16"/>
      <c r="BKW49" s="16"/>
      <c r="BKX49" s="16"/>
      <c r="BKY49" s="16"/>
      <c r="BKZ49" s="16"/>
      <c r="BLA49" s="16"/>
      <c r="BLB49" s="16"/>
      <c r="BLC49" s="16"/>
      <c r="BLD49" s="16"/>
      <c r="BLE49" s="16"/>
      <c r="BLF49" s="16"/>
      <c r="BLG49" s="16"/>
      <c r="BLH49" s="16"/>
      <c r="BLI49" s="16"/>
      <c r="BLJ49" s="16"/>
      <c r="BLK49" s="16"/>
      <c r="BLL49" s="16"/>
      <c r="BLM49" s="16"/>
      <c r="BLN49" s="16"/>
      <c r="BLO49" s="16"/>
      <c r="BLP49" s="16"/>
      <c r="BLQ49" s="16"/>
      <c r="BLR49" s="16"/>
      <c r="BLS49" s="16"/>
      <c r="BLT49" s="16"/>
      <c r="BLU49" s="16"/>
      <c r="BLV49" s="16"/>
      <c r="BLW49" s="16"/>
      <c r="BLX49" s="16"/>
      <c r="BLY49" s="16"/>
      <c r="BLZ49" s="16"/>
      <c r="BMA49" s="16"/>
      <c r="BMB49" s="16"/>
      <c r="BMC49" s="16"/>
      <c r="BMD49" s="16"/>
      <c r="BME49" s="16"/>
      <c r="BMF49" s="16"/>
      <c r="BMG49" s="16"/>
      <c r="BMH49" s="16"/>
      <c r="BMI49" s="16"/>
      <c r="BMJ49" s="16"/>
      <c r="BMK49" s="16"/>
      <c r="BML49" s="16"/>
      <c r="BMM49" s="16"/>
      <c r="BMN49" s="16"/>
      <c r="BMO49" s="16"/>
      <c r="BMP49" s="16"/>
      <c r="BMQ49" s="16"/>
      <c r="BMR49" s="16"/>
      <c r="BMS49" s="16"/>
      <c r="BMT49" s="16"/>
      <c r="BMU49" s="16"/>
      <c r="BMV49" s="16"/>
      <c r="BMW49" s="16"/>
      <c r="BMX49" s="16"/>
      <c r="BMY49" s="16"/>
      <c r="BMZ49" s="16"/>
      <c r="BNA49" s="16"/>
      <c r="BNB49" s="16"/>
      <c r="BNC49" s="16"/>
      <c r="BND49" s="16"/>
      <c r="BNE49" s="16"/>
      <c r="BNF49" s="16"/>
      <c r="BNG49" s="16"/>
      <c r="BNH49" s="16"/>
      <c r="BNI49" s="16"/>
      <c r="BNJ49" s="16"/>
      <c r="BNK49" s="16"/>
      <c r="BNL49" s="16"/>
      <c r="BNM49" s="16"/>
      <c r="BNN49" s="16"/>
      <c r="BNO49" s="16"/>
      <c r="BNP49" s="16"/>
      <c r="BNQ49" s="16"/>
      <c r="BNR49" s="16"/>
      <c r="BNS49" s="16"/>
      <c r="BNT49" s="16"/>
      <c r="BNU49" s="16"/>
      <c r="BNV49" s="16"/>
      <c r="BNW49" s="16"/>
      <c r="BNX49" s="16"/>
      <c r="BNY49" s="16"/>
      <c r="BNZ49" s="16"/>
      <c r="BOA49" s="16"/>
      <c r="BOB49" s="16"/>
      <c r="BOC49" s="16"/>
      <c r="BOD49" s="16"/>
      <c r="BOE49" s="16"/>
      <c r="BOF49" s="16"/>
      <c r="BOG49" s="16"/>
      <c r="BOH49" s="16"/>
      <c r="BOI49" s="16"/>
      <c r="BOJ49" s="16"/>
      <c r="BOK49" s="16"/>
      <c r="BOL49" s="16"/>
      <c r="BOM49" s="16"/>
      <c r="BON49" s="16"/>
      <c r="BOO49" s="16"/>
      <c r="BOP49" s="16"/>
      <c r="BOQ49" s="16"/>
      <c r="BOR49" s="16"/>
      <c r="BOS49" s="16"/>
      <c r="BOT49" s="16"/>
      <c r="BOU49" s="16"/>
      <c r="BOV49" s="16"/>
      <c r="BOW49" s="16"/>
      <c r="BOX49" s="16"/>
      <c r="BOY49" s="16"/>
      <c r="BOZ49" s="16"/>
      <c r="BPA49" s="16"/>
      <c r="BPB49" s="16"/>
      <c r="BPC49" s="16"/>
      <c r="BPD49" s="16"/>
      <c r="BPE49" s="16"/>
      <c r="BPF49" s="16"/>
      <c r="BPG49" s="16"/>
      <c r="BPH49" s="16"/>
      <c r="BPI49" s="16"/>
      <c r="BPJ49" s="16"/>
      <c r="BPK49" s="16"/>
      <c r="BPL49" s="16"/>
      <c r="BPM49" s="16"/>
      <c r="BPN49" s="16"/>
      <c r="BPO49" s="16"/>
      <c r="BPP49" s="16"/>
      <c r="BPQ49" s="16"/>
      <c r="BPR49" s="16"/>
      <c r="BPS49" s="16"/>
      <c r="BPT49" s="16"/>
      <c r="BPU49" s="16"/>
      <c r="BPV49" s="16"/>
      <c r="BPW49" s="16"/>
      <c r="BPX49" s="16"/>
      <c r="BPY49" s="16"/>
      <c r="BPZ49" s="16"/>
      <c r="BQA49" s="16"/>
      <c r="BQB49" s="16"/>
      <c r="BQC49" s="16"/>
      <c r="BQD49" s="16"/>
      <c r="BQE49" s="16"/>
      <c r="BQF49" s="16"/>
      <c r="BQG49" s="16"/>
      <c r="BQH49" s="16"/>
      <c r="BQI49" s="16"/>
      <c r="BQJ49" s="16"/>
      <c r="BQK49" s="16"/>
      <c r="BQL49" s="16"/>
      <c r="BQM49" s="16"/>
      <c r="BQN49" s="16"/>
      <c r="BQO49" s="16"/>
      <c r="BQP49" s="16"/>
      <c r="BQQ49" s="16"/>
      <c r="BQR49" s="16"/>
      <c r="BQS49" s="16"/>
      <c r="BQT49" s="16"/>
      <c r="BQU49" s="16"/>
      <c r="BQV49" s="16"/>
      <c r="BQW49" s="16"/>
      <c r="BQX49" s="16"/>
      <c r="BQY49" s="16"/>
      <c r="BQZ49" s="16"/>
      <c r="BRA49" s="16"/>
      <c r="BRB49" s="16"/>
      <c r="BRC49" s="16"/>
      <c r="BRD49" s="16"/>
      <c r="BRE49" s="16"/>
      <c r="BRF49" s="16"/>
      <c r="BRG49" s="16"/>
      <c r="BRH49" s="16"/>
      <c r="BRI49" s="16"/>
      <c r="BRJ49" s="16"/>
      <c r="BRK49" s="16"/>
      <c r="BRL49" s="16"/>
      <c r="BRM49" s="16"/>
      <c r="BRN49" s="16"/>
      <c r="BRO49" s="16"/>
      <c r="BRP49" s="16"/>
      <c r="BRQ49" s="16"/>
      <c r="BRR49" s="16"/>
      <c r="BRS49" s="16"/>
      <c r="BRT49" s="16"/>
      <c r="BRU49" s="16"/>
      <c r="BRV49" s="16"/>
      <c r="BRW49" s="16"/>
      <c r="BRX49" s="16"/>
      <c r="BRY49" s="16"/>
      <c r="BRZ49" s="16"/>
      <c r="BSA49" s="16"/>
      <c r="BSB49" s="16"/>
      <c r="BSC49" s="16"/>
      <c r="BSD49" s="16"/>
      <c r="BSE49" s="16"/>
      <c r="BSF49" s="16"/>
      <c r="BSG49" s="16"/>
      <c r="BSH49" s="16"/>
      <c r="BSI49" s="16"/>
      <c r="BSJ49" s="16"/>
      <c r="BSK49" s="16"/>
      <c r="BSL49" s="16"/>
      <c r="BSM49" s="16"/>
      <c r="BSN49" s="16"/>
      <c r="BSO49" s="16"/>
      <c r="BSP49" s="16"/>
      <c r="BSQ49" s="16"/>
      <c r="BSR49" s="16"/>
      <c r="BSS49" s="16"/>
      <c r="BST49" s="16"/>
      <c r="BSU49" s="16"/>
      <c r="BSV49" s="16"/>
      <c r="BSW49" s="16"/>
      <c r="BSX49" s="16"/>
      <c r="BSY49" s="16"/>
      <c r="BSZ49" s="16"/>
      <c r="BTA49" s="16"/>
      <c r="BTB49" s="16"/>
      <c r="BTC49" s="16"/>
      <c r="BTD49" s="16"/>
      <c r="BTE49" s="16"/>
      <c r="BTF49" s="16"/>
      <c r="BTG49" s="16"/>
      <c r="BTH49" s="16"/>
      <c r="BTI49" s="16"/>
      <c r="BTJ49" s="16"/>
      <c r="BTK49" s="16"/>
      <c r="BTL49" s="16"/>
      <c r="BTM49" s="16"/>
      <c r="BTN49" s="16"/>
      <c r="BTO49" s="16"/>
      <c r="BTP49" s="16"/>
      <c r="BTQ49" s="16"/>
      <c r="BTR49" s="16"/>
      <c r="BTS49" s="16"/>
      <c r="BTT49" s="16"/>
      <c r="BTU49" s="16"/>
      <c r="BTV49" s="16"/>
      <c r="BTW49" s="16"/>
      <c r="BTX49" s="16"/>
      <c r="BTY49" s="16"/>
      <c r="BTZ49" s="16"/>
      <c r="BUA49" s="16"/>
      <c r="BUB49" s="16"/>
      <c r="BUC49" s="16"/>
      <c r="BUD49" s="16"/>
      <c r="BUE49" s="16"/>
      <c r="BUF49" s="16"/>
      <c r="BUG49" s="16"/>
      <c r="BUH49" s="16"/>
      <c r="BUI49" s="16"/>
      <c r="BUJ49" s="16"/>
      <c r="BUK49" s="16"/>
      <c r="BUL49" s="16"/>
      <c r="BUM49" s="16"/>
      <c r="BUN49" s="16"/>
      <c r="BUO49" s="16"/>
      <c r="BUP49" s="16"/>
      <c r="BUQ49" s="16"/>
      <c r="BUR49" s="16"/>
      <c r="BUS49" s="16"/>
      <c r="BUT49" s="16"/>
      <c r="BUU49" s="16"/>
      <c r="BUV49" s="16"/>
      <c r="BUW49" s="16"/>
      <c r="BUX49" s="16"/>
      <c r="BUY49" s="16"/>
      <c r="BUZ49" s="16"/>
      <c r="BVA49" s="16"/>
      <c r="BVB49" s="16"/>
      <c r="BVC49" s="16"/>
      <c r="BVD49" s="16"/>
      <c r="BVE49" s="16"/>
      <c r="BVF49" s="16"/>
      <c r="BVG49" s="16"/>
      <c r="BVH49" s="16"/>
      <c r="BVI49" s="16"/>
      <c r="BVJ49" s="16"/>
      <c r="BVK49" s="16"/>
      <c r="BVL49" s="16"/>
      <c r="BVM49" s="16"/>
      <c r="BVN49" s="16"/>
      <c r="BVO49" s="16"/>
      <c r="BVP49" s="16"/>
      <c r="BVQ49" s="16"/>
      <c r="BVR49" s="16"/>
      <c r="BVS49" s="16"/>
      <c r="BVT49" s="16"/>
      <c r="BVU49" s="16"/>
      <c r="BVV49" s="16"/>
      <c r="BVW49" s="16"/>
      <c r="BVX49" s="16"/>
      <c r="BVY49" s="16"/>
      <c r="BVZ49" s="16"/>
      <c r="BWA49" s="16"/>
      <c r="BWB49" s="16"/>
      <c r="BWC49" s="16"/>
      <c r="BWD49" s="16"/>
      <c r="BWE49" s="16"/>
      <c r="BWF49" s="16"/>
      <c r="BWG49" s="16"/>
      <c r="BWH49" s="16"/>
      <c r="BWI49" s="16"/>
      <c r="BWJ49" s="16"/>
      <c r="BWK49" s="16"/>
      <c r="BWL49" s="16"/>
      <c r="BWM49" s="16"/>
      <c r="BWN49" s="16"/>
      <c r="BWO49" s="16"/>
      <c r="BWP49" s="16"/>
      <c r="BWQ49" s="16"/>
      <c r="BWR49" s="16"/>
      <c r="BWS49" s="16"/>
      <c r="BWT49" s="16"/>
      <c r="BWU49" s="16"/>
      <c r="BWV49" s="16"/>
      <c r="BWW49" s="16"/>
      <c r="BWX49" s="16"/>
      <c r="BWY49" s="16"/>
      <c r="BWZ49" s="16"/>
      <c r="BXA49" s="16"/>
      <c r="BXB49" s="16"/>
      <c r="BXC49" s="16"/>
      <c r="BXD49" s="16"/>
      <c r="BXE49" s="16"/>
      <c r="BXF49" s="16"/>
      <c r="BXG49" s="16"/>
      <c r="BXH49" s="16"/>
      <c r="BXI49" s="16"/>
      <c r="BXJ49" s="16"/>
      <c r="BXK49" s="16"/>
      <c r="BXL49" s="16"/>
      <c r="BXM49" s="16"/>
      <c r="BXN49" s="16"/>
      <c r="BXO49" s="16"/>
      <c r="BXP49" s="16"/>
      <c r="BXQ49" s="16"/>
      <c r="BXR49" s="16"/>
      <c r="BXS49" s="16"/>
      <c r="BXT49" s="16"/>
      <c r="BXU49" s="16"/>
      <c r="BXV49" s="16"/>
      <c r="BXW49" s="16"/>
      <c r="BXX49" s="16"/>
      <c r="BXY49" s="16"/>
      <c r="BXZ49" s="16"/>
      <c r="BYA49" s="16"/>
      <c r="BYB49" s="16"/>
      <c r="BYC49" s="16"/>
      <c r="BYD49" s="16"/>
      <c r="BYE49" s="16"/>
      <c r="BYF49" s="16"/>
      <c r="BYG49" s="16"/>
      <c r="BYH49" s="16"/>
      <c r="BYI49" s="16"/>
      <c r="BYJ49" s="16"/>
      <c r="BYK49" s="16"/>
      <c r="BYL49" s="16"/>
      <c r="BYM49" s="16"/>
      <c r="BYN49" s="16"/>
      <c r="BYO49" s="16"/>
      <c r="BYP49" s="16"/>
      <c r="BYQ49" s="16"/>
      <c r="BYR49" s="16"/>
      <c r="BYS49" s="16"/>
      <c r="BYT49" s="16"/>
      <c r="BYU49" s="16"/>
      <c r="BYV49" s="16"/>
      <c r="BYW49" s="16"/>
      <c r="BYX49" s="16"/>
      <c r="BYY49" s="16"/>
      <c r="BYZ49" s="16"/>
      <c r="BZA49" s="16"/>
      <c r="BZB49" s="16"/>
      <c r="BZC49" s="16"/>
      <c r="BZD49" s="16"/>
      <c r="BZE49" s="16"/>
      <c r="BZF49" s="16"/>
      <c r="BZG49" s="16"/>
      <c r="BZH49" s="16"/>
      <c r="BZI49" s="16"/>
      <c r="BZJ49" s="16"/>
      <c r="BZK49" s="16"/>
      <c r="BZL49" s="16"/>
      <c r="BZM49" s="16"/>
      <c r="BZN49" s="16"/>
      <c r="BZO49" s="16"/>
      <c r="BZP49" s="16"/>
      <c r="BZQ49" s="16"/>
      <c r="BZR49" s="16"/>
      <c r="BZS49" s="16"/>
      <c r="BZT49" s="16"/>
      <c r="BZU49" s="16"/>
      <c r="BZV49" s="16"/>
      <c r="BZW49" s="16"/>
      <c r="BZX49" s="16"/>
      <c r="BZY49" s="16"/>
      <c r="BZZ49" s="16"/>
      <c r="CAA49" s="16"/>
      <c r="CAB49" s="16"/>
      <c r="CAC49" s="16"/>
      <c r="CAD49" s="16"/>
      <c r="CAE49" s="16"/>
      <c r="CAF49" s="16"/>
      <c r="CAG49" s="16"/>
      <c r="CAH49" s="16"/>
      <c r="CAI49" s="16"/>
      <c r="CAJ49" s="16"/>
      <c r="CAK49" s="16"/>
      <c r="CAL49" s="16"/>
      <c r="CAM49" s="16"/>
      <c r="CAN49" s="16"/>
      <c r="CAO49" s="16"/>
      <c r="CAP49" s="16"/>
      <c r="CAQ49" s="16"/>
      <c r="CAR49" s="16"/>
      <c r="CAS49" s="16"/>
      <c r="CAT49" s="16"/>
      <c r="CAU49" s="16"/>
      <c r="CAV49" s="16"/>
      <c r="CAW49" s="16"/>
      <c r="CAX49" s="16"/>
      <c r="CAY49" s="16"/>
      <c r="CAZ49" s="16"/>
      <c r="CBA49" s="16"/>
      <c r="CBB49" s="16"/>
      <c r="CBC49" s="16"/>
      <c r="CBD49" s="16"/>
      <c r="CBE49" s="16"/>
      <c r="CBF49" s="16"/>
      <c r="CBG49" s="16"/>
      <c r="CBH49" s="16"/>
      <c r="CBI49" s="16"/>
      <c r="CBJ49" s="16"/>
      <c r="CBK49" s="16"/>
      <c r="CBL49" s="16"/>
      <c r="CBM49" s="16"/>
      <c r="CBN49" s="16"/>
      <c r="CBO49" s="16"/>
      <c r="CBP49" s="16"/>
      <c r="CBQ49" s="16"/>
      <c r="CBR49" s="16"/>
      <c r="CBS49" s="16"/>
      <c r="CBT49" s="16"/>
      <c r="CBU49" s="16"/>
      <c r="CBV49" s="16"/>
      <c r="CBW49" s="16"/>
      <c r="CBX49" s="16"/>
      <c r="CBY49" s="16"/>
      <c r="CBZ49" s="16"/>
      <c r="CCA49" s="16"/>
      <c r="CCB49" s="16"/>
      <c r="CCC49" s="16"/>
      <c r="CCD49" s="16"/>
      <c r="CCE49" s="16"/>
      <c r="CCF49" s="16"/>
      <c r="CCG49" s="16"/>
      <c r="CCH49" s="16"/>
      <c r="CCI49" s="16"/>
      <c r="CCJ49" s="16"/>
      <c r="CCK49" s="16"/>
      <c r="CCL49" s="16"/>
      <c r="CCM49" s="16"/>
      <c r="CCN49" s="16"/>
      <c r="CCO49" s="16"/>
      <c r="CCP49" s="16"/>
      <c r="CCQ49" s="16"/>
      <c r="CCR49" s="16"/>
      <c r="CCS49" s="16"/>
      <c r="CCT49" s="16"/>
      <c r="CCU49" s="16"/>
      <c r="CCV49" s="16"/>
      <c r="CCW49" s="16"/>
      <c r="CCX49" s="16"/>
      <c r="CCY49" s="16"/>
      <c r="CCZ49" s="16"/>
      <c r="CDA49" s="16"/>
      <c r="CDB49" s="16"/>
      <c r="CDC49" s="16"/>
      <c r="CDD49" s="16"/>
      <c r="CDE49" s="16"/>
      <c r="CDF49" s="16"/>
      <c r="CDG49" s="16"/>
      <c r="CDH49" s="16"/>
      <c r="CDI49" s="16"/>
      <c r="CDJ49" s="16"/>
      <c r="CDK49" s="16"/>
      <c r="CDL49" s="16"/>
      <c r="CDM49" s="16"/>
      <c r="CDN49" s="16"/>
      <c r="CDO49" s="16"/>
      <c r="CDP49" s="16"/>
      <c r="CDQ49" s="16"/>
      <c r="CDR49" s="16"/>
      <c r="CDS49" s="16"/>
      <c r="CDT49" s="16"/>
      <c r="CDU49" s="16"/>
      <c r="CDV49" s="16"/>
      <c r="CDW49" s="16"/>
      <c r="CDX49" s="16"/>
      <c r="CDY49" s="16"/>
      <c r="CDZ49" s="16"/>
      <c r="CEA49" s="16"/>
      <c r="CEB49" s="16"/>
      <c r="CEC49" s="16"/>
      <c r="CED49" s="16"/>
      <c r="CEE49" s="16"/>
      <c r="CEF49" s="16"/>
      <c r="CEG49" s="16"/>
      <c r="CEH49" s="16"/>
      <c r="CEI49" s="16"/>
      <c r="CEJ49" s="16"/>
      <c r="CEK49" s="16"/>
      <c r="CEL49" s="16"/>
      <c r="CEM49" s="16"/>
      <c r="CEN49" s="16"/>
      <c r="CEO49" s="16"/>
      <c r="CEP49" s="16"/>
      <c r="CEQ49" s="16"/>
      <c r="CER49" s="16"/>
      <c r="CES49" s="16"/>
      <c r="CET49" s="16"/>
      <c r="CEU49" s="16"/>
      <c r="CEV49" s="16"/>
      <c r="CEW49" s="16"/>
      <c r="CEX49" s="16"/>
      <c r="CEY49" s="16"/>
      <c r="CEZ49" s="16"/>
      <c r="CFA49" s="16"/>
      <c r="CFB49" s="16"/>
      <c r="CFC49" s="16"/>
      <c r="CFD49" s="16"/>
      <c r="CFE49" s="16"/>
      <c r="CFF49" s="16"/>
      <c r="CFG49" s="16"/>
      <c r="CFH49" s="16"/>
      <c r="CFI49" s="16"/>
      <c r="CFJ49" s="16"/>
      <c r="CFK49" s="16"/>
      <c r="CFL49" s="16"/>
      <c r="CFM49" s="16"/>
      <c r="CFN49" s="16"/>
      <c r="CFO49" s="16"/>
      <c r="CFP49" s="16"/>
      <c r="CFQ49" s="16"/>
      <c r="CFR49" s="16"/>
      <c r="CFS49" s="16"/>
      <c r="CFT49" s="16"/>
      <c r="CFU49" s="16"/>
      <c r="CFV49" s="16"/>
      <c r="CFW49" s="16"/>
      <c r="CFX49" s="16"/>
      <c r="CFY49" s="16"/>
      <c r="CFZ49" s="16"/>
      <c r="CGA49" s="16"/>
      <c r="CGB49" s="16"/>
      <c r="CGC49" s="16"/>
      <c r="CGD49" s="16"/>
      <c r="CGE49" s="16"/>
      <c r="CGF49" s="16"/>
      <c r="CGG49" s="16"/>
      <c r="CGH49" s="16"/>
      <c r="CGI49" s="16"/>
      <c r="CGJ49" s="16"/>
      <c r="CGK49" s="16"/>
      <c r="CGL49" s="16"/>
      <c r="CGM49" s="16"/>
      <c r="CGN49" s="16"/>
      <c r="CGO49" s="16"/>
      <c r="CGP49" s="16"/>
      <c r="CGQ49" s="16"/>
      <c r="CGR49" s="16"/>
      <c r="CGS49" s="16"/>
      <c r="CGT49" s="16"/>
      <c r="CGU49" s="16"/>
      <c r="CGV49" s="16"/>
      <c r="CGW49" s="16"/>
      <c r="CGX49" s="16"/>
      <c r="CGY49" s="16"/>
      <c r="CGZ49" s="16"/>
      <c r="CHA49" s="16"/>
      <c r="CHB49" s="16"/>
      <c r="CHC49" s="16"/>
      <c r="CHD49" s="16"/>
      <c r="CHE49" s="16"/>
      <c r="CHF49" s="16"/>
      <c r="CHG49" s="16"/>
      <c r="CHH49" s="16"/>
      <c r="CHI49" s="16"/>
      <c r="CHJ49" s="16"/>
      <c r="CHK49" s="16"/>
      <c r="CHL49" s="16"/>
      <c r="CHM49" s="16"/>
      <c r="CHN49" s="16"/>
      <c r="CHO49" s="16"/>
      <c r="CHP49" s="16"/>
      <c r="CHQ49" s="16"/>
      <c r="CHR49" s="16"/>
      <c r="CHS49" s="16"/>
      <c r="CHT49" s="16"/>
      <c r="CHU49" s="16"/>
      <c r="CHV49" s="16"/>
      <c r="CHW49" s="16"/>
      <c r="CHX49" s="16"/>
      <c r="CHY49" s="16"/>
      <c r="CHZ49" s="16"/>
      <c r="CIA49" s="16"/>
      <c r="CIB49" s="16"/>
      <c r="CIC49" s="16"/>
      <c r="CID49" s="16"/>
      <c r="CIE49" s="16"/>
      <c r="CIF49" s="16"/>
      <c r="CIG49" s="16"/>
      <c r="CIH49" s="16"/>
      <c r="CII49" s="16"/>
      <c r="CIJ49" s="16"/>
      <c r="CIK49" s="16"/>
      <c r="CIL49" s="16"/>
      <c r="CIM49" s="16"/>
      <c r="CIN49" s="16"/>
      <c r="CIO49" s="16"/>
      <c r="CIP49" s="16"/>
      <c r="CIQ49" s="16"/>
      <c r="CIR49" s="16"/>
      <c r="CIS49" s="16"/>
      <c r="CIT49" s="16"/>
      <c r="CIU49" s="16"/>
      <c r="CIV49" s="16"/>
      <c r="CIW49" s="16"/>
      <c r="CIX49" s="16"/>
      <c r="CIY49" s="16"/>
      <c r="CIZ49" s="16"/>
      <c r="CJA49" s="16"/>
      <c r="CJB49" s="16"/>
      <c r="CJC49" s="16"/>
      <c r="CJD49" s="16"/>
      <c r="CJE49" s="16"/>
      <c r="CJF49" s="16"/>
      <c r="CJG49" s="16"/>
      <c r="CJH49" s="16"/>
      <c r="CJI49" s="16"/>
      <c r="CJJ49" s="16"/>
      <c r="CJK49" s="16"/>
      <c r="CJL49" s="16"/>
      <c r="CJM49" s="16"/>
      <c r="CJN49" s="16"/>
      <c r="CJO49" s="16"/>
      <c r="CJP49" s="16"/>
      <c r="CJQ49" s="16"/>
      <c r="CJR49" s="16"/>
      <c r="CJS49" s="16"/>
      <c r="CJT49" s="16"/>
      <c r="CJU49" s="16"/>
      <c r="CJV49" s="16"/>
      <c r="CJW49" s="16"/>
      <c r="CJX49" s="16"/>
      <c r="CJY49" s="16"/>
      <c r="CJZ49" s="16"/>
      <c r="CKA49" s="16"/>
      <c r="CKB49" s="16"/>
      <c r="CKC49" s="16"/>
      <c r="CKD49" s="16"/>
      <c r="CKE49" s="16"/>
      <c r="CKF49" s="16"/>
      <c r="CKG49" s="16"/>
      <c r="CKH49" s="16"/>
      <c r="CKI49" s="16"/>
      <c r="CKJ49" s="16"/>
      <c r="CKK49" s="16"/>
      <c r="CKL49" s="16"/>
      <c r="CKM49" s="16"/>
      <c r="CKN49" s="16"/>
      <c r="CKO49" s="16"/>
      <c r="CKP49" s="16"/>
      <c r="CKQ49" s="16"/>
      <c r="CKR49" s="16"/>
      <c r="CKS49" s="16"/>
      <c r="CKT49" s="16"/>
      <c r="CKU49" s="16"/>
      <c r="CKV49" s="16"/>
      <c r="CKW49" s="16"/>
      <c r="CKX49" s="16"/>
      <c r="CKY49" s="16"/>
      <c r="CKZ49" s="16"/>
      <c r="CLA49" s="16"/>
      <c r="CLB49" s="16"/>
      <c r="CLC49" s="16"/>
      <c r="CLD49" s="16"/>
      <c r="CLE49" s="16"/>
      <c r="CLF49" s="16"/>
      <c r="CLG49" s="16"/>
      <c r="CLH49" s="16"/>
      <c r="CLI49" s="16"/>
      <c r="CLJ49" s="16"/>
      <c r="CLK49" s="16"/>
      <c r="CLL49" s="16"/>
      <c r="CLM49" s="16"/>
      <c r="CLN49" s="16"/>
      <c r="CLO49" s="16"/>
      <c r="CLP49" s="16"/>
      <c r="CLQ49" s="16"/>
      <c r="CLR49" s="16"/>
      <c r="CLS49" s="16"/>
      <c r="CLT49" s="16"/>
      <c r="CLU49" s="16"/>
      <c r="CLV49" s="16"/>
      <c r="CLW49" s="16"/>
      <c r="CLX49" s="16"/>
      <c r="CLY49" s="16"/>
      <c r="CLZ49" s="16"/>
      <c r="CMA49" s="16"/>
      <c r="CMB49" s="16"/>
      <c r="CMC49" s="16"/>
      <c r="CMD49" s="16"/>
      <c r="CME49" s="16"/>
      <c r="CMF49" s="16"/>
      <c r="CMG49" s="16"/>
      <c r="CMH49" s="16"/>
      <c r="CMI49" s="16"/>
      <c r="CMJ49" s="16"/>
      <c r="CMK49" s="16"/>
      <c r="CML49" s="16"/>
      <c r="CMM49" s="16"/>
      <c r="CMN49" s="16"/>
      <c r="CMO49" s="16"/>
      <c r="CMP49" s="16"/>
      <c r="CMQ49" s="16"/>
      <c r="CMR49" s="16"/>
      <c r="CMS49" s="16"/>
      <c r="CMT49" s="16"/>
      <c r="CMU49" s="16"/>
      <c r="CMV49" s="16"/>
      <c r="CMW49" s="16"/>
      <c r="CMX49" s="16"/>
      <c r="CMY49" s="16"/>
      <c r="CMZ49" s="16"/>
      <c r="CNA49" s="16"/>
      <c r="CNB49" s="16"/>
      <c r="CNC49" s="16"/>
      <c r="CND49" s="16"/>
      <c r="CNE49" s="16"/>
      <c r="CNF49" s="16"/>
      <c r="CNG49" s="16"/>
      <c r="CNH49" s="16"/>
      <c r="CNI49" s="16"/>
      <c r="CNJ49" s="16"/>
      <c r="CNK49" s="16"/>
      <c r="CNL49" s="16"/>
      <c r="CNM49" s="16"/>
      <c r="CNN49" s="16"/>
      <c r="CNO49" s="16"/>
      <c r="CNP49" s="16"/>
      <c r="CNQ49" s="16"/>
      <c r="CNR49" s="16"/>
      <c r="CNS49" s="16"/>
      <c r="CNT49" s="16"/>
      <c r="CNU49" s="16"/>
      <c r="CNV49" s="16"/>
      <c r="CNW49" s="16"/>
      <c r="CNX49" s="16"/>
      <c r="CNY49" s="16"/>
      <c r="CNZ49" s="16"/>
      <c r="COA49" s="16"/>
      <c r="COB49" s="16"/>
      <c r="COC49" s="16"/>
      <c r="COD49" s="16"/>
      <c r="COE49" s="16"/>
      <c r="COF49" s="16"/>
      <c r="COG49" s="16"/>
      <c r="COH49" s="16"/>
      <c r="COI49" s="16"/>
      <c r="COJ49" s="16"/>
      <c r="COK49" s="16"/>
      <c r="COL49" s="16"/>
      <c r="COM49" s="16"/>
      <c r="CON49" s="16"/>
      <c r="COO49" s="16"/>
      <c r="COP49" s="16"/>
      <c r="COQ49" s="16"/>
      <c r="COR49" s="16"/>
      <c r="COS49" s="16"/>
      <c r="COT49" s="16"/>
      <c r="COU49" s="16"/>
      <c r="COV49" s="16"/>
      <c r="COW49" s="16"/>
      <c r="COX49" s="16"/>
      <c r="COY49" s="16"/>
      <c r="COZ49" s="16"/>
      <c r="CPA49" s="16"/>
      <c r="CPB49" s="16"/>
      <c r="CPC49" s="16"/>
      <c r="CPD49" s="16"/>
      <c r="CPE49" s="16"/>
      <c r="CPF49" s="16"/>
      <c r="CPG49" s="16"/>
      <c r="CPH49" s="16"/>
      <c r="CPI49" s="16"/>
      <c r="CPJ49" s="16"/>
      <c r="CPK49" s="16"/>
      <c r="CPL49" s="16"/>
      <c r="CPM49" s="16"/>
      <c r="CPN49" s="16"/>
      <c r="CPO49" s="16"/>
      <c r="CPP49" s="16"/>
      <c r="CPQ49" s="16"/>
      <c r="CPR49" s="16"/>
      <c r="CPS49" s="16"/>
      <c r="CPT49" s="16"/>
      <c r="CPU49" s="16"/>
      <c r="CPV49" s="16"/>
      <c r="CPW49" s="16"/>
      <c r="CPX49" s="16"/>
      <c r="CPY49" s="16"/>
      <c r="CPZ49" s="16"/>
      <c r="CQA49" s="16"/>
      <c r="CQB49" s="16"/>
      <c r="CQC49" s="16"/>
      <c r="CQD49" s="16"/>
      <c r="CQE49" s="16"/>
      <c r="CQF49" s="16"/>
      <c r="CQG49" s="16"/>
      <c r="CQH49" s="16"/>
      <c r="CQI49" s="16"/>
      <c r="CQJ49" s="16"/>
      <c r="CQK49" s="16"/>
      <c r="CQL49" s="16"/>
      <c r="CQM49" s="16"/>
      <c r="CQN49" s="16"/>
      <c r="CQO49" s="16"/>
      <c r="CQP49" s="16"/>
      <c r="CQQ49" s="16"/>
      <c r="CQR49" s="16"/>
      <c r="CQS49" s="16"/>
      <c r="CQT49" s="16"/>
      <c r="CQU49" s="16"/>
      <c r="CQV49" s="16"/>
      <c r="CQW49" s="16"/>
      <c r="CQX49" s="16"/>
      <c r="CQY49" s="16"/>
      <c r="CQZ49" s="16"/>
      <c r="CRA49" s="16"/>
      <c r="CRB49" s="16"/>
      <c r="CRC49" s="16"/>
      <c r="CRD49" s="16"/>
      <c r="CRE49" s="16"/>
      <c r="CRF49" s="16"/>
      <c r="CRG49" s="16"/>
      <c r="CRH49" s="16"/>
      <c r="CRI49" s="16"/>
      <c r="CRJ49" s="16"/>
      <c r="CRK49" s="16"/>
      <c r="CRL49" s="16"/>
      <c r="CRM49" s="16"/>
      <c r="CRN49" s="16"/>
      <c r="CRO49" s="16"/>
      <c r="CRP49" s="16"/>
      <c r="CRQ49" s="16"/>
      <c r="CRR49" s="16"/>
      <c r="CRS49" s="16"/>
      <c r="CRT49" s="16"/>
      <c r="CRU49" s="16"/>
      <c r="CRV49" s="16"/>
      <c r="CRW49" s="16"/>
      <c r="CRX49" s="16"/>
      <c r="CRY49" s="16"/>
      <c r="CRZ49" s="16"/>
      <c r="CSA49" s="16"/>
      <c r="CSB49" s="16"/>
      <c r="CSC49" s="16"/>
      <c r="CSD49" s="16"/>
      <c r="CSE49" s="16"/>
      <c r="CSF49" s="16"/>
      <c r="CSG49" s="16"/>
      <c r="CSH49" s="16"/>
      <c r="CSI49" s="16"/>
      <c r="CSJ49" s="16"/>
      <c r="CSK49" s="16"/>
      <c r="CSL49" s="16"/>
      <c r="CSM49" s="16"/>
      <c r="CSN49" s="16"/>
      <c r="CSO49" s="16"/>
      <c r="CSP49" s="16"/>
      <c r="CSQ49" s="16"/>
      <c r="CSR49" s="16"/>
      <c r="CSS49" s="16"/>
      <c r="CST49" s="16"/>
      <c r="CSU49" s="16"/>
      <c r="CSV49" s="16"/>
      <c r="CSW49" s="16"/>
      <c r="CSX49" s="16"/>
      <c r="CSY49" s="16"/>
      <c r="CSZ49" s="16"/>
      <c r="CTA49" s="16"/>
      <c r="CTB49" s="16"/>
      <c r="CTC49" s="16"/>
      <c r="CTD49" s="16"/>
      <c r="CTE49" s="16"/>
      <c r="CTF49" s="16"/>
      <c r="CTG49" s="16"/>
      <c r="CTH49" s="16"/>
      <c r="CTI49" s="16"/>
      <c r="CTJ49" s="16"/>
      <c r="CTK49" s="16"/>
      <c r="CTL49" s="16"/>
      <c r="CTM49" s="16"/>
      <c r="CTN49" s="16"/>
      <c r="CTO49" s="16"/>
      <c r="CTP49" s="16"/>
      <c r="CTQ49" s="16"/>
      <c r="CTR49" s="16"/>
      <c r="CTS49" s="16"/>
      <c r="CTT49" s="16"/>
      <c r="CTU49" s="16"/>
      <c r="CTV49" s="16"/>
      <c r="CTW49" s="16"/>
      <c r="CTX49" s="16"/>
      <c r="CTY49" s="16"/>
      <c r="CTZ49" s="16"/>
      <c r="CUA49" s="16"/>
      <c r="CUB49" s="16"/>
      <c r="CUC49" s="16"/>
      <c r="CUD49" s="16"/>
      <c r="CUE49" s="16"/>
      <c r="CUF49" s="16"/>
      <c r="CUG49" s="16"/>
      <c r="CUH49" s="16"/>
      <c r="CUI49" s="16"/>
      <c r="CUJ49" s="16"/>
      <c r="CUK49" s="16"/>
      <c r="CUL49" s="16"/>
      <c r="CUM49" s="16"/>
      <c r="CUN49" s="16"/>
      <c r="CUO49" s="16"/>
      <c r="CUP49" s="16"/>
      <c r="CUQ49" s="16"/>
      <c r="CUR49" s="16"/>
      <c r="CUS49" s="16"/>
      <c r="CUT49" s="16"/>
      <c r="CUU49" s="16"/>
      <c r="CUV49" s="16"/>
      <c r="CUW49" s="16"/>
      <c r="CUX49" s="16"/>
      <c r="CUY49" s="16"/>
      <c r="CUZ49" s="16"/>
      <c r="CVA49" s="16"/>
      <c r="CVB49" s="16"/>
      <c r="CVC49" s="16"/>
      <c r="CVD49" s="16"/>
      <c r="CVE49" s="16"/>
      <c r="CVF49" s="16"/>
      <c r="CVG49" s="16"/>
      <c r="CVH49" s="16"/>
      <c r="CVI49" s="16"/>
      <c r="CVJ49" s="16"/>
      <c r="CVK49" s="16"/>
      <c r="CVL49" s="16"/>
      <c r="CVM49" s="16"/>
      <c r="CVN49" s="16"/>
      <c r="CVO49" s="16"/>
      <c r="CVP49" s="16"/>
      <c r="CVQ49" s="16"/>
      <c r="CVR49" s="16"/>
      <c r="CVS49" s="16"/>
      <c r="CVT49" s="16"/>
      <c r="CVU49" s="16"/>
      <c r="CVV49" s="16"/>
      <c r="CVW49" s="16"/>
      <c r="CVX49" s="16"/>
      <c r="CVY49" s="16"/>
      <c r="CVZ49" s="16"/>
      <c r="CWA49" s="16"/>
      <c r="CWB49" s="16"/>
      <c r="CWC49" s="16"/>
      <c r="CWD49" s="16"/>
      <c r="CWE49" s="16"/>
      <c r="CWF49" s="16"/>
      <c r="CWG49" s="16"/>
      <c r="CWH49" s="16"/>
      <c r="CWI49" s="16"/>
      <c r="CWJ49" s="16"/>
      <c r="CWK49" s="16"/>
      <c r="CWL49" s="16"/>
      <c r="CWM49" s="16"/>
      <c r="CWN49" s="16"/>
      <c r="CWO49" s="16"/>
      <c r="CWP49" s="16"/>
      <c r="CWQ49" s="16"/>
      <c r="CWR49" s="16"/>
      <c r="CWS49" s="16"/>
      <c r="CWT49" s="16"/>
      <c r="CWU49" s="16"/>
      <c r="CWV49" s="16"/>
      <c r="CWW49" s="16"/>
      <c r="CWX49" s="16"/>
      <c r="CWY49" s="16"/>
      <c r="CWZ49" s="16"/>
      <c r="CXA49" s="16"/>
      <c r="CXB49" s="16"/>
      <c r="CXC49" s="16"/>
      <c r="CXD49" s="16"/>
      <c r="CXE49" s="16"/>
      <c r="CXF49" s="16"/>
      <c r="CXG49" s="16"/>
      <c r="CXH49" s="16"/>
      <c r="CXI49" s="16"/>
      <c r="CXJ49" s="16"/>
      <c r="CXK49" s="16"/>
      <c r="CXL49" s="16"/>
      <c r="CXM49" s="16"/>
      <c r="CXN49" s="16"/>
      <c r="CXO49" s="16"/>
      <c r="CXP49" s="16"/>
      <c r="CXQ49" s="16"/>
      <c r="CXR49" s="16"/>
      <c r="CXS49" s="16"/>
      <c r="CXT49" s="16"/>
      <c r="CXU49" s="16"/>
      <c r="CXV49" s="16"/>
      <c r="CXW49" s="16"/>
      <c r="CXX49" s="16"/>
      <c r="CXY49" s="16"/>
      <c r="CXZ49" s="16"/>
      <c r="CYA49" s="16"/>
      <c r="CYB49" s="16"/>
      <c r="CYC49" s="16"/>
      <c r="CYD49" s="16"/>
      <c r="CYE49" s="16"/>
      <c r="CYF49" s="16"/>
      <c r="CYG49" s="16"/>
      <c r="CYH49" s="16"/>
      <c r="CYI49" s="16"/>
      <c r="CYJ49" s="16"/>
      <c r="CYK49" s="16"/>
      <c r="CYL49" s="16"/>
      <c r="CYM49" s="16"/>
      <c r="CYN49" s="16"/>
      <c r="CYO49" s="16"/>
      <c r="CYP49" s="16"/>
      <c r="CYQ49" s="16"/>
      <c r="CYR49" s="16"/>
      <c r="CYS49" s="16"/>
      <c r="CYT49" s="16"/>
      <c r="CYU49" s="16"/>
      <c r="CYV49" s="16"/>
      <c r="CYW49" s="16"/>
      <c r="CYX49" s="16"/>
      <c r="CYY49" s="16"/>
      <c r="CYZ49" s="16"/>
      <c r="CZA49" s="16"/>
      <c r="CZB49" s="16"/>
      <c r="CZC49" s="16"/>
      <c r="CZD49" s="16"/>
      <c r="CZE49" s="16"/>
      <c r="CZF49" s="16"/>
      <c r="CZG49" s="16"/>
      <c r="CZH49" s="16"/>
      <c r="CZI49" s="16"/>
      <c r="CZJ49" s="16"/>
      <c r="CZK49" s="16"/>
      <c r="CZL49" s="16"/>
      <c r="CZM49" s="16"/>
      <c r="CZN49" s="16"/>
      <c r="CZO49" s="16"/>
      <c r="CZP49" s="16"/>
      <c r="CZQ49" s="16"/>
      <c r="CZR49" s="16"/>
      <c r="CZS49" s="16"/>
      <c r="CZT49" s="16"/>
      <c r="CZU49" s="16"/>
      <c r="CZV49" s="16"/>
      <c r="CZW49" s="16"/>
      <c r="CZX49" s="16"/>
      <c r="CZY49" s="16"/>
      <c r="CZZ49" s="16"/>
      <c r="DAA49" s="16"/>
      <c r="DAB49" s="16"/>
      <c r="DAC49" s="16"/>
      <c r="DAD49" s="16"/>
      <c r="DAE49" s="16"/>
      <c r="DAF49" s="16"/>
      <c r="DAG49" s="16"/>
      <c r="DAH49" s="16"/>
      <c r="DAI49" s="16"/>
      <c r="DAJ49" s="16"/>
      <c r="DAK49" s="16"/>
      <c r="DAL49" s="16"/>
      <c r="DAM49" s="16"/>
      <c r="DAN49" s="16"/>
      <c r="DAO49" s="16"/>
      <c r="DAP49" s="16"/>
      <c r="DAQ49" s="16"/>
      <c r="DAR49" s="16"/>
      <c r="DAS49" s="16"/>
      <c r="DAT49" s="16"/>
      <c r="DAU49" s="16"/>
      <c r="DAV49" s="16"/>
      <c r="DAW49" s="16"/>
      <c r="DAX49" s="16"/>
      <c r="DAY49" s="16"/>
      <c r="DAZ49" s="16"/>
      <c r="DBA49" s="16"/>
      <c r="DBB49" s="16"/>
      <c r="DBC49" s="16"/>
      <c r="DBD49" s="16"/>
      <c r="DBE49" s="16"/>
      <c r="DBF49" s="16"/>
      <c r="DBG49" s="16"/>
      <c r="DBH49" s="16"/>
      <c r="DBI49" s="16"/>
      <c r="DBJ49" s="16"/>
      <c r="DBK49" s="16"/>
      <c r="DBL49" s="16"/>
      <c r="DBM49" s="16"/>
      <c r="DBN49" s="16"/>
      <c r="DBO49" s="16"/>
      <c r="DBP49" s="16"/>
      <c r="DBQ49" s="16"/>
      <c r="DBR49" s="16"/>
      <c r="DBS49" s="16"/>
      <c r="DBT49" s="16"/>
      <c r="DBU49" s="16"/>
      <c r="DBV49" s="16"/>
      <c r="DBW49" s="16"/>
      <c r="DBX49" s="16"/>
      <c r="DBY49" s="16"/>
      <c r="DBZ49" s="16"/>
      <c r="DCA49" s="16"/>
      <c r="DCB49" s="16"/>
      <c r="DCC49" s="16"/>
      <c r="DCD49" s="16"/>
      <c r="DCE49" s="16"/>
      <c r="DCF49" s="16"/>
      <c r="DCG49" s="16"/>
      <c r="DCH49" s="16"/>
      <c r="DCI49" s="16"/>
      <c r="DCJ49" s="16"/>
      <c r="DCK49" s="16"/>
      <c r="DCL49" s="16"/>
      <c r="DCM49" s="16"/>
      <c r="DCN49" s="16"/>
      <c r="DCO49" s="16"/>
      <c r="DCP49" s="16"/>
      <c r="DCQ49" s="16"/>
      <c r="DCR49" s="16"/>
      <c r="DCS49" s="16"/>
      <c r="DCT49" s="16"/>
      <c r="DCU49" s="16"/>
      <c r="DCV49" s="16"/>
      <c r="DCW49" s="16"/>
      <c r="DCX49" s="16"/>
      <c r="DCY49" s="16"/>
      <c r="DCZ49" s="16"/>
      <c r="DDA49" s="16"/>
      <c r="DDB49" s="16"/>
      <c r="DDC49" s="16"/>
      <c r="DDD49" s="16"/>
      <c r="DDE49" s="16"/>
      <c r="DDF49" s="16"/>
      <c r="DDG49" s="16"/>
      <c r="DDH49" s="16"/>
      <c r="DDI49" s="16"/>
      <c r="DDJ49" s="16"/>
      <c r="DDK49" s="16"/>
      <c r="DDL49" s="16"/>
      <c r="DDM49" s="16"/>
      <c r="DDN49" s="16"/>
      <c r="DDO49" s="16"/>
      <c r="DDP49" s="16"/>
      <c r="DDQ49" s="16"/>
      <c r="DDR49" s="16"/>
      <c r="DDS49" s="16"/>
      <c r="DDT49" s="16"/>
      <c r="DDU49" s="16"/>
      <c r="DDV49" s="16"/>
      <c r="DDW49" s="16"/>
      <c r="DDX49" s="16"/>
      <c r="DDY49" s="16"/>
      <c r="DDZ49" s="16"/>
      <c r="DEA49" s="16"/>
      <c r="DEB49" s="16"/>
      <c r="DEC49" s="16"/>
      <c r="DED49" s="16"/>
      <c r="DEE49" s="16"/>
      <c r="DEF49" s="16"/>
      <c r="DEG49" s="16"/>
      <c r="DEH49" s="16"/>
      <c r="DEI49" s="16"/>
      <c r="DEJ49" s="16"/>
      <c r="DEK49" s="16"/>
      <c r="DEL49" s="16"/>
      <c r="DEM49" s="16"/>
      <c r="DEN49" s="16"/>
      <c r="DEO49" s="16"/>
      <c r="DEP49" s="16"/>
      <c r="DEQ49" s="16"/>
      <c r="DER49" s="16"/>
      <c r="DES49" s="16"/>
      <c r="DET49" s="16"/>
      <c r="DEU49" s="16"/>
      <c r="DEV49" s="16"/>
      <c r="DEW49" s="16"/>
      <c r="DEX49" s="16"/>
      <c r="DEY49" s="16"/>
      <c r="DEZ49" s="16"/>
      <c r="DFA49" s="16"/>
      <c r="DFB49" s="16"/>
      <c r="DFC49" s="16"/>
      <c r="DFD49" s="16"/>
      <c r="DFE49" s="16"/>
      <c r="DFF49" s="16"/>
      <c r="DFG49" s="16"/>
      <c r="DFH49" s="16"/>
      <c r="DFI49" s="16"/>
      <c r="DFJ49" s="16"/>
      <c r="DFK49" s="16"/>
      <c r="DFL49" s="16"/>
      <c r="DFM49" s="16"/>
      <c r="DFN49" s="16"/>
      <c r="DFO49" s="16"/>
      <c r="DFP49" s="16"/>
      <c r="DFQ49" s="16"/>
      <c r="DFR49" s="16"/>
      <c r="DFS49" s="16"/>
      <c r="DFT49" s="16"/>
      <c r="DFU49" s="16"/>
      <c r="DFV49" s="16"/>
      <c r="DFW49" s="16"/>
      <c r="DFX49" s="16"/>
      <c r="DFY49" s="16"/>
      <c r="DFZ49" s="16"/>
      <c r="DGA49" s="16"/>
      <c r="DGB49" s="16"/>
      <c r="DGC49" s="16"/>
      <c r="DGD49" s="16"/>
      <c r="DGE49" s="16"/>
      <c r="DGF49" s="16"/>
      <c r="DGG49" s="16"/>
      <c r="DGH49" s="16"/>
      <c r="DGI49" s="16"/>
      <c r="DGJ49" s="16"/>
      <c r="DGK49" s="16"/>
      <c r="DGL49" s="16"/>
      <c r="DGM49" s="16"/>
      <c r="DGN49" s="16"/>
      <c r="DGO49" s="16"/>
      <c r="DGP49" s="16"/>
      <c r="DGQ49" s="16"/>
      <c r="DGR49" s="16"/>
      <c r="DGS49" s="16"/>
      <c r="DGT49" s="16"/>
      <c r="DGU49" s="16"/>
      <c r="DGV49" s="16"/>
      <c r="DGW49" s="16"/>
      <c r="DGX49" s="16"/>
      <c r="DGY49" s="16"/>
      <c r="DGZ49" s="16"/>
      <c r="DHA49" s="16"/>
      <c r="DHB49" s="16"/>
      <c r="DHC49" s="16"/>
      <c r="DHD49" s="16"/>
      <c r="DHE49" s="16"/>
      <c r="DHF49" s="16"/>
      <c r="DHG49" s="16"/>
      <c r="DHH49" s="16"/>
      <c r="DHI49" s="16"/>
      <c r="DHJ49" s="16"/>
      <c r="DHK49" s="16"/>
      <c r="DHL49" s="16"/>
      <c r="DHM49" s="16"/>
      <c r="DHN49" s="16"/>
      <c r="DHO49" s="16"/>
      <c r="DHP49" s="16"/>
      <c r="DHQ49" s="16"/>
      <c r="DHR49" s="16"/>
      <c r="DHS49" s="16"/>
      <c r="DHT49" s="16"/>
      <c r="DHU49" s="16"/>
      <c r="DHV49" s="16"/>
      <c r="DHW49" s="16"/>
      <c r="DHX49" s="16"/>
      <c r="DHY49" s="16"/>
      <c r="DHZ49" s="16"/>
      <c r="DIA49" s="16"/>
      <c r="DIB49" s="16"/>
      <c r="DIC49" s="16"/>
      <c r="DID49" s="16"/>
      <c r="DIE49" s="16"/>
      <c r="DIF49" s="16"/>
      <c r="DIG49" s="16"/>
      <c r="DIH49" s="16"/>
      <c r="DII49" s="16"/>
      <c r="DIJ49" s="16"/>
      <c r="DIK49" s="16"/>
      <c r="DIL49" s="16"/>
      <c r="DIM49" s="16"/>
      <c r="DIN49" s="16"/>
      <c r="DIO49" s="16"/>
      <c r="DIP49" s="16"/>
      <c r="DIQ49" s="16"/>
      <c r="DIR49" s="16"/>
      <c r="DIS49" s="16"/>
      <c r="DIT49" s="16"/>
      <c r="DIU49" s="16"/>
      <c r="DIV49" s="16"/>
      <c r="DIW49" s="16"/>
      <c r="DIX49" s="16"/>
      <c r="DIY49" s="16"/>
      <c r="DIZ49" s="16"/>
      <c r="DJA49" s="16"/>
      <c r="DJB49" s="16"/>
      <c r="DJC49" s="16"/>
      <c r="DJD49" s="16"/>
      <c r="DJE49" s="16"/>
      <c r="DJF49" s="16"/>
      <c r="DJG49" s="16"/>
      <c r="DJH49" s="16"/>
      <c r="DJI49" s="16"/>
      <c r="DJJ49" s="16"/>
      <c r="DJK49" s="16"/>
      <c r="DJL49" s="16"/>
      <c r="DJM49" s="16"/>
      <c r="DJN49" s="16"/>
      <c r="DJO49" s="16"/>
      <c r="DJP49" s="16"/>
      <c r="DJQ49" s="16"/>
      <c r="DJR49" s="16"/>
      <c r="DJS49" s="16"/>
      <c r="DJT49" s="16"/>
      <c r="DJU49" s="16"/>
      <c r="DJV49" s="16"/>
      <c r="DJW49" s="16"/>
      <c r="DJX49" s="16"/>
      <c r="DJY49" s="16"/>
      <c r="DJZ49" s="16"/>
      <c r="DKA49" s="16"/>
      <c r="DKB49" s="16"/>
      <c r="DKC49" s="16"/>
      <c r="DKD49" s="16"/>
      <c r="DKE49" s="16"/>
      <c r="DKF49" s="16"/>
      <c r="DKG49" s="16"/>
      <c r="DKH49" s="16"/>
      <c r="DKI49" s="16"/>
      <c r="DKJ49" s="16"/>
      <c r="DKK49" s="16"/>
      <c r="DKL49" s="16"/>
      <c r="DKM49" s="16"/>
      <c r="DKN49" s="16"/>
      <c r="DKO49" s="16"/>
      <c r="DKP49" s="16"/>
      <c r="DKQ49" s="16"/>
      <c r="DKR49" s="16"/>
      <c r="DKS49" s="16"/>
      <c r="DKT49" s="16"/>
      <c r="DKU49" s="16"/>
      <c r="DKV49" s="16"/>
      <c r="DKW49" s="16"/>
      <c r="DKX49" s="16"/>
      <c r="DKY49" s="16"/>
      <c r="DKZ49" s="16"/>
      <c r="DLA49" s="16"/>
      <c r="DLB49" s="16"/>
      <c r="DLC49" s="16"/>
      <c r="DLD49" s="16"/>
      <c r="DLE49" s="16"/>
      <c r="DLF49" s="16"/>
      <c r="DLG49" s="16"/>
      <c r="DLH49" s="16"/>
      <c r="DLI49" s="16"/>
      <c r="DLJ49" s="16"/>
      <c r="DLK49" s="16"/>
      <c r="DLL49" s="16"/>
      <c r="DLM49" s="16"/>
      <c r="DLN49" s="16"/>
      <c r="DLO49" s="16"/>
      <c r="DLP49" s="16"/>
      <c r="DLQ49" s="16"/>
      <c r="DLR49" s="16"/>
      <c r="DLS49" s="16"/>
      <c r="DLT49" s="16"/>
      <c r="DLU49" s="16"/>
      <c r="DLV49" s="16"/>
      <c r="DLW49" s="16"/>
      <c r="DLX49" s="16"/>
      <c r="DLY49" s="16"/>
      <c r="DLZ49" s="16"/>
      <c r="DMA49" s="16"/>
      <c r="DMB49" s="16"/>
      <c r="DMC49" s="16"/>
      <c r="DMD49" s="16"/>
      <c r="DME49" s="16"/>
      <c r="DMF49" s="16"/>
      <c r="DMG49" s="16"/>
      <c r="DMH49" s="16"/>
      <c r="DMI49" s="16"/>
      <c r="DMJ49" s="16"/>
      <c r="DMK49" s="16"/>
      <c r="DML49" s="16"/>
      <c r="DMM49" s="16"/>
      <c r="DMN49" s="16"/>
      <c r="DMO49" s="16"/>
      <c r="DMP49" s="16"/>
      <c r="DMQ49" s="16"/>
      <c r="DMR49" s="16"/>
      <c r="DMS49" s="16"/>
      <c r="DMT49" s="16"/>
      <c r="DMU49" s="16"/>
      <c r="DMV49" s="16"/>
      <c r="DMW49" s="16"/>
      <c r="DMX49" s="16"/>
      <c r="DMY49" s="16"/>
      <c r="DMZ49" s="16"/>
      <c r="DNA49" s="16"/>
      <c r="DNB49" s="16"/>
      <c r="DNC49" s="16"/>
      <c r="DND49" s="16"/>
      <c r="DNE49" s="16"/>
      <c r="DNF49" s="16"/>
      <c r="DNG49" s="16"/>
      <c r="DNH49" s="16"/>
      <c r="DNI49" s="16"/>
      <c r="DNJ49" s="16"/>
      <c r="DNK49" s="16"/>
      <c r="DNL49" s="16"/>
      <c r="DNM49" s="16"/>
      <c r="DNN49" s="16"/>
      <c r="DNO49" s="16"/>
      <c r="DNP49" s="16"/>
      <c r="DNQ49" s="16"/>
      <c r="DNR49" s="16"/>
      <c r="DNS49" s="16"/>
      <c r="DNT49" s="16"/>
      <c r="DNU49" s="16"/>
      <c r="DNV49" s="16"/>
      <c r="DNW49" s="16"/>
      <c r="DNX49" s="16"/>
      <c r="DNY49" s="16"/>
      <c r="DNZ49" s="16"/>
      <c r="DOA49" s="16"/>
      <c r="DOB49" s="16"/>
      <c r="DOC49" s="16"/>
      <c r="DOD49" s="16"/>
      <c r="DOE49" s="16"/>
      <c r="DOF49" s="16"/>
      <c r="DOG49" s="16"/>
      <c r="DOH49" s="16"/>
      <c r="DOI49" s="16"/>
      <c r="DOJ49" s="16"/>
      <c r="DOK49" s="16"/>
      <c r="DOL49" s="16"/>
      <c r="DOM49" s="16"/>
      <c r="DON49" s="16"/>
      <c r="DOO49" s="16"/>
      <c r="DOP49" s="16"/>
      <c r="DOQ49" s="16"/>
      <c r="DOR49" s="16"/>
      <c r="DOS49" s="16"/>
      <c r="DOT49" s="16"/>
      <c r="DOU49" s="16"/>
      <c r="DOV49" s="16"/>
      <c r="DOW49" s="16"/>
      <c r="DOX49" s="16"/>
      <c r="DOY49" s="16"/>
      <c r="DOZ49" s="16"/>
      <c r="DPA49" s="16"/>
      <c r="DPB49" s="16"/>
      <c r="DPC49" s="16"/>
      <c r="DPD49" s="16"/>
      <c r="DPE49" s="16"/>
      <c r="DPF49" s="16"/>
      <c r="DPG49" s="16"/>
      <c r="DPH49" s="16"/>
      <c r="DPI49" s="16"/>
      <c r="DPJ49" s="16"/>
      <c r="DPK49" s="16"/>
      <c r="DPL49" s="16"/>
      <c r="DPM49" s="16"/>
      <c r="DPN49" s="16"/>
      <c r="DPO49" s="16"/>
      <c r="DPP49" s="16"/>
      <c r="DPQ49" s="16"/>
      <c r="DPR49" s="16"/>
      <c r="DPS49" s="16"/>
      <c r="DPT49" s="16"/>
      <c r="DPU49" s="16"/>
      <c r="DPV49" s="16"/>
      <c r="DPW49" s="16"/>
      <c r="DPX49" s="16"/>
      <c r="DPY49" s="16"/>
      <c r="DPZ49" s="16"/>
      <c r="DQA49" s="16"/>
      <c r="DQB49" s="16"/>
      <c r="DQC49" s="16"/>
      <c r="DQD49" s="16"/>
      <c r="DQE49" s="16"/>
      <c r="DQF49" s="16"/>
      <c r="DQG49" s="16"/>
      <c r="DQH49" s="16"/>
      <c r="DQI49" s="16"/>
      <c r="DQJ49" s="16"/>
      <c r="DQK49" s="16"/>
      <c r="DQL49" s="16"/>
      <c r="DQM49" s="16"/>
      <c r="DQN49" s="16"/>
      <c r="DQO49" s="16"/>
      <c r="DQP49" s="16"/>
      <c r="DQQ49" s="16"/>
      <c r="DQR49" s="16"/>
      <c r="DQS49" s="16"/>
      <c r="DQT49" s="16"/>
      <c r="DQU49" s="16"/>
      <c r="DQV49" s="16"/>
      <c r="DQW49" s="16"/>
      <c r="DQX49" s="16"/>
      <c r="DQY49" s="16"/>
      <c r="DQZ49" s="16"/>
      <c r="DRA49" s="16"/>
      <c r="DRB49" s="16"/>
      <c r="DRC49" s="16"/>
      <c r="DRD49" s="16"/>
      <c r="DRE49" s="16"/>
      <c r="DRF49" s="16"/>
      <c r="DRG49" s="16"/>
      <c r="DRH49" s="16"/>
      <c r="DRI49" s="16"/>
      <c r="DRJ49" s="16"/>
      <c r="DRK49" s="16"/>
      <c r="DRL49" s="16"/>
      <c r="DRM49" s="16"/>
      <c r="DRN49" s="16"/>
      <c r="DRO49" s="16"/>
      <c r="DRP49" s="16"/>
      <c r="DRQ49" s="16"/>
      <c r="DRR49" s="16"/>
      <c r="DRS49" s="16"/>
      <c r="DRT49" s="16"/>
      <c r="DRU49" s="16"/>
      <c r="DRV49" s="16"/>
      <c r="DRW49" s="16"/>
      <c r="DRX49" s="16"/>
      <c r="DRY49" s="16"/>
      <c r="DRZ49" s="16"/>
      <c r="DSA49" s="16"/>
      <c r="DSB49" s="16"/>
      <c r="DSC49" s="16"/>
      <c r="DSD49" s="16"/>
      <c r="DSE49" s="16"/>
      <c r="DSF49" s="16"/>
      <c r="DSG49" s="16"/>
      <c r="DSH49" s="16"/>
      <c r="DSI49" s="16"/>
      <c r="DSJ49" s="16"/>
      <c r="DSK49" s="16"/>
      <c r="DSL49" s="16"/>
      <c r="DSM49" s="16"/>
      <c r="DSN49" s="16"/>
      <c r="DSO49" s="16"/>
      <c r="DSP49" s="16"/>
      <c r="DSQ49" s="16"/>
      <c r="DSR49" s="16"/>
      <c r="DSS49" s="16"/>
      <c r="DST49" s="16"/>
      <c r="DSU49" s="16"/>
      <c r="DSV49" s="16"/>
      <c r="DSW49" s="16"/>
      <c r="DSX49" s="16"/>
      <c r="DSY49" s="16"/>
      <c r="DSZ49" s="16"/>
      <c r="DTA49" s="16"/>
      <c r="DTB49" s="16"/>
      <c r="DTC49" s="16"/>
      <c r="DTD49" s="16"/>
      <c r="DTE49" s="16"/>
      <c r="DTF49" s="16"/>
      <c r="DTG49" s="16"/>
      <c r="DTH49" s="16"/>
      <c r="DTI49" s="16"/>
      <c r="DTJ49" s="16"/>
      <c r="DTK49" s="16"/>
      <c r="DTL49" s="16"/>
      <c r="DTM49" s="16"/>
      <c r="DTN49" s="16"/>
      <c r="DTO49" s="16"/>
      <c r="DTP49" s="16"/>
      <c r="DTQ49" s="16"/>
      <c r="DTR49" s="16"/>
      <c r="DTS49" s="16"/>
      <c r="DTT49" s="16"/>
      <c r="DTU49" s="16"/>
      <c r="DTV49" s="16"/>
      <c r="DTW49" s="16"/>
      <c r="DTX49" s="16"/>
      <c r="DTY49" s="16"/>
      <c r="DTZ49" s="16"/>
      <c r="DUA49" s="16"/>
      <c r="DUB49" s="16"/>
      <c r="DUC49" s="16"/>
      <c r="DUD49" s="16"/>
      <c r="DUE49" s="16"/>
      <c r="DUF49" s="16"/>
      <c r="DUG49" s="16"/>
      <c r="DUH49" s="16"/>
      <c r="DUI49" s="16"/>
      <c r="DUJ49" s="16"/>
      <c r="DUK49" s="16"/>
      <c r="DUL49" s="16"/>
      <c r="DUM49" s="16"/>
      <c r="DUN49" s="16"/>
      <c r="DUO49" s="16"/>
      <c r="DUP49" s="16"/>
      <c r="DUQ49" s="16"/>
      <c r="DUR49" s="16"/>
      <c r="DUS49" s="16"/>
      <c r="DUT49" s="16"/>
      <c r="DUU49" s="16"/>
      <c r="DUV49" s="16"/>
      <c r="DUW49" s="16"/>
      <c r="DUX49" s="16"/>
      <c r="DUY49" s="16"/>
      <c r="DUZ49" s="16"/>
      <c r="DVA49" s="16"/>
      <c r="DVB49" s="16"/>
      <c r="DVC49" s="16"/>
      <c r="DVD49" s="16"/>
      <c r="DVE49" s="16"/>
      <c r="DVF49" s="16"/>
      <c r="DVG49" s="16"/>
      <c r="DVH49" s="16"/>
      <c r="DVI49" s="16"/>
      <c r="DVJ49" s="16"/>
      <c r="DVK49" s="16"/>
      <c r="DVL49" s="16"/>
      <c r="DVM49" s="16"/>
      <c r="DVN49" s="16"/>
      <c r="DVO49" s="16"/>
      <c r="DVP49" s="16"/>
      <c r="DVQ49" s="16"/>
      <c r="DVR49" s="16"/>
      <c r="DVS49" s="16"/>
      <c r="DVT49" s="16"/>
      <c r="DVU49" s="16"/>
      <c r="DVV49" s="16"/>
      <c r="DVW49" s="16"/>
      <c r="DVX49" s="16"/>
      <c r="DVY49" s="16"/>
      <c r="DVZ49" s="16"/>
      <c r="DWA49" s="16"/>
      <c r="DWB49" s="16"/>
      <c r="DWC49" s="16"/>
      <c r="DWD49" s="16"/>
      <c r="DWE49" s="16"/>
      <c r="DWF49" s="16"/>
      <c r="DWG49" s="16"/>
      <c r="DWH49" s="16"/>
      <c r="DWI49" s="16"/>
      <c r="DWJ49" s="16"/>
      <c r="DWK49" s="16"/>
      <c r="DWL49" s="16"/>
      <c r="DWM49" s="16"/>
      <c r="DWN49" s="16"/>
      <c r="DWO49" s="16"/>
      <c r="DWP49" s="16"/>
      <c r="DWQ49" s="16"/>
      <c r="DWR49" s="16"/>
      <c r="DWS49" s="16"/>
      <c r="DWT49" s="16"/>
      <c r="DWU49" s="16"/>
      <c r="DWV49" s="16"/>
      <c r="DWW49" s="16"/>
      <c r="DWX49" s="16"/>
      <c r="DWY49" s="16"/>
      <c r="DWZ49" s="16"/>
      <c r="DXA49" s="16"/>
      <c r="DXB49" s="16"/>
      <c r="DXC49" s="16"/>
      <c r="DXD49" s="16"/>
      <c r="DXE49" s="16"/>
      <c r="DXF49" s="16"/>
      <c r="DXG49" s="16"/>
      <c r="DXH49" s="16"/>
      <c r="DXI49" s="16"/>
      <c r="DXJ49" s="16"/>
      <c r="DXK49" s="16"/>
      <c r="DXL49" s="16"/>
      <c r="DXM49" s="16"/>
      <c r="DXN49" s="16"/>
      <c r="DXO49" s="16"/>
      <c r="DXP49" s="16"/>
      <c r="DXQ49" s="16"/>
      <c r="DXR49" s="16"/>
      <c r="DXS49" s="16"/>
      <c r="DXT49" s="16"/>
      <c r="DXU49" s="16"/>
      <c r="DXV49" s="16"/>
      <c r="DXW49" s="16"/>
      <c r="DXX49" s="16"/>
      <c r="DXY49" s="16"/>
      <c r="DXZ49" s="16"/>
      <c r="DYA49" s="16"/>
      <c r="DYB49" s="16"/>
      <c r="DYC49" s="16"/>
      <c r="DYD49" s="16"/>
      <c r="DYE49" s="16"/>
      <c r="DYF49" s="16"/>
      <c r="DYG49" s="16"/>
      <c r="DYH49" s="16"/>
      <c r="DYI49" s="16"/>
      <c r="DYJ49" s="16"/>
      <c r="DYK49" s="16"/>
      <c r="DYL49" s="16"/>
      <c r="DYM49" s="16"/>
      <c r="DYN49" s="16"/>
      <c r="DYO49" s="16"/>
      <c r="DYP49" s="16"/>
      <c r="DYQ49" s="16"/>
      <c r="DYR49" s="16"/>
      <c r="DYS49" s="16"/>
      <c r="DYT49" s="16"/>
      <c r="DYU49" s="16"/>
      <c r="DYV49" s="16"/>
      <c r="DYW49" s="16"/>
      <c r="DYX49" s="16"/>
      <c r="DYY49" s="16"/>
      <c r="DYZ49" s="16"/>
      <c r="DZA49" s="16"/>
      <c r="DZB49" s="16"/>
      <c r="DZC49" s="16"/>
      <c r="DZD49" s="16"/>
      <c r="DZE49" s="16"/>
      <c r="DZF49" s="16"/>
      <c r="DZG49" s="16"/>
      <c r="DZH49" s="16"/>
      <c r="DZI49" s="16"/>
      <c r="DZJ49" s="16"/>
      <c r="DZK49" s="16"/>
      <c r="DZL49" s="16"/>
      <c r="DZM49" s="16"/>
      <c r="DZN49" s="16"/>
      <c r="DZO49" s="16"/>
      <c r="DZP49" s="16"/>
      <c r="DZQ49" s="16"/>
      <c r="DZR49" s="16"/>
      <c r="DZS49" s="16"/>
      <c r="DZT49" s="16"/>
      <c r="DZU49" s="16"/>
      <c r="DZV49" s="16"/>
      <c r="DZW49" s="16"/>
      <c r="DZX49" s="16"/>
      <c r="DZY49" s="16"/>
      <c r="DZZ49" s="16"/>
      <c r="EAA49" s="16"/>
      <c r="EAB49" s="16"/>
      <c r="EAC49" s="16"/>
      <c r="EAD49" s="16"/>
      <c r="EAE49" s="16"/>
      <c r="EAF49" s="16"/>
      <c r="EAG49" s="16"/>
      <c r="EAH49" s="16"/>
      <c r="EAI49" s="16"/>
      <c r="EAJ49" s="16"/>
      <c r="EAK49" s="16"/>
      <c r="EAL49" s="16"/>
      <c r="EAM49" s="16"/>
      <c r="EAN49" s="16"/>
      <c r="EAO49" s="16"/>
      <c r="EAP49" s="16"/>
      <c r="EAQ49" s="16"/>
      <c r="EAR49" s="16"/>
      <c r="EAS49" s="16"/>
      <c r="EAT49" s="16"/>
      <c r="EAU49" s="16"/>
      <c r="EAV49" s="16"/>
      <c r="EAW49" s="16"/>
      <c r="EAX49" s="16"/>
      <c r="EAY49" s="16"/>
      <c r="EAZ49" s="16"/>
      <c r="EBA49" s="16"/>
      <c r="EBB49" s="16"/>
      <c r="EBC49" s="16"/>
      <c r="EBD49" s="16"/>
      <c r="EBE49" s="16"/>
      <c r="EBF49" s="16"/>
      <c r="EBG49" s="16"/>
      <c r="EBH49" s="16"/>
      <c r="EBI49" s="16"/>
      <c r="EBJ49" s="16"/>
      <c r="EBK49" s="16"/>
      <c r="EBL49" s="16"/>
      <c r="EBM49" s="16"/>
      <c r="EBN49" s="16"/>
      <c r="EBO49" s="16"/>
      <c r="EBP49" s="16"/>
      <c r="EBQ49" s="16"/>
      <c r="EBR49" s="16"/>
      <c r="EBS49" s="16"/>
      <c r="EBT49" s="16"/>
      <c r="EBU49" s="16"/>
      <c r="EBV49" s="16"/>
      <c r="EBW49" s="16"/>
      <c r="EBX49" s="16"/>
      <c r="EBY49" s="16"/>
      <c r="EBZ49" s="16"/>
      <c r="ECA49" s="16"/>
      <c r="ECB49" s="16"/>
      <c r="ECC49" s="16"/>
      <c r="ECD49" s="16"/>
      <c r="ECE49" s="16"/>
      <c r="ECF49" s="16"/>
      <c r="ECG49" s="16"/>
      <c r="ECH49" s="16"/>
      <c r="ECI49" s="16"/>
      <c r="ECJ49" s="16"/>
      <c r="ECK49" s="16"/>
      <c r="ECL49" s="16"/>
      <c r="ECM49" s="16"/>
      <c r="ECN49" s="16"/>
      <c r="ECO49" s="16"/>
      <c r="ECP49" s="16"/>
      <c r="ECQ49" s="16"/>
      <c r="ECR49" s="16"/>
      <c r="ECS49" s="16"/>
      <c r="ECT49" s="16"/>
      <c r="ECU49" s="16"/>
      <c r="ECV49" s="16"/>
      <c r="ECW49" s="16"/>
      <c r="ECX49" s="16"/>
      <c r="ECY49" s="16"/>
      <c r="ECZ49" s="16"/>
      <c r="EDA49" s="16"/>
      <c r="EDB49" s="16"/>
      <c r="EDC49" s="16"/>
      <c r="EDD49" s="16"/>
      <c r="EDE49" s="16"/>
      <c r="EDF49" s="16"/>
      <c r="EDG49" s="16"/>
      <c r="EDH49" s="16"/>
      <c r="EDI49" s="16"/>
      <c r="EDJ49" s="16"/>
      <c r="EDK49" s="16"/>
      <c r="EDL49" s="16"/>
      <c r="EDM49" s="16"/>
      <c r="EDN49" s="16"/>
      <c r="EDO49" s="16"/>
      <c r="EDP49" s="16"/>
      <c r="EDQ49" s="16"/>
      <c r="EDR49" s="16"/>
      <c r="EDS49" s="16"/>
      <c r="EDT49" s="16"/>
      <c r="EDU49" s="16"/>
      <c r="EDV49" s="16"/>
      <c r="EDW49" s="16"/>
      <c r="EDX49" s="16"/>
      <c r="EDY49" s="16"/>
      <c r="EDZ49" s="16"/>
      <c r="EEA49" s="16"/>
      <c r="EEB49" s="16"/>
      <c r="EEC49" s="16"/>
      <c r="EED49" s="16"/>
      <c r="EEE49" s="16"/>
      <c r="EEF49" s="16"/>
      <c r="EEG49" s="16"/>
      <c r="EEH49" s="16"/>
      <c r="EEI49" s="16"/>
      <c r="EEJ49" s="16"/>
      <c r="EEK49" s="16"/>
      <c r="EEL49" s="16"/>
      <c r="EEM49" s="16"/>
      <c r="EEN49" s="16"/>
      <c r="EEO49" s="16"/>
      <c r="EEP49" s="16"/>
      <c r="EEQ49" s="16"/>
      <c r="EER49" s="16"/>
      <c r="EES49" s="16"/>
      <c r="EET49" s="16"/>
      <c r="EEU49" s="16"/>
      <c r="EEV49" s="16"/>
      <c r="EEW49" s="16"/>
      <c r="EEX49" s="16"/>
      <c r="EEY49" s="16"/>
      <c r="EEZ49" s="16"/>
      <c r="EFA49" s="16"/>
      <c r="EFB49" s="16"/>
      <c r="EFC49" s="16"/>
      <c r="EFD49" s="16"/>
      <c r="EFE49" s="16"/>
      <c r="EFF49" s="16"/>
      <c r="EFG49" s="16"/>
      <c r="EFH49" s="16"/>
      <c r="EFI49" s="16"/>
      <c r="EFJ49" s="16"/>
      <c r="EFK49" s="16"/>
      <c r="EFL49" s="16"/>
      <c r="EFM49" s="16"/>
      <c r="EFN49" s="16"/>
      <c r="EFO49" s="16"/>
      <c r="EFP49" s="16"/>
      <c r="EFQ49" s="16"/>
      <c r="EFR49" s="16"/>
      <c r="EFS49" s="16"/>
      <c r="EFT49" s="16"/>
      <c r="EFU49" s="16"/>
      <c r="EFV49" s="16"/>
      <c r="EFW49" s="16"/>
      <c r="EFX49" s="16"/>
      <c r="EFY49" s="16"/>
      <c r="EFZ49" s="16"/>
      <c r="EGA49" s="16"/>
      <c r="EGB49" s="16"/>
      <c r="EGC49" s="16"/>
      <c r="EGD49" s="16"/>
      <c r="EGE49" s="16"/>
      <c r="EGF49" s="16"/>
      <c r="EGG49" s="16"/>
      <c r="EGH49" s="16"/>
      <c r="EGI49" s="16"/>
      <c r="EGJ49" s="16"/>
      <c r="EGK49" s="16"/>
      <c r="EGL49" s="16"/>
      <c r="EGM49" s="16"/>
      <c r="EGN49" s="16"/>
      <c r="EGO49" s="16"/>
      <c r="EGP49" s="16"/>
      <c r="EGQ49" s="16"/>
      <c r="EGR49" s="16"/>
      <c r="EGS49" s="16"/>
      <c r="EGT49" s="16"/>
      <c r="EGU49" s="16"/>
      <c r="EGV49" s="16"/>
      <c r="EGW49" s="16"/>
      <c r="EGX49" s="16"/>
      <c r="EGY49" s="16"/>
      <c r="EGZ49" s="16"/>
      <c r="EHA49" s="16"/>
      <c r="EHB49" s="16"/>
      <c r="EHC49" s="16"/>
      <c r="EHD49" s="16"/>
      <c r="EHE49" s="16"/>
      <c r="EHF49" s="16"/>
      <c r="EHG49" s="16"/>
      <c r="EHH49" s="16"/>
      <c r="EHI49" s="16"/>
      <c r="EHJ49" s="16"/>
      <c r="EHK49" s="16"/>
      <c r="EHL49" s="16"/>
      <c r="EHM49" s="16"/>
      <c r="EHN49" s="16"/>
      <c r="EHO49" s="16"/>
      <c r="EHP49" s="16"/>
      <c r="EHQ49" s="16"/>
      <c r="EHR49" s="16"/>
      <c r="EHS49" s="16"/>
      <c r="EHT49" s="16"/>
      <c r="EHU49" s="16"/>
      <c r="EHV49" s="16"/>
      <c r="EHW49" s="16"/>
      <c r="EHX49" s="16"/>
      <c r="EHY49" s="16"/>
      <c r="EHZ49" s="16"/>
      <c r="EIA49" s="16"/>
      <c r="EIB49" s="16"/>
      <c r="EIC49" s="16"/>
      <c r="EID49" s="16"/>
      <c r="EIE49" s="16"/>
      <c r="EIF49" s="16"/>
      <c r="EIG49" s="16"/>
      <c r="EIH49" s="16"/>
      <c r="EII49" s="16"/>
      <c r="EIJ49" s="16"/>
      <c r="EIK49" s="16"/>
      <c r="EIL49" s="16"/>
      <c r="EIM49" s="16"/>
      <c r="EIN49" s="16"/>
      <c r="EIO49" s="16"/>
      <c r="EIP49" s="16"/>
      <c r="EIQ49" s="16"/>
      <c r="EIR49" s="16"/>
      <c r="EIS49" s="16"/>
      <c r="EIT49" s="16"/>
      <c r="EIU49" s="16"/>
      <c r="EIV49" s="16"/>
      <c r="EIW49" s="16"/>
      <c r="EIX49" s="16"/>
      <c r="EIY49" s="16"/>
      <c r="EIZ49" s="16"/>
      <c r="EJA49" s="16"/>
      <c r="EJB49" s="16"/>
      <c r="EJC49" s="16"/>
      <c r="EJD49" s="16"/>
      <c r="EJE49" s="16"/>
      <c r="EJF49" s="16"/>
      <c r="EJG49" s="16"/>
      <c r="EJH49" s="16"/>
      <c r="EJI49" s="16"/>
      <c r="EJJ49" s="16"/>
      <c r="EJK49" s="16"/>
      <c r="EJL49" s="16"/>
      <c r="EJM49" s="16"/>
      <c r="EJN49" s="16"/>
      <c r="EJO49" s="16"/>
      <c r="EJP49" s="16"/>
      <c r="EJQ49" s="16"/>
      <c r="EJR49" s="16"/>
      <c r="EJS49" s="16"/>
      <c r="EJT49" s="16"/>
      <c r="EJU49" s="16"/>
      <c r="EJV49" s="16"/>
      <c r="EJW49" s="16"/>
      <c r="EJX49" s="16"/>
      <c r="EJY49" s="16"/>
      <c r="EJZ49" s="16"/>
      <c r="EKA49" s="16"/>
      <c r="EKB49" s="16"/>
      <c r="EKC49" s="16"/>
      <c r="EKD49" s="16"/>
      <c r="EKE49" s="16"/>
      <c r="EKF49" s="16"/>
      <c r="EKG49" s="16"/>
      <c r="EKH49" s="16"/>
      <c r="EKI49" s="16"/>
      <c r="EKJ49" s="16"/>
      <c r="EKK49" s="16"/>
      <c r="EKL49" s="16"/>
      <c r="EKM49" s="16"/>
      <c r="EKN49" s="16"/>
      <c r="EKO49" s="16"/>
      <c r="EKP49" s="16"/>
      <c r="EKQ49" s="16"/>
      <c r="EKR49" s="16"/>
      <c r="EKS49" s="16"/>
      <c r="EKT49" s="16"/>
      <c r="EKU49" s="16"/>
      <c r="EKV49" s="16"/>
      <c r="EKW49" s="16"/>
      <c r="EKX49" s="16"/>
      <c r="EKY49" s="16"/>
      <c r="EKZ49" s="16"/>
      <c r="ELA49" s="16"/>
      <c r="ELB49" s="16"/>
      <c r="ELC49" s="16"/>
      <c r="ELD49" s="16"/>
      <c r="ELE49" s="16"/>
      <c r="ELF49" s="16"/>
      <c r="ELG49" s="16"/>
      <c r="ELH49" s="16"/>
      <c r="ELI49" s="16"/>
      <c r="ELJ49" s="16"/>
      <c r="ELK49" s="16"/>
      <c r="ELL49" s="16"/>
      <c r="ELM49" s="16"/>
      <c r="ELN49" s="16"/>
      <c r="ELO49" s="16"/>
      <c r="ELP49" s="16"/>
      <c r="ELQ49" s="16"/>
      <c r="ELR49" s="16"/>
      <c r="ELS49" s="16"/>
      <c r="ELT49" s="16"/>
      <c r="ELU49" s="16"/>
      <c r="ELV49" s="16"/>
      <c r="ELW49" s="16"/>
      <c r="ELX49" s="16"/>
      <c r="ELY49" s="16"/>
      <c r="ELZ49" s="16"/>
      <c r="EMA49" s="16"/>
      <c r="EMB49" s="16"/>
      <c r="EMC49" s="16"/>
      <c r="EMD49" s="16"/>
      <c r="EME49" s="16"/>
      <c r="EMF49" s="16"/>
      <c r="EMG49" s="16"/>
      <c r="EMH49" s="16"/>
      <c r="EMI49" s="16"/>
      <c r="EMJ49" s="16"/>
      <c r="EMK49" s="16"/>
      <c r="EML49" s="16"/>
      <c r="EMM49" s="16"/>
      <c r="EMN49" s="16"/>
      <c r="EMO49" s="16"/>
      <c r="EMP49" s="16"/>
      <c r="EMQ49" s="16"/>
      <c r="EMR49" s="16"/>
      <c r="EMS49" s="16"/>
      <c r="EMT49" s="16"/>
      <c r="EMU49" s="16"/>
      <c r="EMV49" s="16"/>
      <c r="EMW49" s="16"/>
      <c r="EMX49" s="16"/>
      <c r="EMY49" s="16"/>
      <c r="EMZ49" s="16"/>
      <c r="ENA49" s="16"/>
      <c r="ENB49" s="16"/>
      <c r="ENC49" s="16"/>
      <c r="END49" s="16"/>
      <c r="ENE49" s="16"/>
      <c r="ENF49" s="16"/>
      <c r="ENG49" s="16"/>
      <c r="ENH49" s="16"/>
      <c r="ENI49" s="16"/>
      <c r="ENJ49" s="16"/>
      <c r="ENK49" s="16"/>
      <c r="ENL49" s="16"/>
      <c r="ENM49" s="16"/>
      <c r="ENN49" s="16"/>
      <c r="ENO49" s="16"/>
      <c r="ENP49" s="16"/>
      <c r="ENQ49" s="16"/>
      <c r="ENR49" s="16"/>
      <c r="ENS49" s="16"/>
      <c r="ENT49" s="16"/>
      <c r="ENU49" s="16"/>
      <c r="ENV49" s="16"/>
      <c r="ENW49" s="16"/>
      <c r="ENX49" s="16"/>
      <c r="ENY49" s="16"/>
      <c r="ENZ49" s="16"/>
      <c r="EOA49" s="16"/>
      <c r="EOB49" s="16"/>
      <c r="EOC49" s="16"/>
      <c r="EOD49" s="16"/>
      <c r="EOE49" s="16"/>
      <c r="EOF49" s="16"/>
      <c r="EOG49" s="16"/>
      <c r="EOH49" s="16"/>
      <c r="EOI49" s="16"/>
      <c r="EOJ49" s="16"/>
      <c r="EOK49" s="16"/>
      <c r="EOL49" s="16"/>
      <c r="EOM49" s="16"/>
      <c r="EON49" s="16"/>
      <c r="EOO49" s="16"/>
      <c r="EOP49" s="16"/>
      <c r="EOQ49" s="16"/>
      <c r="EOR49" s="16"/>
      <c r="EOS49" s="16"/>
      <c r="EOT49" s="16"/>
      <c r="EOU49" s="16"/>
      <c r="EOV49" s="16"/>
      <c r="EOW49" s="16"/>
      <c r="EOX49" s="16"/>
      <c r="EOY49" s="16"/>
      <c r="EOZ49" s="16"/>
      <c r="EPA49" s="16"/>
      <c r="EPB49" s="16"/>
      <c r="EPC49" s="16"/>
      <c r="EPD49" s="16"/>
      <c r="EPE49" s="16"/>
      <c r="EPF49" s="16"/>
      <c r="EPG49" s="16"/>
      <c r="EPH49" s="16"/>
      <c r="EPI49" s="16"/>
      <c r="EPJ49" s="16"/>
      <c r="EPK49" s="16"/>
      <c r="EPL49" s="16"/>
      <c r="EPM49" s="16"/>
      <c r="EPN49" s="16"/>
      <c r="EPO49" s="16"/>
      <c r="EPP49" s="16"/>
      <c r="EPQ49" s="16"/>
      <c r="EPR49" s="16"/>
      <c r="EPS49" s="16"/>
      <c r="EPT49" s="16"/>
      <c r="EPU49" s="16"/>
      <c r="EPV49" s="16"/>
      <c r="EPW49" s="16"/>
      <c r="EPX49" s="16"/>
      <c r="EPY49" s="16"/>
      <c r="EPZ49" s="16"/>
      <c r="EQA49" s="16"/>
      <c r="EQB49" s="16"/>
      <c r="EQC49" s="16"/>
      <c r="EQD49" s="16"/>
      <c r="EQE49" s="16"/>
      <c r="EQF49" s="16"/>
      <c r="EQG49" s="16"/>
      <c r="EQH49" s="16"/>
      <c r="EQI49" s="16"/>
      <c r="EQJ49" s="16"/>
      <c r="EQK49" s="16"/>
      <c r="EQL49" s="16"/>
      <c r="EQM49" s="16"/>
      <c r="EQN49" s="16"/>
      <c r="EQO49" s="16"/>
      <c r="EQP49" s="16"/>
      <c r="EQQ49" s="16"/>
      <c r="EQR49" s="16"/>
      <c r="EQS49" s="16"/>
      <c r="EQT49" s="16"/>
      <c r="EQU49" s="16"/>
      <c r="EQV49" s="16"/>
      <c r="EQW49" s="16"/>
      <c r="EQX49" s="16"/>
      <c r="EQY49" s="16"/>
      <c r="EQZ49" s="16"/>
      <c r="ERA49" s="16"/>
      <c r="ERB49" s="16"/>
      <c r="ERC49" s="16"/>
      <c r="ERD49" s="16"/>
      <c r="ERE49" s="16"/>
      <c r="ERF49" s="16"/>
      <c r="ERG49" s="16"/>
      <c r="ERH49" s="16"/>
      <c r="ERI49" s="16"/>
      <c r="ERJ49" s="16"/>
      <c r="ERK49" s="16"/>
      <c r="ERL49" s="16"/>
      <c r="ERM49" s="16"/>
      <c r="ERN49" s="16"/>
      <c r="ERO49" s="16"/>
      <c r="ERP49" s="16"/>
      <c r="ERQ49" s="16"/>
      <c r="ERR49" s="16"/>
      <c r="ERS49" s="16"/>
      <c r="ERT49" s="16"/>
      <c r="ERU49" s="16"/>
      <c r="ERV49" s="16"/>
      <c r="ERW49" s="16"/>
      <c r="ERX49" s="16"/>
      <c r="ERY49" s="16"/>
      <c r="ERZ49" s="16"/>
      <c r="ESA49" s="16"/>
      <c r="ESB49" s="16"/>
      <c r="ESC49" s="16"/>
      <c r="ESD49" s="16"/>
      <c r="ESE49" s="16"/>
      <c r="ESF49" s="16"/>
      <c r="ESG49" s="16"/>
      <c r="ESH49" s="16"/>
      <c r="ESI49" s="16"/>
      <c r="ESJ49" s="16"/>
      <c r="ESK49" s="16"/>
      <c r="ESL49" s="16"/>
      <c r="ESM49" s="16"/>
      <c r="ESN49" s="16"/>
      <c r="ESO49" s="16"/>
      <c r="ESP49" s="16"/>
      <c r="ESQ49" s="16"/>
      <c r="ESR49" s="16"/>
      <c r="ESS49" s="16"/>
      <c r="EST49" s="16"/>
      <c r="ESU49" s="16"/>
      <c r="ESV49" s="16"/>
      <c r="ESW49" s="16"/>
      <c r="ESX49" s="16"/>
      <c r="ESY49" s="16"/>
      <c r="ESZ49" s="16"/>
      <c r="ETA49" s="16"/>
      <c r="ETB49" s="16"/>
      <c r="ETC49" s="16"/>
      <c r="ETD49" s="16"/>
      <c r="ETE49" s="16"/>
      <c r="ETF49" s="16"/>
      <c r="ETG49" s="16"/>
      <c r="ETH49" s="16"/>
      <c r="ETI49" s="16"/>
      <c r="ETJ49" s="16"/>
      <c r="ETK49" s="16"/>
      <c r="ETL49" s="16"/>
      <c r="ETM49" s="16"/>
      <c r="ETN49" s="16"/>
      <c r="ETO49" s="16"/>
      <c r="ETP49" s="16"/>
      <c r="ETQ49" s="16"/>
      <c r="ETR49" s="16"/>
      <c r="ETS49" s="16"/>
      <c r="ETT49" s="16"/>
      <c r="ETU49" s="16"/>
      <c r="ETV49" s="16"/>
      <c r="ETW49" s="16"/>
      <c r="ETX49" s="16"/>
      <c r="ETY49" s="16"/>
      <c r="ETZ49" s="16"/>
      <c r="EUA49" s="16"/>
      <c r="EUB49" s="16"/>
      <c r="EUC49" s="16"/>
      <c r="EUD49" s="16"/>
      <c r="EUE49" s="16"/>
      <c r="EUF49" s="16"/>
      <c r="EUG49" s="16"/>
      <c r="EUH49" s="16"/>
      <c r="EUI49" s="16"/>
      <c r="EUJ49" s="16"/>
      <c r="EUK49" s="16"/>
      <c r="EUL49" s="16"/>
      <c r="EUM49" s="16"/>
      <c r="EUN49" s="16"/>
      <c r="EUO49" s="16"/>
      <c r="EUP49" s="16"/>
      <c r="EUQ49" s="16"/>
      <c r="EUR49" s="16"/>
      <c r="EUS49" s="16"/>
      <c r="EUT49" s="16"/>
      <c r="EUU49" s="16"/>
      <c r="EUV49" s="16"/>
      <c r="EUW49" s="16"/>
      <c r="EUX49" s="16"/>
      <c r="EUY49" s="16"/>
      <c r="EUZ49" s="16"/>
      <c r="EVA49" s="16"/>
      <c r="EVB49" s="16"/>
      <c r="EVC49" s="16"/>
      <c r="EVD49" s="16"/>
      <c r="EVE49" s="16"/>
      <c r="EVF49" s="16"/>
      <c r="EVG49" s="16"/>
      <c r="EVH49" s="16"/>
      <c r="EVI49" s="16"/>
      <c r="EVJ49" s="16"/>
      <c r="EVK49" s="16"/>
      <c r="EVL49" s="16"/>
      <c r="EVM49" s="16"/>
      <c r="EVN49" s="16"/>
      <c r="EVO49" s="16"/>
      <c r="EVP49" s="16"/>
      <c r="EVQ49" s="16"/>
      <c r="EVR49" s="16"/>
      <c r="EVS49" s="16"/>
      <c r="EVT49" s="16"/>
      <c r="EVU49" s="16"/>
      <c r="EVV49" s="16"/>
      <c r="EVW49" s="16"/>
      <c r="EVX49" s="16"/>
      <c r="EVY49" s="16"/>
      <c r="EVZ49" s="16"/>
      <c r="EWA49" s="16"/>
      <c r="EWB49" s="16"/>
      <c r="EWC49" s="16"/>
      <c r="EWD49" s="16"/>
      <c r="EWE49" s="16"/>
      <c r="EWF49" s="16"/>
      <c r="EWG49" s="16"/>
      <c r="EWH49" s="16"/>
      <c r="EWI49" s="16"/>
      <c r="EWJ49" s="16"/>
      <c r="EWK49" s="16"/>
      <c r="EWL49" s="16"/>
      <c r="EWM49" s="16"/>
      <c r="EWN49" s="16"/>
      <c r="EWO49" s="16"/>
      <c r="EWP49" s="16"/>
      <c r="EWQ49" s="16"/>
      <c r="EWR49" s="16"/>
      <c r="EWS49" s="16"/>
      <c r="EWT49" s="16"/>
      <c r="EWU49" s="16"/>
      <c r="EWV49" s="16"/>
      <c r="EWW49" s="16"/>
      <c r="EWX49" s="16"/>
      <c r="EWY49" s="16"/>
      <c r="EWZ49" s="16"/>
      <c r="EXA49" s="16"/>
      <c r="EXB49" s="16"/>
      <c r="EXC49" s="16"/>
      <c r="EXD49" s="16"/>
      <c r="EXE49" s="16"/>
      <c r="EXF49" s="16"/>
      <c r="EXG49" s="16"/>
      <c r="EXH49" s="16"/>
      <c r="EXI49" s="16"/>
      <c r="EXJ49" s="16"/>
      <c r="EXK49" s="16"/>
      <c r="EXL49" s="16"/>
      <c r="EXM49" s="16"/>
      <c r="EXN49" s="16"/>
      <c r="EXO49" s="16"/>
      <c r="EXP49" s="16"/>
      <c r="EXQ49" s="16"/>
      <c r="EXR49" s="16"/>
      <c r="EXS49" s="16"/>
      <c r="EXT49" s="16"/>
      <c r="EXU49" s="16"/>
      <c r="EXV49" s="16"/>
      <c r="EXW49" s="16"/>
      <c r="EXX49" s="16"/>
      <c r="EXY49" s="16"/>
      <c r="EXZ49" s="16"/>
      <c r="EYA49" s="16"/>
      <c r="EYB49" s="16"/>
      <c r="EYC49" s="16"/>
      <c r="EYD49" s="16"/>
      <c r="EYE49" s="16"/>
      <c r="EYF49" s="16"/>
      <c r="EYG49" s="16"/>
      <c r="EYH49" s="16"/>
      <c r="EYI49" s="16"/>
      <c r="EYJ49" s="16"/>
      <c r="EYK49" s="16"/>
      <c r="EYL49" s="16"/>
      <c r="EYM49" s="16"/>
      <c r="EYN49" s="16"/>
      <c r="EYO49" s="16"/>
      <c r="EYP49" s="16"/>
      <c r="EYQ49" s="16"/>
      <c r="EYR49" s="16"/>
      <c r="EYS49" s="16"/>
      <c r="EYT49" s="16"/>
      <c r="EYU49" s="16"/>
      <c r="EYV49" s="16"/>
      <c r="EYW49" s="16"/>
      <c r="EYX49" s="16"/>
      <c r="EYY49" s="16"/>
      <c r="EYZ49" s="16"/>
      <c r="EZA49" s="16"/>
      <c r="EZB49" s="16"/>
      <c r="EZC49" s="16"/>
      <c r="EZD49" s="16"/>
      <c r="EZE49" s="16"/>
      <c r="EZF49" s="16"/>
      <c r="EZG49" s="16"/>
      <c r="EZH49" s="16"/>
      <c r="EZI49" s="16"/>
      <c r="EZJ49" s="16"/>
      <c r="EZK49" s="16"/>
      <c r="EZL49" s="16"/>
      <c r="EZM49" s="16"/>
      <c r="EZN49" s="16"/>
      <c r="EZO49" s="16"/>
      <c r="EZP49" s="16"/>
      <c r="EZQ49" s="16"/>
      <c r="EZR49" s="16"/>
      <c r="EZS49" s="16"/>
      <c r="EZT49" s="16"/>
      <c r="EZU49" s="16"/>
      <c r="EZV49" s="16"/>
      <c r="EZW49" s="16"/>
      <c r="EZX49" s="16"/>
      <c r="EZY49" s="16"/>
      <c r="EZZ49" s="16"/>
      <c r="FAA49" s="16"/>
      <c r="FAB49" s="16"/>
      <c r="FAC49" s="16"/>
      <c r="FAD49" s="16"/>
      <c r="FAE49" s="16"/>
      <c r="FAF49" s="16"/>
      <c r="FAG49" s="16"/>
      <c r="FAH49" s="16"/>
      <c r="FAI49" s="16"/>
      <c r="FAJ49" s="16"/>
      <c r="FAK49" s="16"/>
      <c r="FAL49" s="16"/>
      <c r="FAM49" s="16"/>
      <c r="FAN49" s="16"/>
      <c r="FAO49" s="16"/>
      <c r="FAP49" s="16"/>
      <c r="FAQ49" s="16"/>
      <c r="FAR49" s="16"/>
      <c r="FAS49" s="16"/>
      <c r="FAT49" s="16"/>
      <c r="FAU49" s="16"/>
      <c r="FAV49" s="16"/>
      <c r="FAW49" s="16"/>
      <c r="FAX49" s="16"/>
      <c r="FAY49" s="16"/>
      <c r="FAZ49" s="16"/>
      <c r="FBA49" s="16"/>
      <c r="FBB49" s="16"/>
      <c r="FBC49" s="16"/>
      <c r="FBD49" s="16"/>
      <c r="FBE49" s="16"/>
      <c r="FBF49" s="16"/>
      <c r="FBG49" s="16"/>
      <c r="FBH49" s="16"/>
      <c r="FBI49" s="16"/>
      <c r="FBJ49" s="16"/>
      <c r="FBK49" s="16"/>
      <c r="FBL49" s="16"/>
      <c r="FBM49" s="16"/>
      <c r="FBN49" s="16"/>
      <c r="FBO49" s="16"/>
      <c r="FBP49" s="16"/>
      <c r="FBQ49" s="16"/>
      <c r="FBR49" s="16"/>
      <c r="FBS49" s="16"/>
      <c r="FBT49" s="16"/>
      <c r="FBU49" s="16"/>
      <c r="FBV49" s="16"/>
      <c r="FBW49" s="16"/>
      <c r="FBX49" s="16"/>
      <c r="FBY49" s="16"/>
      <c r="FBZ49" s="16"/>
      <c r="FCA49" s="16"/>
      <c r="FCB49" s="16"/>
      <c r="FCC49" s="16"/>
      <c r="FCD49" s="16"/>
      <c r="FCE49" s="16"/>
      <c r="FCF49" s="16"/>
      <c r="FCG49" s="16"/>
      <c r="FCH49" s="16"/>
      <c r="FCI49" s="16"/>
      <c r="FCJ49" s="16"/>
      <c r="FCK49" s="16"/>
      <c r="FCL49" s="16"/>
      <c r="FCM49" s="16"/>
      <c r="FCN49" s="16"/>
      <c r="FCO49" s="16"/>
      <c r="FCP49" s="16"/>
      <c r="FCQ49" s="16"/>
      <c r="FCR49" s="16"/>
      <c r="FCS49" s="16"/>
      <c r="FCT49" s="16"/>
      <c r="FCU49" s="16"/>
      <c r="FCV49" s="16"/>
      <c r="FCW49" s="16"/>
      <c r="FCX49" s="16"/>
      <c r="FCY49" s="16"/>
      <c r="FCZ49" s="16"/>
      <c r="FDA49" s="16"/>
      <c r="FDB49" s="16"/>
      <c r="FDC49" s="16"/>
      <c r="FDD49" s="16"/>
      <c r="FDE49" s="16"/>
      <c r="FDF49" s="16"/>
      <c r="FDG49" s="16"/>
      <c r="FDH49" s="16"/>
      <c r="FDI49" s="16"/>
      <c r="FDJ49" s="16"/>
      <c r="FDK49" s="16"/>
      <c r="FDL49" s="16"/>
      <c r="FDM49" s="16"/>
      <c r="FDN49" s="16"/>
      <c r="FDO49" s="16"/>
      <c r="FDP49" s="16"/>
      <c r="FDQ49" s="16"/>
      <c r="FDR49" s="16"/>
      <c r="FDS49" s="16"/>
      <c r="FDT49" s="16"/>
      <c r="FDU49" s="16"/>
      <c r="FDV49" s="16"/>
      <c r="FDW49" s="16"/>
      <c r="FDX49" s="16"/>
      <c r="FDY49" s="16"/>
      <c r="FDZ49" s="16"/>
      <c r="FEA49" s="16"/>
      <c r="FEB49" s="16"/>
      <c r="FEC49" s="16"/>
      <c r="FED49" s="16"/>
      <c r="FEE49" s="16"/>
      <c r="FEF49" s="16"/>
      <c r="FEG49" s="16"/>
      <c r="FEH49" s="16"/>
      <c r="FEI49" s="16"/>
      <c r="FEJ49" s="16"/>
      <c r="FEK49" s="16"/>
      <c r="FEL49" s="16"/>
      <c r="FEM49" s="16"/>
      <c r="FEN49" s="16"/>
      <c r="FEO49" s="16"/>
      <c r="FEP49" s="16"/>
      <c r="FEQ49" s="16"/>
      <c r="FER49" s="16"/>
      <c r="FES49" s="16"/>
      <c r="FET49" s="16"/>
      <c r="FEU49" s="16"/>
      <c r="FEV49" s="16"/>
      <c r="FEW49" s="16"/>
      <c r="FEX49" s="16"/>
      <c r="FEY49" s="16"/>
      <c r="FEZ49" s="16"/>
      <c r="FFA49" s="16"/>
      <c r="FFB49" s="16"/>
      <c r="FFC49" s="16"/>
      <c r="FFD49" s="16"/>
      <c r="FFE49" s="16"/>
      <c r="FFF49" s="16"/>
      <c r="FFG49" s="16"/>
      <c r="FFH49" s="16"/>
      <c r="FFI49" s="16"/>
      <c r="FFJ49" s="16"/>
      <c r="FFK49" s="16"/>
      <c r="FFL49" s="16"/>
      <c r="FFM49" s="16"/>
      <c r="FFN49" s="16"/>
      <c r="FFO49" s="16"/>
      <c r="FFP49" s="16"/>
      <c r="FFQ49" s="16"/>
      <c r="FFR49" s="16"/>
      <c r="FFS49" s="16"/>
      <c r="FFT49" s="16"/>
      <c r="FFU49" s="16"/>
      <c r="FFV49" s="16"/>
      <c r="FFW49" s="16"/>
      <c r="FFX49" s="16"/>
      <c r="FFY49" s="16"/>
      <c r="FFZ49" s="16"/>
      <c r="FGA49" s="16"/>
      <c r="FGB49" s="16"/>
      <c r="FGC49" s="16"/>
      <c r="FGD49" s="16"/>
      <c r="FGE49" s="16"/>
      <c r="FGF49" s="16"/>
      <c r="FGG49" s="16"/>
      <c r="FGH49" s="16"/>
      <c r="FGI49" s="16"/>
      <c r="FGJ49" s="16"/>
      <c r="FGK49" s="16"/>
      <c r="FGL49" s="16"/>
      <c r="FGM49" s="16"/>
      <c r="FGN49" s="16"/>
      <c r="FGO49" s="16"/>
      <c r="FGP49" s="16"/>
      <c r="FGQ49" s="16"/>
      <c r="FGR49" s="16"/>
      <c r="FGS49" s="16"/>
      <c r="FGT49" s="16"/>
      <c r="FGU49" s="16"/>
      <c r="FGV49" s="16"/>
      <c r="FGW49" s="16"/>
      <c r="FGX49" s="16"/>
      <c r="FGY49" s="16"/>
      <c r="FGZ49" s="16"/>
      <c r="FHA49" s="16"/>
      <c r="FHB49" s="16"/>
      <c r="FHC49" s="16"/>
      <c r="FHD49" s="16"/>
      <c r="FHE49" s="16"/>
      <c r="FHF49" s="16"/>
      <c r="FHG49" s="16"/>
      <c r="FHH49" s="16"/>
      <c r="FHI49" s="16"/>
      <c r="FHJ49" s="16"/>
      <c r="FHK49" s="16"/>
      <c r="FHL49" s="16"/>
      <c r="FHM49" s="16"/>
      <c r="FHN49" s="16"/>
      <c r="FHO49" s="16"/>
      <c r="FHP49" s="16"/>
      <c r="FHQ49" s="16"/>
      <c r="FHR49" s="16"/>
      <c r="FHS49" s="16"/>
      <c r="FHT49" s="16"/>
      <c r="FHU49" s="16"/>
      <c r="FHV49" s="16"/>
      <c r="FHW49" s="16"/>
      <c r="FHX49" s="16"/>
      <c r="FHY49" s="16"/>
      <c r="FHZ49" s="16"/>
      <c r="FIA49" s="16"/>
      <c r="FIB49" s="16"/>
      <c r="FIC49" s="16"/>
      <c r="FID49" s="16"/>
      <c r="FIE49" s="16"/>
      <c r="FIF49" s="16"/>
      <c r="FIG49" s="16"/>
      <c r="FIH49" s="16"/>
      <c r="FII49" s="16"/>
      <c r="FIJ49" s="16"/>
      <c r="FIK49" s="16"/>
      <c r="FIL49" s="16"/>
      <c r="FIM49" s="16"/>
      <c r="FIN49" s="16"/>
      <c r="FIO49" s="16"/>
      <c r="FIP49" s="16"/>
      <c r="FIQ49" s="16"/>
      <c r="FIR49" s="16"/>
      <c r="FIS49" s="16"/>
      <c r="FIT49" s="16"/>
      <c r="FIU49" s="16"/>
      <c r="FIV49" s="16"/>
      <c r="FIW49" s="16"/>
      <c r="FIX49" s="16"/>
      <c r="FIY49" s="16"/>
      <c r="FIZ49" s="16"/>
      <c r="FJA49" s="16"/>
      <c r="FJB49" s="16"/>
      <c r="FJC49" s="16"/>
      <c r="FJD49" s="16"/>
      <c r="FJE49" s="16"/>
      <c r="FJF49" s="16"/>
      <c r="FJG49" s="16"/>
      <c r="FJH49" s="16"/>
      <c r="FJI49" s="16"/>
      <c r="FJJ49" s="16"/>
      <c r="FJK49" s="16"/>
      <c r="FJL49" s="16"/>
      <c r="FJM49" s="16"/>
      <c r="FJN49" s="16"/>
      <c r="FJO49" s="16"/>
      <c r="FJP49" s="16"/>
      <c r="FJQ49" s="16"/>
      <c r="FJR49" s="16"/>
      <c r="FJS49" s="16"/>
      <c r="FJT49" s="16"/>
      <c r="FJU49" s="16"/>
      <c r="FJV49" s="16"/>
      <c r="FJW49" s="16"/>
      <c r="FJX49" s="16"/>
      <c r="FJY49" s="16"/>
      <c r="FJZ49" s="16"/>
      <c r="FKA49" s="16"/>
      <c r="FKB49" s="16"/>
      <c r="FKC49" s="16"/>
      <c r="FKD49" s="16"/>
      <c r="FKE49" s="16"/>
      <c r="FKF49" s="16"/>
      <c r="FKG49" s="16"/>
      <c r="FKH49" s="16"/>
      <c r="FKI49" s="16"/>
      <c r="FKJ49" s="16"/>
      <c r="FKK49" s="16"/>
      <c r="FKL49" s="16"/>
      <c r="FKM49" s="16"/>
      <c r="FKN49" s="16"/>
      <c r="FKO49" s="16"/>
      <c r="FKP49" s="16"/>
      <c r="FKQ49" s="16"/>
      <c r="FKR49" s="16"/>
      <c r="FKS49" s="16"/>
      <c r="FKT49" s="16"/>
      <c r="FKU49" s="16"/>
      <c r="FKV49" s="16"/>
      <c r="FKW49" s="16"/>
      <c r="FKX49" s="16"/>
      <c r="FKY49" s="16"/>
      <c r="FKZ49" s="16"/>
      <c r="FLA49" s="16"/>
      <c r="FLB49" s="16"/>
      <c r="FLC49" s="16"/>
      <c r="FLD49" s="16"/>
      <c r="FLE49" s="16"/>
      <c r="FLF49" s="16"/>
      <c r="FLG49" s="16"/>
      <c r="FLH49" s="16"/>
      <c r="FLI49" s="16"/>
      <c r="FLJ49" s="16"/>
      <c r="FLK49" s="16"/>
      <c r="FLL49" s="16"/>
      <c r="FLM49" s="16"/>
      <c r="FLN49" s="16"/>
      <c r="FLO49" s="16"/>
      <c r="FLP49" s="16"/>
      <c r="FLQ49" s="16"/>
      <c r="FLR49" s="16"/>
      <c r="FLS49" s="16"/>
      <c r="FLT49" s="16"/>
      <c r="FLU49" s="16"/>
      <c r="FLV49" s="16"/>
      <c r="FLW49" s="16"/>
      <c r="FLX49" s="16"/>
      <c r="FLY49" s="16"/>
      <c r="FLZ49" s="16"/>
      <c r="FMA49" s="16"/>
      <c r="FMB49" s="16"/>
      <c r="FMC49" s="16"/>
      <c r="FMD49" s="16"/>
      <c r="FME49" s="16"/>
      <c r="FMF49" s="16"/>
      <c r="FMG49" s="16"/>
      <c r="FMH49" s="16"/>
      <c r="FMI49" s="16"/>
      <c r="FMJ49" s="16"/>
      <c r="FMK49" s="16"/>
      <c r="FML49" s="16"/>
      <c r="FMM49" s="16"/>
      <c r="FMN49" s="16"/>
      <c r="FMO49" s="16"/>
      <c r="FMP49" s="16"/>
      <c r="FMQ49" s="16"/>
      <c r="FMR49" s="16"/>
      <c r="FMS49" s="16"/>
      <c r="FMT49" s="16"/>
      <c r="FMU49" s="16"/>
      <c r="FMV49" s="16"/>
      <c r="FMW49" s="16"/>
      <c r="FMX49" s="16"/>
      <c r="FMY49" s="16"/>
      <c r="FMZ49" s="16"/>
      <c r="FNA49" s="16"/>
      <c r="FNB49" s="16"/>
      <c r="FNC49" s="16"/>
      <c r="FND49" s="16"/>
      <c r="FNE49" s="16"/>
      <c r="FNF49" s="16"/>
      <c r="FNG49" s="16"/>
      <c r="FNH49" s="16"/>
      <c r="FNI49" s="16"/>
      <c r="FNJ49" s="16"/>
      <c r="FNK49" s="16"/>
      <c r="FNL49" s="16"/>
      <c r="FNM49" s="16"/>
      <c r="FNN49" s="16"/>
      <c r="FNO49" s="16"/>
      <c r="FNP49" s="16"/>
      <c r="FNQ49" s="16"/>
      <c r="FNR49" s="16"/>
      <c r="FNS49" s="16"/>
      <c r="FNT49" s="16"/>
      <c r="FNU49" s="16"/>
      <c r="FNV49" s="16"/>
      <c r="FNW49" s="16"/>
      <c r="FNX49" s="16"/>
      <c r="FNY49" s="16"/>
      <c r="FNZ49" s="16"/>
      <c r="FOA49" s="16"/>
      <c r="FOB49" s="16"/>
      <c r="FOC49" s="16"/>
      <c r="FOD49" s="16"/>
      <c r="FOE49" s="16"/>
      <c r="FOF49" s="16"/>
      <c r="FOG49" s="16"/>
      <c r="FOH49" s="16"/>
      <c r="FOI49" s="16"/>
      <c r="FOJ49" s="16"/>
      <c r="FOK49" s="16"/>
      <c r="FOL49" s="16"/>
      <c r="FOM49" s="16"/>
      <c r="FON49" s="16"/>
      <c r="FOO49" s="16"/>
      <c r="FOP49" s="16"/>
      <c r="FOQ49" s="16"/>
      <c r="FOR49" s="16"/>
      <c r="FOS49" s="16"/>
      <c r="FOT49" s="16"/>
      <c r="FOU49" s="16"/>
      <c r="FOV49" s="16"/>
      <c r="FOW49" s="16"/>
      <c r="FOX49" s="16"/>
      <c r="FOY49" s="16"/>
      <c r="FOZ49" s="16"/>
      <c r="FPA49" s="16"/>
      <c r="FPB49" s="16"/>
      <c r="FPC49" s="16"/>
      <c r="FPD49" s="16"/>
      <c r="FPE49" s="16"/>
      <c r="FPF49" s="16"/>
      <c r="FPG49" s="16"/>
      <c r="FPH49" s="16"/>
      <c r="FPI49" s="16"/>
      <c r="FPJ49" s="16"/>
      <c r="FPK49" s="16"/>
      <c r="FPL49" s="16"/>
      <c r="FPM49" s="16"/>
      <c r="FPN49" s="16"/>
      <c r="FPO49" s="16"/>
      <c r="FPP49" s="16"/>
      <c r="FPQ49" s="16"/>
      <c r="FPR49" s="16"/>
      <c r="FPS49" s="16"/>
      <c r="FPT49" s="16"/>
      <c r="FPU49" s="16"/>
      <c r="FPV49" s="16"/>
      <c r="FPW49" s="16"/>
      <c r="FPX49" s="16"/>
      <c r="FPY49" s="16"/>
      <c r="FPZ49" s="16"/>
      <c r="FQA49" s="16"/>
      <c r="FQB49" s="16"/>
      <c r="FQC49" s="16"/>
      <c r="FQD49" s="16"/>
      <c r="FQE49" s="16"/>
      <c r="FQF49" s="16"/>
      <c r="FQG49" s="16"/>
      <c r="FQH49" s="16"/>
      <c r="FQI49" s="16"/>
      <c r="FQJ49" s="16"/>
      <c r="FQK49" s="16"/>
      <c r="FQL49" s="16"/>
      <c r="FQM49" s="16"/>
      <c r="FQN49" s="16"/>
      <c r="FQO49" s="16"/>
      <c r="FQP49" s="16"/>
      <c r="FQQ49" s="16"/>
      <c r="FQR49" s="16"/>
      <c r="FQS49" s="16"/>
      <c r="FQT49" s="16"/>
      <c r="FQU49" s="16"/>
      <c r="FQV49" s="16"/>
      <c r="FQW49" s="16"/>
      <c r="FQX49" s="16"/>
      <c r="FQY49" s="16"/>
      <c r="FQZ49" s="16"/>
      <c r="FRA49" s="16"/>
      <c r="FRB49" s="16"/>
      <c r="FRC49" s="16"/>
      <c r="FRD49" s="16"/>
      <c r="FRE49" s="16"/>
      <c r="FRF49" s="16"/>
      <c r="FRG49" s="16"/>
      <c r="FRH49" s="16"/>
      <c r="FRI49" s="16"/>
      <c r="FRJ49" s="16"/>
      <c r="FRK49" s="16"/>
      <c r="FRL49" s="16"/>
      <c r="FRM49" s="16"/>
      <c r="FRN49" s="16"/>
      <c r="FRO49" s="16"/>
      <c r="FRP49" s="16"/>
      <c r="FRQ49" s="16"/>
      <c r="FRR49" s="16"/>
      <c r="FRS49" s="16"/>
      <c r="FRT49" s="16"/>
      <c r="FRU49" s="16"/>
      <c r="FRV49" s="16"/>
      <c r="FRW49" s="16"/>
      <c r="FRX49" s="16"/>
      <c r="FRY49" s="16"/>
      <c r="FRZ49" s="16"/>
      <c r="FSA49" s="16"/>
      <c r="FSB49" s="16"/>
      <c r="FSC49" s="16"/>
      <c r="FSD49" s="16"/>
      <c r="FSE49" s="16"/>
      <c r="FSF49" s="16"/>
      <c r="FSG49" s="16"/>
      <c r="FSH49" s="16"/>
      <c r="FSI49" s="16"/>
      <c r="FSJ49" s="16"/>
      <c r="FSK49" s="16"/>
      <c r="FSL49" s="16"/>
      <c r="FSM49" s="16"/>
      <c r="FSN49" s="16"/>
      <c r="FSO49" s="16"/>
      <c r="FSP49" s="16"/>
      <c r="FSQ49" s="16"/>
      <c r="FSR49" s="16"/>
      <c r="FSS49" s="16"/>
      <c r="FST49" s="16"/>
      <c r="FSU49" s="16"/>
      <c r="FSV49" s="16"/>
      <c r="FSW49" s="16"/>
      <c r="FSX49" s="16"/>
      <c r="FSY49" s="16"/>
      <c r="FSZ49" s="16"/>
      <c r="FTA49" s="16"/>
      <c r="FTB49" s="16"/>
      <c r="FTC49" s="16"/>
      <c r="FTD49" s="16"/>
      <c r="FTE49" s="16"/>
      <c r="FTF49" s="16"/>
      <c r="FTG49" s="16"/>
      <c r="FTH49" s="16"/>
      <c r="FTI49" s="16"/>
      <c r="FTJ49" s="16"/>
      <c r="FTK49" s="16"/>
      <c r="FTL49" s="16"/>
      <c r="FTM49" s="16"/>
      <c r="FTN49" s="16"/>
      <c r="FTO49" s="16"/>
      <c r="FTP49" s="16"/>
      <c r="FTQ49" s="16"/>
      <c r="FTR49" s="16"/>
      <c r="FTS49" s="16"/>
      <c r="FTT49" s="16"/>
      <c r="FTU49" s="16"/>
      <c r="FTV49" s="16"/>
      <c r="FTW49" s="16"/>
      <c r="FTX49" s="16"/>
      <c r="FTY49" s="16"/>
      <c r="FTZ49" s="16"/>
      <c r="FUA49" s="16"/>
      <c r="FUB49" s="16"/>
      <c r="FUC49" s="16"/>
      <c r="FUD49" s="16"/>
      <c r="FUE49" s="16"/>
      <c r="FUF49" s="16"/>
      <c r="FUG49" s="16"/>
      <c r="FUH49" s="16"/>
      <c r="FUI49" s="16"/>
      <c r="FUJ49" s="16"/>
      <c r="FUK49" s="16"/>
      <c r="FUL49" s="16"/>
      <c r="FUM49" s="16"/>
      <c r="FUN49" s="16"/>
      <c r="FUO49" s="16"/>
      <c r="FUP49" s="16"/>
      <c r="FUQ49" s="16"/>
      <c r="FUR49" s="16"/>
      <c r="FUS49" s="16"/>
      <c r="FUT49" s="16"/>
      <c r="FUU49" s="16"/>
      <c r="FUV49" s="16"/>
      <c r="FUW49" s="16"/>
      <c r="FUX49" s="16"/>
      <c r="FUY49" s="16"/>
      <c r="FUZ49" s="16"/>
      <c r="FVA49" s="16"/>
      <c r="FVB49" s="16"/>
      <c r="FVC49" s="16"/>
      <c r="FVD49" s="16"/>
      <c r="FVE49" s="16"/>
      <c r="FVF49" s="16"/>
      <c r="FVG49" s="16"/>
      <c r="FVH49" s="16"/>
      <c r="FVI49" s="16"/>
      <c r="FVJ49" s="16"/>
      <c r="FVK49" s="16"/>
      <c r="FVL49" s="16"/>
      <c r="FVM49" s="16"/>
      <c r="FVN49" s="16"/>
      <c r="FVO49" s="16"/>
      <c r="FVP49" s="16"/>
      <c r="FVQ49" s="16"/>
      <c r="FVR49" s="16"/>
      <c r="FVS49" s="16"/>
      <c r="FVT49" s="16"/>
      <c r="FVU49" s="16"/>
      <c r="FVV49" s="16"/>
      <c r="FVW49" s="16"/>
      <c r="FVX49" s="16"/>
      <c r="FVY49" s="16"/>
      <c r="FVZ49" s="16"/>
      <c r="FWA49" s="16"/>
      <c r="FWB49" s="16"/>
      <c r="FWC49" s="16"/>
      <c r="FWD49" s="16"/>
      <c r="FWE49" s="16"/>
      <c r="FWF49" s="16"/>
      <c r="FWG49" s="16"/>
      <c r="FWH49" s="16"/>
      <c r="FWI49" s="16"/>
      <c r="FWJ49" s="16"/>
      <c r="FWK49" s="16"/>
      <c r="FWL49" s="16"/>
      <c r="FWM49" s="16"/>
      <c r="FWN49" s="16"/>
      <c r="FWO49" s="16"/>
      <c r="FWP49" s="16"/>
      <c r="FWQ49" s="16"/>
      <c r="FWR49" s="16"/>
      <c r="FWS49" s="16"/>
      <c r="FWT49" s="16"/>
      <c r="FWU49" s="16"/>
      <c r="FWV49" s="16"/>
      <c r="FWW49" s="16"/>
      <c r="FWX49" s="16"/>
      <c r="FWY49" s="16"/>
      <c r="FWZ49" s="16"/>
      <c r="FXA49" s="16"/>
      <c r="FXB49" s="16"/>
      <c r="FXC49" s="16"/>
      <c r="FXD49" s="16"/>
      <c r="FXE49" s="16"/>
      <c r="FXF49" s="16"/>
      <c r="FXG49" s="16"/>
      <c r="FXH49" s="16"/>
      <c r="FXI49" s="16"/>
      <c r="FXJ49" s="16"/>
      <c r="FXK49" s="16"/>
      <c r="FXL49" s="16"/>
      <c r="FXM49" s="16"/>
      <c r="FXN49" s="16"/>
      <c r="FXO49" s="16"/>
      <c r="FXP49" s="16"/>
      <c r="FXQ49" s="16"/>
      <c r="FXR49" s="16"/>
      <c r="FXS49" s="16"/>
      <c r="FXT49" s="16"/>
      <c r="FXU49" s="16"/>
      <c r="FXV49" s="16"/>
      <c r="FXW49" s="16"/>
      <c r="FXX49" s="16"/>
      <c r="FXY49" s="16"/>
      <c r="FXZ49" s="16"/>
      <c r="FYA49" s="16"/>
      <c r="FYB49" s="16"/>
      <c r="FYC49" s="16"/>
      <c r="FYD49" s="16"/>
      <c r="FYE49" s="16"/>
      <c r="FYF49" s="16"/>
      <c r="FYG49" s="16"/>
      <c r="FYH49" s="16"/>
      <c r="FYI49" s="16"/>
      <c r="FYJ49" s="16"/>
      <c r="FYK49" s="16"/>
      <c r="FYL49" s="16"/>
      <c r="FYM49" s="16"/>
      <c r="FYN49" s="16"/>
      <c r="FYO49" s="16"/>
      <c r="FYP49" s="16"/>
      <c r="FYQ49" s="16"/>
      <c r="FYR49" s="16"/>
      <c r="FYS49" s="16"/>
      <c r="FYT49" s="16"/>
      <c r="FYU49" s="16"/>
      <c r="FYV49" s="16"/>
      <c r="FYW49" s="16"/>
      <c r="FYX49" s="16"/>
      <c r="FYY49" s="16"/>
      <c r="FYZ49" s="16"/>
      <c r="FZA49" s="16"/>
      <c r="FZB49" s="16"/>
      <c r="FZC49" s="16"/>
      <c r="FZD49" s="16"/>
      <c r="FZE49" s="16"/>
      <c r="FZF49" s="16"/>
      <c r="FZG49" s="16"/>
      <c r="FZH49" s="16"/>
      <c r="FZI49" s="16"/>
      <c r="FZJ49" s="16"/>
      <c r="FZK49" s="16"/>
      <c r="FZL49" s="16"/>
      <c r="FZM49" s="16"/>
      <c r="FZN49" s="16"/>
      <c r="FZO49" s="16"/>
      <c r="FZP49" s="16"/>
      <c r="FZQ49" s="16"/>
      <c r="FZR49" s="16"/>
      <c r="FZS49" s="16"/>
      <c r="FZT49" s="16"/>
      <c r="FZU49" s="16"/>
      <c r="FZV49" s="16"/>
      <c r="FZW49" s="16"/>
      <c r="FZX49" s="16"/>
      <c r="FZY49" s="16"/>
      <c r="FZZ49" s="16"/>
      <c r="GAA49" s="16"/>
      <c r="GAB49" s="16"/>
      <c r="GAC49" s="16"/>
      <c r="GAD49" s="16"/>
      <c r="GAE49" s="16"/>
      <c r="GAF49" s="16"/>
      <c r="GAG49" s="16"/>
      <c r="GAH49" s="16"/>
      <c r="GAI49" s="16"/>
      <c r="GAJ49" s="16"/>
      <c r="GAK49" s="16"/>
      <c r="GAL49" s="16"/>
      <c r="GAM49" s="16"/>
      <c r="GAN49" s="16"/>
      <c r="GAO49" s="16"/>
      <c r="GAP49" s="16"/>
      <c r="GAQ49" s="16"/>
      <c r="GAR49" s="16"/>
      <c r="GAS49" s="16"/>
      <c r="GAT49" s="16"/>
      <c r="GAU49" s="16"/>
      <c r="GAV49" s="16"/>
      <c r="GAW49" s="16"/>
      <c r="GAX49" s="16"/>
      <c r="GAY49" s="16"/>
      <c r="GAZ49" s="16"/>
      <c r="GBA49" s="16"/>
      <c r="GBB49" s="16"/>
      <c r="GBC49" s="16"/>
      <c r="GBD49" s="16"/>
      <c r="GBE49" s="16"/>
      <c r="GBF49" s="16"/>
      <c r="GBG49" s="16"/>
      <c r="GBH49" s="16"/>
      <c r="GBI49" s="16"/>
      <c r="GBJ49" s="16"/>
      <c r="GBK49" s="16"/>
      <c r="GBL49" s="16"/>
      <c r="GBM49" s="16"/>
      <c r="GBN49" s="16"/>
      <c r="GBO49" s="16"/>
      <c r="GBP49" s="16"/>
      <c r="GBQ49" s="16"/>
      <c r="GBR49" s="16"/>
      <c r="GBS49" s="16"/>
      <c r="GBT49" s="16"/>
      <c r="GBU49" s="16"/>
      <c r="GBV49" s="16"/>
      <c r="GBW49" s="16"/>
      <c r="GBX49" s="16"/>
      <c r="GBY49" s="16"/>
      <c r="GBZ49" s="16"/>
      <c r="GCA49" s="16"/>
      <c r="GCB49" s="16"/>
      <c r="GCC49" s="16"/>
      <c r="GCD49" s="16"/>
      <c r="GCE49" s="16"/>
      <c r="GCF49" s="16"/>
      <c r="GCG49" s="16"/>
      <c r="GCH49" s="16"/>
      <c r="GCI49" s="16"/>
      <c r="GCJ49" s="16"/>
      <c r="GCK49" s="16"/>
      <c r="GCL49" s="16"/>
      <c r="GCM49" s="16"/>
      <c r="GCN49" s="16"/>
      <c r="GCO49" s="16"/>
      <c r="GCP49" s="16"/>
      <c r="GCQ49" s="16"/>
      <c r="GCR49" s="16"/>
      <c r="GCS49" s="16"/>
      <c r="GCT49" s="16"/>
      <c r="GCU49" s="16"/>
      <c r="GCV49" s="16"/>
      <c r="GCW49" s="16"/>
      <c r="GCX49" s="16"/>
      <c r="GCY49" s="16"/>
      <c r="GCZ49" s="16"/>
      <c r="GDA49" s="16"/>
      <c r="GDB49" s="16"/>
      <c r="GDC49" s="16"/>
      <c r="GDD49" s="16"/>
      <c r="GDE49" s="16"/>
      <c r="GDF49" s="16"/>
      <c r="GDG49" s="16"/>
      <c r="GDH49" s="16"/>
      <c r="GDI49" s="16"/>
      <c r="GDJ49" s="16"/>
      <c r="GDK49" s="16"/>
      <c r="GDL49" s="16"/>
      <c r="GDM49" s="16"/>
      <c r="GDN49" s="16"/>
      <c r="GDO49" s="16"/>
      <c r="GDP49" s="16"/>
      <c r="GDQ49" s="16"/>
      <c r="GDR49" s="16"/>
      <c r="GDS49" s="16"/>
      <c r="GDT49" s="16"/>
      <c r="GDU49" s="16"/>
      <c r="GDV49" s="16"/>
      <c r="GDW49" s="16"/>
      <c r="GDX49" s="16"/>
      <c r="GDY49" s="16"/>
      <c r="GDZ49" s="16"/>
      <c r="GEA49" s="16"/>
      <c r="GEB49" s="16"/>
      <c r="GEC49" s="16"/>
      <c r="GED49" s="16"/>
      <c r="GEE49" s="16"/>
      <c r="GEF49" s="16"/>
      <c r="GEG49" s="16"/>
      <c r="GEH49" s="16"/>
      <c r="GEI49" s="16"/>
      <c r="GEJ49" s="16"/>
      <c r="GEK49" s="16"/>
      <c r="GEL49" s="16"/>
      <c r="GEM49" s="16"/>
      <c r="GEN49" s="16"/>
      <c r="GEO49" s="16"/>
      <c r="GEP49" s="16"/>
      <c r="GEQ49" s="16"/>
      <c r="GER49" s="16"/>
      <c r="GES49" s="16"/>
      <c r="GET49" s="16"/>
      <c r="GEU49" s="16"/>
      <c r="GEV49" s="16"/>
      <c r="GEW49" s="16"/>
      <c r="GEX49" s="16"/>
      <c r="GEY49" s="16"/>
      <c r="GEZ49" s="16"/>
      <c r="GFA49" s="16"/>
      <c r="GFB49" s="16"/>
      <c r="GFC49" s="16"/>
      <c r="GFD49" s="16"/>
      <c r="GFE49" s="16"/>
      <c r="GFF49" s="16"/>
      <c r="GFG49" s="16"/>
      <c r="GFH49" s="16"/>
      <c r="GFI49" s="16"/>
      <c r="GFJ49" s="16"/>
      <c r="GFK49" s="16"/>
      <c r="GFL49" s="16"/>
      <c r="GFM49" s="16"/>
      <c r="GFN49" s="16"/>
      <c r="GFO49" s="16"/>
      <c r="GFP49" s="16"/>
      <c r="GFQ49" s="16"/>
      <c r="GFR49" s="16"/>
      <c r="GFS49" s="16"/>
      <c r="GFT49" s="16"/>
      <c r="GFU49" s="16"/>
      <c r="GFV49" s="16"/>
      <c r="GFW49" s="16"/>
      <c r="GFX49" s="16"/>
      <c r="GFY49" s="16"/>
      <c r="GFZ49" s="16"/>
      <c r="GGA49" s="16"/>
      <c r="GGB49" s="16"/>
      <c r="GGC49" s="16"/>
      <c r="GGD49" s="16"/>
      <c r="GGE49" s="16"/>
      <c r="GGF49" s="16"/>
      <c r="GGG49" s="16"/>
      <c r="GGH49" s="16"/>
      <c r="GGI49" s="16"/>
      <c r="GGJ49" s="16"/>
      <c r="GGK49" s="16"/>
      <c r="GGL49" s="16"/>
      <c r="GGM49" s="16"/>
      <c r="GGN49" s="16"/>
      <c r="GGO49" s="16"/>
      <c r="GGP49" s="16"/>
      <c r="GGQ49" s="16"/>
      <c r="GGR49" s="16"/>
      <c r="GGS49" s="16"/>
      <c r="GGT49" s="16"/>
      <c r="GGU49" s="16"/>
      <c r="GGV49" s="16"/>
      <c r="GGW49" s="16"/>
      <c r="GGX49" s="16"/>
      <c r="GGY49" s="16"/>
      <c r="GGZ49" s="16"/>
      <c r="GHA49" s="16"/>
      <c r="GHB49" s="16"/>
      <c r="GHC49" s="16"/>
      <c r="GHD49" s="16"/>
      <c r="GHE49" s="16"/>
      <c r="GHF49" s="16"/>
      <c r="GHG49" s="16"/>
      <c r="GHH49" s="16"/>
      <c r="GHI49" s="16"/>
      <c r="GHJ49" s="16"/>
      <c r="GHK49" s="16"/>
      <c r="GHL49" s="16"/>
      <c r="GHM49" s="16"/>
      <c r="GHN49" s="16"/>
      <c r="GHO49" s="16"/>
      <c r="GHP49" s="16"/>
      <c r="GHQ49" s="16"/>
      <c r="GHR49" s="16"/>
      <c r="GHS49" s="16"/>
      <c r="GHT49" s="16"/>
      <c r="GHU49" s="16"/>
      <c r="GHV49" s="16"/>
      <c r="GHW49" s="16"/>
      <c r="GHX49" s="16"/>
      <c r="GHY49" s="16"/>
      <c r="GHZ49" s="16"/>
      <c r="GIA49" s="16"/>
      <c r="GIB49" s="16"/>
      <c r="GIC49" s="16"/>
      <c r="GID49" s="16"/>
      <c r="GIE49" s="16"/>
      <c r="GIF49" s="16"/>
      <c r="GIG49" s="16"/>
      <c r="GIH49" s="16"/>
      <c r="GII49" s="16"/>
      <c r="GIJ49" s="16"/>
      <c r="GIK49" s="16"/>
      <c r="GIL49" s="16"/>
      <c r="GIM49" s="16"/>
      <c r="GIN49" s="16"/>
      <c r="GIO49" s="16"/>
      <c r="GIP49" s="16"/>
      <c r="GIQ49" s="16"/>
      <c r="GIR49" s="16"/>
      <c r="GIS49" s="16"/>
      <c r="GIT49" s="16"/>
      <c r="GIU49" s="16"/>
      <c r="GIV49" s="16"/>
      <c r="GIW49" s="16"/>
      <c r="GIX49" s="16"/>
      <c r="GIY49" s="16"/>
      <c r="GIZ49" s="16"/>
      <c r="GJA49" s="16"/>
      <c r="GJB49" s="16"/>
      <c r="GJC49" s="16"/>
      <c r="GJD49" s="16"/>
      <c r="GJE49" s="16"/>
      <c r="GJF49" s="16"/>
      <c r="GJG49" s="16"/>
      <c r="GJH49" s="16"/>
      <c r="GJI49" s="16"/>
      <c r="GJJ49" s="16"/>
      <c r="GJK49" s="16"/>
      <c r="GJL49" s="16"/>
      <c r="GJM49" s="16"/>
      <c r="GJN49" s="16"/>
      <c r="GJO49" s="16"/>
      <c r="GJP49" s="16"/>
      <c r="GJQ49" s="16"/>
      <c r="GJR49" s="16"/>
      <c r="GJS49" s="16"/>
      <c r="GJT49" s="16"/>
      <c r="GJU49" s="16"/>
      <c r="GJV49" s="16"/>
      <c r="GJW49" s="16"/>
      <c r="GJX49" s="16"/>
      <c r="GJY49" s="16"/>
      <c r="GJZ49" s="16"/>
      <c r="GKA49" s="16"/>
      <c r="GKB49" s="16"/>
      <c r="GKC49" s="16"/>
      <c r="GKD49" s="16"/>
      <c r="GKE49" s="16"/>
      <c r="GKF49" s="16"/>
      <c r="GKG49" s="16"/>
      <c r="GKH49" s="16"/>
      <c r="GKI49" s="16"/>
      <c r="GKJ49" s="16"/>
      <c r="GKK49" s="16"/>
      <c r="GKL49" s="16"/>
      <c r="GKM49" s="16"/>
      <c r="GKN49" s="16"/>
      <c r="GKO49" s="16"/>
      <c r="GKP49" s="16"/>
      <c r="GKQ49" s="16"/>
      <c r="GKR49" s="16"/>
      <c r="GKS49" s="16"/>
      <c r="GKT49" s="16"/>
      <c r="GKU49" s="16"/>
      <c r="GKV49" s="16"/>
      <c r="GKW49" s="16"/>
      <c r="GKX49" s="16"/>
      <c r="GKY49" s="16"/>
      <c r="GKZ49" s="16"/>
      <c r="GLA49" s="16"/>
      <c r="GLB49" s="16"/>
      <c r="GLC49" s="16"/>
      <c r="GLD49" s="16"/>
      <c r="GLE49" s="16"/>
      <c r="GLF49" s="16"/>
      <c r="GLG49" s="16"/>
      <c r="GLH49" s="16"/>
      <c r="GLI49" s="16"/>
      <c r="GLJ49" s="16"/>
      <c r="GLK49" s="16"/>
      <c r="GLL49" s="16"/>
      <c r="GLM49" s="16"/>
      <c r="GLN49" s="16"/>
      <c r="GLO49" s="16"/>
      <c r="GLP49" s="16"/>
      <c r="GLQ49" s="16"/>
      <c r="GLR49" s="16"/>
      <c r="GLS49" s="16"/>
      <c r="GLT49" s="16"/>
      <c r="GLU49" s="16"/>
      <c r="GLV49" s="16"/>
      <c r="GLW49" s="16"/>
      <c r="GLX49" s="16"/>
      <c r="GLY49" s="16"/>
      <c r="GLZ49" s="16"/>
      <c r="GMA49" s="16"/>
      <c r="GMB49" s="16"/>
      <c r="GMC49" s="16"/>
      <c r="GMD49" s="16"/>
      <c r="GME49" s="16"/>
      <c r="GMF49" s="16"/>
      <c r="GMG49" s="16"/>
      <c r="GMH49" s="16"/>
      <c r="GMI49" s="16"/>
      <c r="GMJ49" s="16"/>
      <c r="GMK49" s="16"/>
      <c r="GML49" s="16"/>
      <c r="GMM49" s="16"/>
      <c r="GMN49" s="16"/>
      <c r="GMO49" s="16"/>
      <c r="GMP49" s="16"/>
      <c r="GMQ49" s="16"/>
      <c r="GMR49" s="16"/>
      <c r="GMS49" s="16"/>
      <c r="GMT49" s="16"/>
      <c r="GMU49" s="16"/>
      <c r="GMV49" s="16"/>
      <c r="GMW49" s="16"/>
      <c r="GMX49" s="16"/>
      <c r="GMY49" s="16"/>
      <c r="GMZ49" s="16"/>
      <c r="GNA49" s="16"/>
      <c r="GNB49" s="16"/>
      <c r="GNC49" s="16"/>
      <c r="GND49" s="16"/>
      <c r="GNE49" s="16"/>
      <c r="GNF49" s="16"/>
      <c r="GNG49" s="16"/>
      <c r="GNH49" s="16"/>
      <c r="GNI49" s="16"/>
      <c r="GNJ49" s="16"/>
      <c r="GNK49" s="16"/>
      <c r="GNL49" s="16"/>
      <c r="GNM49" s="16"/>
      <c r="GNN49" s="16"/>
      <c r="GNO49" s="16"/>
      <c r="GNP49" s="16"/>
      <c r="GNQ49" s="16"/>
      <c r="GNR49" s="16"/>
      <c r="GNS49" s="16"/>
      <c r="GNT49" s="16"/>
      <c r="GNU49" s="16"/>
      <c r="GNV49" s="16"/>
      <c r="GNW49" s="16"/>
      <c r="GNX49" s="16"/>
      <c r="GNY49" s="16"/>
      <c r="GNZ49" s="16"/>
      <c r="GOA49" s="16"/>
      <c r="GOB49" s="16"/>
      <c r="GOC49" s="16"/>
      <c r="GOD49" s="16"/>
      <c r="GOE49" s="16"/>
      <c r="GOF49" s="16"/>
      <c r="GOG49" s="16"/>
      <c r="GOH49" s="16"/>
      <c r="GOI49" s="16"/>
      <c r="GOJ49" s="16"/>
      <c r="GOK49" s="16"/>
      <c r="GOL49" s="16"/>
      <c r="GOM49" s="16"/>
      <c r="GON49" s="16"/>
      <c r="GOO49" s="16"/>
      <c r="GOP49" s="16"/>
      <c r="GOQ49" s="16"/>
      <c r="GOR49" s="16"/>
      <c r="GOS49" s="16"/>
      <c r="GOT49" s="16"/>
      <c r="GOU49" s="16"/>
      <c r="GOV49" s="16"/>
      <c r="GOW49" s="16"/>
      <c r="GOX49" s="16"/>
      <c r="GOY49" s="16"/>
      <c r="GOZ49" s="16"/>
      <c r="GPA49" s="16"/>
      <c r="GPB49" s="16"/>
      <c r="GPC49" s="16"/>
      <c r="GPD49" s="16"/>
      <c r="GPE49" s="16"/>
      <c r="GPF49" s="16"/>
      <c r="GPG49" s="16"/>
      <c r="GPH49" s="16"/>
      <c r="GPI49" s="16"/>
      <c r="GPJ49" s="16"/>
      <c r="GPK49" s="16"/>
      <c r="GPL49" s="16"/>
      <c r="GPM49" s="16"/>
      <c r="GPN49" s="16"/>
      <c r="GPO49" s="16"/>
      <c r="GPP49" s="16"/>
      <c r="GPQ49" s="16"/>
      <c r="GPR49" s="16"/>
      <c r="GPS49" s="16"/>
      <c r="GPT49" s="16"/>
      <c r="GPU49" s="16"/>
      <c r="GPV49" s="16"/>
      <c r="GPW49" s="16"/>
      <c r="GPX49" s="16"/>
      <c r="GPY49" s="16"/>
      <c r="GPZ49" s="16"/>
      <c r="GQA49" s="16"/>
      <c r="GQB49" s="16"/>
      <c r="GQC49" s="16"/>
      <c r="GQD49" s="16"/>
      <c r="GQE49" s="16"/>
      <c r="GQF49" s="16"/>
      <c r="GQG49" s="16"/>
      <c r="GQH49" s="16"/>
      <c r="GQI49" s="16"/>
      <c r="GQJ49" s="16"/>
      <c r="GQK49" s="16"/>
      <c r="GQL49" s="16"/>
      <c r="GQM49" s="16"/>
      <c r="GQN49" s="16"/>
      <c r="GQO49" s="16"/>
      <c r="GQP49" s="16"/>
      <c r="GQQ49" s="16"/>
      <c r="GQR49" s="16"/>
      <c r="GQS49" s="16"/>
      <c r="GQT49" s="16"/>
      <c r="GQU49" s="16"/>
      <c r="GQV49" s="16"/>
      <c r="GQW49" s="16"/>
      <c r="GQX49" s="16"/>
      <c r="GQY49" s="16"/>
      <c r="GQZ49" s="16"/>
      <c r="GRA49" s="16"/>
      <c r="GRB49" s="16"/>
      <c r="GRC49" s="16"/>
      <c r="GRD49" s="16"/>
      <c r="GRE49" s="16"/>
      <c r="GRF49" s="16"/>
      <c r="GRG49" s="16"/>
      <c r="GRH49" s="16"/>
      <c r="GRI49" s="16"/>
      <c r="GRJ49" s="16"/>
      <c r="GRK49" s="16"/>
      <c r="GRL49" s="16"/>
      <c r="GRM49" s="16"/>
      <c r="GRN49" s="16"/>
      <c r="GRO49" s="16"/>
      <c r="GRP49" s="16"/>
      <c r="GRQ49" s="16"/>
      <c r="GRR49" s="16"/>
      <c r="GRS49" s="16"/>
      <c r="GRT49" s="16"/>
      <c r="GRU49" s="16"/>
      <c r="GRV49" s="16"/>
      <c r="GRW49" s="16"/>
      <c r="GRX49" s="16"/>
      <c r="GRY49" s="16"/>
      <c r="GRZ49" s="16"/>
      <c r="GSA49" s="16"/>
      <c r="GSB49" s="16"/>
      <c r="GSC49" s="16"/>
      <c r="GSD49" s="16"/>
      <c r="GSE49" s="16"/>
      <c r="GSF49" s="16"/>
      <c r="GSG49" s="16"/>
      <c r="GSH49" s="16"/>
      <c r="GSI49" s="16"/>
      <c r="GSJ49" s="16"/>
      <c r="GSK49" s="16"/>
      <c r="GSL49" s="16"/>
      <c r="GSM49" s="16"/>
      <c r="GSN49" s="16"/>
      <c r="GSO49" s="16"/>
      <c r="GSP49" s="16"/>
      <c r="GSQ49" s="16"/>
      <c r="GSR49" s="16"/>
      <c r="GSS49" s="16"/>
      <c r="GST49" s="16"/>
      <c r="GSU49" s="16"/>
      <c r="GSV49" s="16"/>
      <c r="GSW49" s="16"/>
      <c r="GSX49" s="16"/>
      <c r="GSY49" s="16"/>
      <c r="GSZ49" s="16"/>
      <c r="GTA49" s="16"/>
      <c r="GTB49" s="16"/>
      <c r="GTC49" s="16"/>
      <c r="GTD49" s="16"/>
      <c r="GTE49" s="16"/>
      <c r="GTF49" s="16"/>
      <c r="GTG49" s="16"/>
      <c r="GTH49" s="16"/>
      <c r="GTI49" s="16"/>
      <c r="GTJ49" s="16"/>
      <c r="GTK49" s="16"/>
      <c r="GTL49" s="16"/>
      <c r="GTM49" s="16"/>
      <c r="GTN49" s="16"/>
      <c r="GTO49" s="16"/>
      <c r="GTP49" s="16"/>
      <c r="GTQ49" s="16"/>
      <c r="GTR49" s="16"/>
      <c r="GTS49" s="16"/>
      <c r="GTT49" s="16"/>
      <c r="GTU49" s="16"/>
      <c r="GTV49" s="16"/>
      <c r="GTW49" s="16"/>
      <c r="GTX49" s="16"/>
      <c r="GTY49" s="16"/>
      <c r="GTZ49" s="16"/>
      <c r="GUA49" s="16"/>
      <c r="GUB49" s="16"/>
      <c r="GUC49" s="16"/>
      <c r="GUD49" s="16"/>
      <c r="GUE49" s="16"/>
      <c r="GUF49" s="16"/>
      <c r="GUG49" s="16"/>
      <c r="GUH49" s="16"/>
      <c r="GUI49" s="16"/>
      <c r="GUJ49" s="16"/>
      <c r="GUK49" s="16"/>
      <c r="GUL49" s="16"/>
      <c r="GUM49" s="16"/>
      <c r="GUN49" s="16"/>
      <c r="GUO49" s="16"/>
      <c r="GUP49" s="16"/>
      <c r="GUQ49" s="16"/>
      <c r="GUR49" s="16"/>
      <c r="GUS49" s="16"/>
      <c r="GUT49" s="16"/>
      <c r="GUU49" s="16"/>
      <c r="GUV49" s="16"/>
      <c r="GUW49" s="16"/>
      <c r="GUX49" s="16"/>
      <c r="GUY49" s="16"/>
      <c r="GUZ49" s="16"/>
      <c r="GVA49" s="16"/>
      <c r="GVB49" s="16"/>
      <c r="GVC49" s="16"/>
      <c r="GVD49" s="16"/>
      <c r="GVE49" s="16"/>
      <c r="GVF49" s="16"/>
      <c r="GVG49" s="16"/>
      <c r="GVH49" s="16"/>
      <c r="GVI49" s="16"/>
      <c r="GVJ49" s="16"/>
      <c r="GVK49" s="16"/>
      <c r="GVL49" s="16"/>
      <c r="GVM49" s="16"/>
      <c r="GVN49" s="16"/>
      <c r="GVO49" s="16"/>
      <c r="GVP49" s="16"/>
      <c r="GVQ49" s="16"/>
      <c r="GVR49" s="16"/>
      <c r="GVS49" s="16"/>
      <c r="GVT49" s="16"/>
      <c r="GVU49" s="16"/>
      <c r="GVV49" s="16"/>
      <c r="GVW49" s="16"/>
      <c r="GVX49" s="16"/>
      <c r="GVY49" s="16"/>
      <c r="GVZ49" s="16"/>
      <c r="GWA49" s="16"/>
      <c r="GWB49" s="16"/>
      <c r="GWC49" s="16"/>
      <c r="GWD49" s="16"/>
      <c r="GWE49" s="16"/>
      <c r="GWF49" s="16"/>
      <c r="GWG49" s="16"/>
      <c r="GWH49" s="16"/>
      <c r="GWI49" s="16"/>
      <c r="GWJ49" s="16"/>
      <c r="GWK49" s="16"/>
      <c r="GWL49" s="16"/>
      <c r="GWM49" s="16"/>
      <c r="GWN49" s="16"/>
      <c r="GWO49" s="16"/>
      <c r="GWP49" s="16"/>
      <c r="GWQ49" s="16"/>
      <c r="GWR49" s="16"/>
      <c r="GWS49" s="16"/>
      <c r="GWT49" s="16"/>
      <c r="GWU49" s="16"/>
      <c r="GWV49" s="16"/>
      <c r="GWW49" s="16"/>
      <c r="GWX49" s="16"/>
      <c r="GWY49" s="16"/>
      <c r="GWZ49" s="16"/>
      <c r="GXA49" s="16"/>
      <c r="GXB49" s="16"/>
      <c r="GXC49" s="16"/>
      <c r="GXD49" s="16"/>
      <c r="GXE49" s="16"/>
      <c r="GXF49" s="16"/>
      <c r="GXG49" s="16"/>
      <c r="GXH49" s="16"/>
      <c r="GXI49" s="16"/>
      <c r="GXJ49" s="16"/>
      <c r="GXK49" s="16"/>
      <c r="GXL49" s="16"/>
      <c r="GXM49" s="16"/>
      <c r="GXN49" s="16"/>
      <c r="GXO49" s="16"/>
      <c r="GXP49" s="16"/>
      <c r="GXQ49" s="16"/>
      <c r="GXR49" s="16"/>
      <c r="GXS49" s="16"/>
      <c r="GXT49" s="16"/>
      <c r="GXU49" s="16"/>
      <c r="GXV49" s="16"/>
      <c r="GXW49" s="16"/>
      <c r="GXX49" s="16"/>
      <c r="GXY49" s="16"/>
      <c r="GXZ49" s="16"/>
      <c r="GYA49" s="16"/>
      <c r="GYB49" s="16"/>
      <c r="GYC49" s="16"/>
      <c r="GYD49" s="16"/>
      <c r="GYE49" s="16"/>
      <c r="GYF49" s="16"/>
      <c r="GYG49" s="16"/>
      <c r="GYH49" s="16"/>
      <c r="GYI49" s="16"/>
      <c r="GYJ49" s="16"/>
      <c r="GYK49" s="16"/>
      <c r="GYL49" s="16"/>
      <c r="GYM49" s="16"/>
      <c r="GYN49" s="16"/>
      <c r="GYO49" s="16"/>
      <c r="GYP49" s="16"/>
      <c r="GYQ49" s="16"/>
      <c r="GYR49" s="16"/>
      <c r="GYS49" s="16"/>
      <c r="GYT49" s="16"/>
      <c r="GYU49" s="16"/>
      <c r="GYV49" s="16"/>
      <c r="GYW49" s="16"/>
      <c r="GYX49" s="16"/>
      <c r="GYY49" s="16"/>
      <c r="GYZ49" s="16"/>
      <c r="GZA49" s="16"/>
      <c r="GZB49" s="16"/>
      <c r="GZC49" s="16"/>
      <c r="GZD49" s="16"/>
      <c r="GZE49" s="16"/>
      <c r="GZF49" s="16"/>
      <c r="GZG49" s="16"/>
      <c r="GZH49" s="16"/>
      <c r="GZI49" s="16"/>
      <c r="GZJ49" s="16"/>
      <c r="GZK49" s="16"/>
      <c r="GZL49" s="16"/>
      <c r="GZM49" s="16"/>
      <c r="GZN49" s="16"/>
      <c r="GZO49" s="16"/>
      <c r="GZP49" s="16"/>
      <c r="GZQ49" s="16"/>
      <c r="GZR49" s="16"/>
      <c r="GZS49" s="16"/>
      <c r="GZT49" s="16"/>
      <c r="GZU49" s="16"/>
      <c r="GZV49" s="16"/>
      <c r="GZW49" s="16"/>
      <c r="GZX49" s="16"/>
      <c r="GZY49" s="16"/>
      <c r="GZZ49" s="16"/>
      <c r="HAA49" s="16"/>
      <c r="HAB49" s="16"/>
      <c r="HAC49" s="16"/>
      <c r="HAD49" s="16"/>
      <c r="HAE49" s="16"/>
      <c r="HAF49" s="16"/>
      <c r="HAG49" s="16"/>
      <c r="HAH49" s="16"/>
      <c r="HAI49" s="16"/>
      <c r="HAJ49" s="16"/>
      <c r="HAK49" s="16"/>
      <c r="HAL49" s="16"/>
      <c r="HAM49" s="16"/>
      <c r="HAN49" s="16"/>
      <c r="HAO49" s="16"/>
      <c r="HAP49" s="16"/>
      <c r="HAQ49" s="16"/>
      <c r="HAR49" s="16"/>
      <c r="HAS49" s="16"/>
      <c r="HAT49" s="16"/>
      <c r="HAU49" s="16"/>
      <c r="HAV49" s="16"/>
      <c r="HAW49" s="16"/>
      <c r="HAX49" s="16"/>
      <c r="HAY49" s="16"/>
      <c r="HAZ49" s="16"/>
      <c r="HBA49" s="16"/>
      <c r="HBB49" s="16"/>
      <c r="HBC49" s="16"/>
      <c r="HBD49" s="16"/>
      <c r="HBE49" s="16"/>
      <c r="HBF49" s="16"/>
      <c r="HBG49" s="16"/>
      <c r="HBH49" s="16"/>
      <c r="HBI49" s="16"/>
      <c r="HBJ49" s="16"/>
      <c r="HBK49" s="16"/>
      <c r="HBL49" s="16"/>
      <c r="HBM49" s="16"/>
      <c r="HBN49" s="16"/>
      <c r="HBO49" s="16"/>
      <c r="HBP49" s="16"/>
      <c r="HBQ49" s="16"/>
      <c r="HBR49" s="16"/>
      <c r="HBS49" s="16"/>
      <c r="HBT49" s="16"/>
      <c r="HBU49" s="16"/>
      <c r="HBV49" s="16"/>
      <c r="HBW49" s="16"/>
      <c r="HBX49" s="16"/>
      <c r="HBY49" s="16"/>
      <c r="HBZ49" s="16"/>
      <c r="HCA49" s="16"/>
      <c r="HCB49" s="16"/>
      <c r="HCC49" s="16"/>
      <c r="HCD49" s="16"/>
      <c r="HCE49" s="16"/>
      <c r="HCF49" s="16"/>
      <c r="HCG49" s="16"/>
      <c r="HCH49" s="16"/>
      <c r="HCI49" s="16"/>
      <c r="HCJ49" s="16"/>
      <c r="HCK49" s="16"/>
      <c r="HCL49" s="16"/>
      <c r="HCM49" s="16"/>
      <c r="HCN49" s="16"/>
      <c r="HCO49" s="16"/>
      <c r="HCP49" s="16"/>
      <c r="HCQ49" s="16"/>
      <c r="HCR49" s="16"/>
      <c r="HCS49" s="16"/>
      <c r="HCT49" s="16"/>
      <c r="HCU49" s="16"/>
      <c r="HCV49" s="16"/>
      <c r="HCW49" s="16"/>
      <c r="HCX49" s="16"/>
      <c r="HCY49" s="16"/>
      <c r="HCZ49" s="16"/>
      <c r="HDA49" s="16"/>
      <c r="HDB49" s="16"/>
      <c r="HDC49" s="16"/>
      <c r="HDD49" s="16"/>
      <c r="HDE49" s="16"/>
      <c r="HDF49" s="16"/>
      <c r="HDG49" s="16"/>
      <c r="HDH49" s="16"/>
      <c r="HDI49" s="16"/>
      <c r="HDJ49" s="16"/>
      <c r="HDK49" s="16"/>
      <c r="HDL49" s="16"/>
      <c r="HDM49" s="16"/>
      <c r="HDN49" s="16"/>
      <c r="HDO49" s="16"/>
      <c r="HDP49" s="16"/>
      <c r="HDQ49" s="16"/>
      <c r="HDR49" s="16"/>
      <c r="HDS49" s="16"/>
      <c r="HDT49" s="16"/>
      <c r="HDU49" s="16"/>
      <c r="HDV49" s="16"/>
      <c r="HDW49" s="16"/>
      <c r="HDX49" s="16"/>
      <c r="HDY49" s="16"/>
      <c r="HDZ49" s="16"/>
      <c r="HEA49" s="16"/>
      <c r="HEB49" s="16"/>
      <c r="HEC49" s="16"/>
      <c r="HED49" s="16"/>
      <c r="HEE49" s="16"/>
      <c r="HEF49" s="16"/>
      <c r="HEG49" s="16"/>
      <c r="HEH49" s="16"/>
      <c r="HEI49" s="16"/>
      <c r="HEJ49" s="16"/>
      <c r="HEK49" s="16"/>
      <c r="HEL49" s="16"/>
      <c r="HEM49" s="16"/>
      <c r="HEN49" s="16"/>
      <c r="HEO49" s="16"/>
      <c r="HEP49" s="16"/>
      <c r="HEQ49" s="16"/>
      <c r="HER49" s="16"/>
      <c r="HES49" s="16"/>
      <c r="HET49" s="16"/>
      <c r="HEU49" s="16"/>
      <c r="HEV49" s="16"/>
      <c r="HEW49" s="16"/>
      <c r="HEX49" s="16"/>
      <c r="HEY49" s="16"/>
      <c r="HEZ49" s="16"/>
      <c r="HFA49" s="16"/>
      <c r="HFB49" s="16"/>
      <c r="HFC49" s="16"/>
      <c r="HFD49" s="16"/>
      <c r="HFE49" s="16"/>
      <c r="HFF49" s="16"/>
      <c r="HFG49" s="16"/>
      <c r="HFH49" s="16"/>
      <c r="HFI49" s="16"/>
      <c r="HFJ49" s="16"/>
      <c r="HFK49" s="16"/>
      <c r="HFL49" s="16"/>
      <c r="HFM49" s="16"/>
      <c r="HFN49" s="16"/>
      <c r="HFO49" s="16"/>
      <c r="HFP49" s="16"/>
      <c r="HFQ49" s="16"/>
      <c r="HFR49" s="16"/>
      <c r="HFS49" s="16"/>
      <c r="HFT49" s="16"/>
      <c r="HFU49" s="16"/>
      <c r="HFV49" s="16"/>
      <c r="HFW49" s="16"/>
      <c r="HFX49" s="16"/>
      <c r="HFY49" s="16"/>
      <c r="HFZ49" s="16"/>
      <c r="HGA49" s="16"/>
      <c r="HGB49" s="16"/>
      <c r="HGC49" s="16"/>
      <c r="HGD49" s="16"/>
      <c r="HGE49" s="16"/>
      <c r="HGF49" s="16"/>
      <c r="HGG49" s="16"/>
      <c r="HGH49" s="16"/>
      <c r="HGI49" s="16"/>
      <c r="HGJ49" s="16"/>
      <c r="HGK49" s="16"/>
      <c r="HGL49" s="16"/>
      <c r="HGM49" s="16"/>
      <c r="HGN49" s="16"/>
      <c r="HGO49" s="16"/>
      <c r="HGP49" s="16"/>
      <c r="HGQ49" s="16"/>
      <c r="HGR49" s="16"/>
      <c r="HGS49" s="16"/>
      <c r="HGT49" s="16"/>
      <c r="HGU49" s="16"/>
      <c r="HGV49" s="16"/>
      <c r="HGW49" s="16"/>
      <c r="HGX49" s="16"/>
      <c r="HGY49" s="16"/>
      <c r="HGZ49" s="16"/>
      <c r="HHA49" s="16"/>
      <c r="HHB49" s="16"/>
      <c r="HHC49" s="16"/>
      <c r="HHD49" s="16"/>
      <c r="HHE49" s="16"/>
      <c r="HHF49" s="16"/>
      <c r="HHG49" s="16"/>
      <c r="HHH49" s="16"/>
      <c r="HHI49" s="16"/>
      <c r="HHJ49" s="16"/>
      <c r="HHK49" s="16"/>
      <c r="HHL49" s="16"/>
      <c r="HHM49" s="16"/>
      <c r="HHN49" s="16"/>
      <c r="HHO49" s="16"/>
      <c r="HHP49" s="16"/>
      <c r="HHQ49" s="16"/>
      <c r="HHR49" s="16"/>
      <c r="HHS49" s="16"/>
      <c r="HHT49" s="16"/>
      <c r="HHU49" s="16"/>
      <c r="HHV49" s="16"/>
      <c r="HHW49" s="16"/>
      <c r="HHX49" s="16"/>
      <c r="HHY49" s="16"/>
      <c r="HHZ49" s="16"/>
      <c r="HIA49" s="16"/>
      <c r="HIB49" s="16"/>
      <c r="HIC49" s="16"/>
      <c r="HID49" s="16"/>
      <c r="HIE49" s="16"/>
      <c r="HIF49" s="16"/>
      <c r="HIG49" s="16"/>
      <c r="HIH49" s="16"/>
      <c r="HII49" s="16"/>
      <c r="HIJ49" s="16"/>
      <c r="HIK49" s="16"/>
      <c r="HIL49" s="16"/>
      <c r="HIM49" s="16"/>
      <c r="HIN49" s="16"/>
      <c r="HIO49" s="16"/>
      <c r="HIP49" s="16"/>
      <c r="HIQ49" s="16"/>
      <c r="HIR49" s="16"/>
      <c r="HIS49" s="16"/>
      <c r="HIT49" s="16"/>
      <c r="HIU49" s="16"/>
      <c r="HIV49" s="16"/>
      <c r="HIW49" s="16"/>
      <c r="HIX49" s="16"/>
      <c r="HIY49" s="16"/>
      <c r="HIZ49" s="16"/>
      <c r="HJA49" s="16"/>
      <c r="HJB49" s="16"/>
      <c r="HJC49" s="16"/>
      <c r="HJD49" s="16"/>
      <c r="HJE49" s="16"/>
      <c r="HJF49" s="16"/>
      <c r="HJG49" s="16"/>
      <c r="HJH49" s="16"/>
      <c r="HJI49" s="16"/>
      <c r="HJJ49" s="16"/>
      <c r="HJK49" s="16"/>
      <c r="HJL49" s="16"/>
      <c r="HJM49" s="16"/>
      <c r="HJN49" s="16"/>
      <c r="HJO49" s="16"/>
      <c r="HJP49" s="16"/>
      <c r="HJQ49" s="16"/>
      <c r="HJR49" s="16"/>
      <c r="HJS49" s="16"/>
      <c r="HJT49" s="16"/>
      <c r="HJU49" s="16"/>
      <c r="HJV49" s="16"/>
      <c r="HJW49" s="16"/>
      <c r="HJX49" s="16"/>
      <c r="HJY49" s="16"/>
      <c r="HJZ49" s="16"/>
      <c r="HKA49" s="16"/>
      <c r="HKB49" s="16"/>
      <c r="HKC49" s="16"/>
      <c r="HKD49" s="16"/>
      <c r="HKE49" s="16"/>
      <c r="HKF49" s="16"/>
      <c r="HKG49" s="16"/>
      <c r="HKH49" s="16"/>
      <c r="HKI49" s="16"/>
      <c r="HKJ49" s="16"/>
      <c r="HKK49" s="16"/>
      <c r="HKL49" s="16"/>
      <c r="HKM49" s="16"/>
      <c r="HKN49" s="16"/>
      <c r="HKO49" s="16"/>
      <c r="HKP49" s="16"/>
      <c r="HKQ49" s="16"/>
      <c r="HKR49" s="16"/>
      <c r="HKS49" s="16"/>
      <c r="HKT49" s="16"/>
      <c r="HKU49" s="16"/>
      <c r="HKV49" s="16"/>
      <c r="HKW49" s="16"/>
      <c r="HKX49" s="16"/>
      <c r="HKY49" s="16"/>
      <c r="HKZ49" s="16"/>
      <c r="HLA49" s="16"/>
      <c r="HLB49" s="16"/>
      <c r="HLC49" s="16"/>
      <c r="HLD49" s="16"/>
      <c r="HLE49" s="16"/>
      <c r="HLF49" s="16"/>
      <c r="HLG49" s="16"/>
      <c r="HLH49" s="16"/>
      <c r="HLI49" s="16"/>
      <c r="HLJ49" s="16"/>
      <c r="HLK49" s="16"/>
      <c r="HLL49" s="16"/>
      <c r="HLM49" s="16"/>
      <c r="HLN49" s="16"/>
      <c r="HLO49" s="16"/>
      <c r="HLP49" s="16"/>
      <c r="HLQ49" s="16"/>
      <c r="HLR49" s="16"/>
      <c r="HLS49" s="16"/>
      <c r="HLT49" s="16"/>
      <c r="HLU49" s="16"/>
      <c r="HLV49" s="16"/>
      <c r="HLW49" s="16"/>
      <c r="HLX49" s="16"/>
      <c r="HLY49" s="16"/>
      <c r="HLZ49" s="16"/>
      <c r="HMA49" s="16"/>
      <c r="HMB49" s="16"/>
      <c r="HMC49" s="16"/>
      <c r="HMD49" s="16"/>
      <c r="HME49" s="16"/>
      <c r="HMF49" s="16"/>
      <c r="HMG49" s="16"/>
      <c r="HMH49" s="16"/>
      <c r="HMI49" s="16"/>
      <c r="HMJ49" s="16"/>
      <c r="HMK49" s="16"/>
      <c r="HML49" s="16"/>
      <c r="HMM49" s="16"/>
      <c r="HMN49" s="16"/>
      <c r="HMO49" s="16"/>
      <c r="HMP49" s="16"/>
      <c r="HMQ49" s="16"/>
      <c r="HMR49" s="16"/>
      <c r="HMS49" s="16"/>
      <c r="HMT49" s="16"/>
      <c r="HMU49" s="16"/>
      <c r="HMV49" s="16"/>
      <c r="HMW49" s="16"/>
      <c r="HMX49" s="16"/>
      <c r="HMY49" s="16"/>
      <c r="HMZ49" s="16"/>
      <c r="HNA49" s="16"/>
      <c r="HNB49" s="16"/>
      <c r="HNC49" s="16"/>
      <c r="HND49" s="16"/>
      <c r="HNE49" s="16"/>
      <c r="HNF49" s="16"/>
      <c r="HNG49" s="16"/>
      <c r="HNH49" s="16"/>
      <c r="HNI49" s="16"/>
      <c r="HNJ49" s="16"/>
      <c r="HNK49" s="16"/>
      <c r="HNL49" s="16"/>
      <c r="HNM49" s="16"/>
      <c r="HNN49" s="16"/>
      <c r="HNO49" s="16"/>
      <c r="HNP49" s="16"/>
      <c r="HNQ49" s="16"/>
      <c r="HNR49" s="16"/>
      <c r="HNS49" s="16"/>
      <c r="HNT49" s="16"/>
      <c r="HNU49" s="16"/>
      <c r="HNV49" s="16"/>
      <c r="HNW49" s="16"/>
      <c r="HNX49" s="16"/>
      <c r="HNY49" s="16"/>
      <c r="HNZ49" s="16"/>
      <c r="HOA49" s="16"/>
      <c r="HOB49" s="16"/>
      <c r="HOC49" s="16"/>
      <c r="HOD49" s="16"/>
      <c r="HOE49" s="16"/>
      <c r="HOF49" s="16"/>
      <c r="HOG49" s="16"/>
      <c r="HOH49" s="16"/>
      <c r="HOI49" s="16"/>
      <c r="HOJ49" s="16"/>
      <c r="HOK49" s="16"/>
      <c r="HOL49" s="16"/>
      <c r="HOM49" s="16"/>
      <c r="HON49" s="16"/>
      <c r="HOO49" s="16"/>
      <c r="HOP49" s="16"/>
      <c r="HOQ49" s="16"/>
      <c r="HOR49" s="16"/>
      <c r="HOS49" s="16"/>
      <c r="HOT49" s="16"/>
      <c r="HOU49" s="16"/>
      <c r="HOV49" s="16"/>
      <c r="HOW49" s="16"/>
      <c r="HOX49" s="16"/>
      <c r="HOY49" s="16"/>
      <c r="HOZ49" s="16"/>
      <c r="HPA49" s="16"/>
      <c r="HPB49" s="16"/>
      <c r="HPC49" s="16"/>
      <c r="HPD49" s="16"/>
      <c r="HPE49" s="16"/>
      <c r="HPF49" s="16"/>
      <c r="HPG49" s="16"/>
      <c r="HPH49" s="16"/>
      <c r="HPI49" s="16"/>
      <c r="HPJ49" s="16"/>
      <c r="HPK49" s="16"/>
      <c r="HPL49" s="16"/>
      <c r="HPM49" s="16"/>
      <c r="HPN49" s="16"/>
      <c r="HPO49" s="16"/>
      <c r="HPP49" s="16"/>
      <c r="HPQ49" s="16"/>
      <c r="HPR49" s="16"/>
      <c r="HPS49" s="16"/>
      <c r="HPT49" s="16"/>
      <c r="HPU49" s="16"/>
      <c r="HPV49" s="16"/>
      <c r="HPW49" s="16"/>
      <c r="HPX49" s="16"/>
      <c r="HPY49" s="16"/>
      <c r="HPZ49" s="16"/>
      <c r="HQA49" s="16"/>
      <c r="HQB49" s="16"/>
      <c r="HQC49" s="16"/>
      <c r="HQD49" s="16"/>
      <c r="HQE49" s="16"/>
      <c r="HQF49" s="16"/>
      <c r="HQG49" s="16"/>
      <c r="HQH49" s="16"/>
      <c r="HQI49" s="16"/>
      <c r="HQJ49" s="16"/>
      <c r="HQK49" s="16"/>
      <c r="HQL49" s="16"/>
      <c r="HQM49" s="16"/>
      <c r="HQN49" s="16"/>
      <c r="HQO49" s="16"/>
      <c r="HQP49" s="16"/>
      <c r="HQQ49" s="16"/>
      <c r="HQR49" s="16"/>
      <c r="HQS49" s="16"/>
      <c r="HQT49" s="16"/>
      <c r="HQU49" s="16"/>
      <c r="HQV49" s="16"/>
      <c r="HQW49" s="16"/>
      <c r="HQX49" s="16"/>
      <c r="HQY49" s="16"/>
      <c r="HQZ49" s="16"/>
      <c r="HRA49" s="16"/>
      <c r="HRB49" s="16"/>
      <c r="HRC49" s="16"/>
      <c r="HRD49" s="16"/>
      <c r="HRE49" s="16"/>
      <c r="HRF49" s="16"/>
      <c r="HRG49" s="16"/>
      <c r="HRH49" s="16"/>
      <c r="HRI49" s="16"/>
      <c r="HRJ49" s="16"/>
      <c r="HRK49" s="16"/>
      <c r="HRL49" s="16"/>
      <c r="HRM49" s="16"/>
      <c r="HRN49" s="16"/>
      <c r="HRO49" s="16"/>
      <c r="HRP49" s="16"/>
      <c r="HRQ49" s="16"/>
      <c r="HRR49" s="16"/>
      <c r="HRS49" s="16"/>
      <c r="HRT49" s="16"/>
      <c r="HRU49" s="16"/>
      <c r="HRV49" s="16"/>
      <c r="HRW49" s="16"/>
      <c r="HRX49" s="16"/>
      <c r="HRY49" s="16"/>
      <c r="HRZ49" s="16"/>
      <c r="HSA49" s="16"/>
      <c r="HSB49" s="16"/>
      <c r="HSC49" s="16"/>
      <c r="HSD49" s="16"/>
      <c r="HSE49" s="16"/>
      <c r="HSF49" s="16"/>
      <c r="HSG49" s="16"/>
      <c r="HSH49" s="16"/>
      <c r="HSI49" s="16"/>
      <c r="HSJ49" s="16"/>
      <c r="HSK49" s="16"/>
      <c r="HSL49" s="16"/>
      <c r="HSM49" s="16"/>
      <c r="HSN49" s="16"/>
      <c r="HSO49" s="16"/>
      <c r="HSP49" s="16"/>
      <c r="HSQ49" s="16"/>
      <c r="HSR49" s="16"/>
      <c r="HSS49" s="16"/>
      <c r="HST49" s="16"/>
      <c r="HSU49" s="16"/>
      <c r="HSV49" s="16"/>
      <c r="HSW49" s="16"/>
      <c r="HSX49" s="16"/>
      <c r="HSY49" s="16"/>
      <c r="HSZ49" s="16"/>
      <c r="HTA49" s="16"/>
      <c r="HTB49" s="16"/>
      <c r="HTC49" s="16"/>
      <c r="HTD49" s="16"/>
      <c r="HTE49" s="16"/>
      <c r="HTF49" s="16"/>
      <c r="HTG49" s="16"/>
      <c r="HTH49" s="16"/>
      <c r="HTI49" s="16"/>
      <c r="HTJ49" s="16"/>
      <c r="HTK49" s="16"/>
      <c r="HTL49" s="16"/>
      <c r="HTM49" s="16"/>
      <c r="HTN49" s="16"/>
      <c r="HTO49" s="16"/>
      <c r="HTP49" s="16"/>
      <c r="HTQ49" s="16"/>
      <c r="HTR49" s="16"/>
      <c r="HTS49" s="16"/>
      <c r="HTT49" s="16"/>
      <c r="HTU49" s="16"/>
      <c r="HTV49" s="16"/>
      <c r="HTW49" s="16"/>
      <c r="HTX49" s="16"/>
      <c r="HTY49" s="16"/>
      <c r="HTZ49" s="16"/>
      <c r="HUA49" s="16"/>
      <c r="HUB49" s="16"/>
      <c r="HUC49" s="16"/>
      <c r="HUD49" s="16"/>
      <c r="HUE49" s="16"/>
      <c r="HUF49" s="16"/>
      <c r="HUG49" s="16"/>
      <c r="HUH49" s="16"/>
      <c r="HUI49" s="16"/>
      <c r="HUJ49" s="16"/>
      <c r="HUK49" s="16"/>
      <c r="HUL49" s="16"/>
      <c r="HUM49" s="16"/>
      <c r="HUN49" s="16"/>
      <c r="HUO49" s="16"/>
      <c r="HUP49" s="16"/>
      <c r="HUQ49" s="16"/>
      <c r="HUR49" s="16"/>
      <c r="HUS49" s="16"/>
      <c r="HUT49" s="16"/>
      <c r="HUU49" s="16"/>
      <c r="HUV49" s="16"/>
      <c r="HUW49" s="16"/>
      <c r="HUX49" s="16"/>
      <c r="HUY49" s="16"/>
      <c r="HUZ49" s="16"/>
      <c r="HVA49" s="16"/>
      <c r="HVB49" s="16"/>
      <c r="HVC49" s="16"/>
      <c r="HVD49" s="16"/>
      <c r="HVE49" s="16"/>
      <c r="HVF49" s="16"/>
      <c r="HVG49" s="16"/>
      <c r="HVH49" s="16"/>
      <c r="HVI49" s="16"/>
      <c r="HVJ49" s="16"/>
      <c r="HVK49" s="16"/>
      <c r="HVL49" s="16"/>
      <c r="HVM49" s="16"/>
      <c r="HVN49" s="16"/>
      <c r="HVO49" s="16"/>
      <c r="HVP49" s="16"/>
      <c r="HVQ49" s="16"/>
      <c r="HVR49" s="16"/>
      <c r="HVS49" s="16"/>
      <c r="HVT49" s="16"/>
      <c r="HVU49" s="16"/>
      <c r="HVV49" s="16"/>
      <c r="HVW49" s="16"/>
      <c r="HVX49" s="16"/>
      <c r="HVY49" s="16"/>
      <c r="HVZ49" s="16"/>
      <c r="HWA49" s="16"/>
      <c r="HWB49" s="16"/>
      <c r="HWC49" s="16"/>
      <c r="HWD49" s="16"/>
      <c r="HWE49" s="16"/>
      <c r="HWF49" s="16"/>
      <c r="HWG49" s="16"/>
      <c r="HWH49" s="16"/>
      <c r="HWI49" s="16"/>
      <c r="HWJ49" s="16"/>
      <c r="HWK49" s="16"/>
      <c r="HWL49" s="16"/>
      <c r="HWM49" s="16"/>
      <c r="HWN49" s="16"/>
      <c r="HWO49" s="16"/>
      <c r="HWP49" s="16"/>
      <c r="HWQ49" s="16"/>
      <c r="HWR49" s="16"/>
      <c r="HWS49" s="16"/>
      <c r="HWT49" s="16"/>
      <c r="HWU49" s="16"/>
      <c r="HWV49" s="16"/>
      <c r="HWW49" s="16"/>
      <c r="HWX49" s="16"/>
      <c r="HWY49" s="16"/>
      <c r="HWZ49" s="16"/>
      <c r="HXA49" s="16"/>
      <c r="HXB49" s="16"/>
      <c r="HXC49" s="16"/>
      <c r="HXD49" s="16"/>
      <c r="HXE49" s="16"/>
      <c r="HXF49" s="16"/>
      <c r="HXG49" s="16"/>
      <c r="HXH49" s="16"/>
      <c r="HXI49" s="16"/>
      <c r="HXJ49" s="16"/>
      <c r="HXK49" s="16"/>
      <c r="HXL49" s="16"/>
      <c r="HXM49" s="16"/>
      <c r="HXN49" s="16"/>
      <c r="HXO49" s="16"/>
      <c r="HXP49" s="16"/>
      <c r="HXQ49" s="16"/>
      <c r="HXR49" s="16"/>
      <c r="HXS49" s="16"/>
      <c r="HXT49" s="16"/>
      <c r="HXU49" s="16"/>
      <c r="HXV49" s="16"/>
      <c r="HXW49" s="16"/>
      <c r="HXX49" s="16"/>
      <c r="HXY49" s="16"/>
      <c r="HXZ49" s="16"/>
      <c r="HYA49" s="16"/>
      <c r="HYB49" s="16"/>
      <c r="HYC49" s="16"/>
      <c r="HYD49" s="16"/>
      <c r="HYE49" s="16"/>
      <c r="HYF49" s="16"/>
      <c r="HYG49" s="16"/>
      <c r="HYH49" s="16"/>
      <c r="HYI49" s="16"/>
      <c r="HYJ49" s="16"/>
      <c r="HYK49" s="16"/>
      <c r="HYL49" s="16"/>
      <c r="HYM49" s="16"/>
      <c r="HYN49" s="16"/>
      <c r="HYO49" s="16"/>
      <c r="HYP49" s="16"/>
      <c r="HYQ49" s="16"/>
      <c r="HYR49" s="16"/>
      <c r="HYS49" s="16"/>
      <c r="HYT49" s="16"/>
      <c r="HYU49" s="16"/>
      <c r="HYV49" s="16"/>
      <c r="HYW49" s="16"/>
      <c r="HYX49" s="16"/>
      <c r="HYY49" s="16"/>
      <c r="HYZ49" s="16"/>
      <c r="HZA49" s="16"/>
      <c r="HZB49" s="16"/>
      <c r="HZC49" s="16"/>
      <c r="HZD49" s="16"/>
      <c r="HZE49" s="16"/>
      <c r="HZF49" s="16"/>
      <c r="HZG49" s="16"/>
      <c r="HZH49" s="16"/>
      <c r="HZI49" s="16"/>
      <c r="HZJ49" s="16"/>
      <c r="HZK49" s="16"/>
      <c r="HZL49" s="16"/>
      <c r="HZM49" s="16"/>
      <c r="HZN49" s="16"/>
      <c r="HZO49" s="16"/>
      <c r="HZP49" s="16"/>
      <c r="HZQ49" s="16"/>
      <c r="HZR49" s="16"/>
      <c r="HZS49" s="16"/>
      <c r="HZT49" s="16"/>
      <c r="HZU49" s="16"/>
      <c r="HZV49" s="16"/>
      <c r="HZW49" s="16"/>
      <c r="HZX49" s="16"/>
      <c r="HZY49" s="16"/>
      <c r="HZZ49" s="16"/>
      <c r="IAA49" s="16"/>
      <c r="IAB49" s="16"/>
      <c r="IAC49" s="16"/>
      <c r="IAD49" s="16"/>
      <c r="IAE49" s="16"/>
      <c r="IAF49" s="16"/>
      <c r="IAG49" s="16"/>
      <c r="IAH49" s="16"/>
      <c r="IAI49" s="16"/>
      <c r="IAJ49" s="16"/>
      <c r="IAK49" s="16"/>
      <c r="IAL49" s="16"/>
      <c r="IAM49" s="16"/>
      <c r="IAN49" s="16"/>
      <c r="IAO49" s="16"/>
      <c r="IAP49" s="16"/>
      <c r="IAQ49" s="16"/>
      <c r="IAR49" s="16"/>
      <c r="IAS49" s="16"/>
      <c r="IAT49" s="16"/>
      <c r="IAU49" s="16"/>
      <c r="IAV49" s="16"/>
      <c r="IAW49" s="16"/>
      <c r="IAX49" s="16"/>
      <c r="IAY49" s="16"/>
      <c r="IAZ49" s="16"/>
      <c r="IBA49" s="16"/>
      <c r="IBB49" s="16"/>
      <c r="IBC49" s="16"/>
      <c r="IBD49" s="16"/>
      <c r="IBE49" s="16"/>
      <c r="IBF49" s="16"/>
      <c r="IBG49" s="16"/>
      <c r="IBH49" s="16"/>
      <c r="IBI49" s="16"/>
      <c r="IBJ49" s="16"/>
      <c r="IBK49" s="16"/>
      <c r="IBL49" s="16"/>
      <c r="IBM49" s="16"/>
      <c r="IBN49" s="16"/>
      <c r="IBO49" s="16"/>
      <c r="IBP49" s="16"/>
      <c r="IBQ49" s="16"/>
      <c r="IBR49" s="16"/>
      <c r="IBS49" s="16"/>
      <c r="IBT49" s="16"/>
      <c r="IBU49" s="16"/>
      <c r="IBV49" s="16"/>
      <c r="IBW49" s="16"/>
      <c r="IBX49" s="16"/>
      <c r="IBY49" s="16"/>
      <c r="IBZ49" s="16"/>
      <c r="ICA49" s="16"/>
      <c r="ICB49" s="16"/>
      <c r="ICC49" s="16"/>
      <c r="ICD49" s="16"/>
      <c r="ICE49" s="16"/>
      <c r="ICF49" s="16"/>
      <c r="ICG49" s="16"/>
      <c r="ICH49" s="16"/>
      <c r="ICI49" s="16"/>
      <c r="ICJ49" s="16"/>
      <c r="ICK49" s="16"/>
      <c r="ICL49" s="16"/>
      <c r="ICM49" s="16"/>
      <c r="ICN49" s="16"/>
      <c r="ICO49" s="16"/>
      <c r="ICP49" s="16"/>
      <c r="ICQ49" s="16"/>
      <c r="ICR49" s="16"/>
      <c r="ICS49" s="16"/>
      <c r="ICT49" s="16"/>
      <c r="ICU49" s="16"/>
      <c r="ICV49" s="16"/>
      <c r="ICW49" s="16"/>
      <c r="ICX49" s="16"/>
      <c r="ICY49" s="16"/>
      <c r="ICZ49" s="16"/>
      <c r="IDA49" s="16"/>
      <c r="IDB49" s="16"/>
      <c r="IDC49" s="16"/>
      <c r="IDD49" s="16"/>
      <c r="IDE49" s="16"/>
      <c r="IDF49" s="16"/>
      <c r="IDG49" s="16"/>
      <c r="IDH49" s="16"/>
      <c r="IDI49" s="16"/>
      <c r="IDJ49" s="16"/>
      <c r="IDK49" s="16"/>
      <c r="IDL49" s="16"/>
      <c r="IDM49" s="16"/>
      <c r="IDN49" s="16"/>
      <c r="IDO49" s="16"/>
      <c r="IDP49" s="16"/>
      <c r="IDQ49" s="16"/>
      <c r="IDR49" s="16"/>
      <c r="IDS49" s="16"/>
      <c r="IDT49" s="16"/>
      <c r="IDU49" s="16"/>
      <c r="IDV49" s="16"/>
      <c r="IDW49" s="16"/>
      <c r="IDX49" s="16"/>
      <c r="IDY49" s="16"/>
      <c r="IDZ49" s="16"/>
      <c r="IEA49" s="16"/>
      <c r="IEB49" s="16"/>
      <c r="IEC49" s="16"/>
      <c r="IED49" s="16"/>
      <c r="IEE49" s="16"/>
      <c r="IEF49" s="16"/>
      <c r="IEG49" s="16"/>
      <c r="IEH49" s="16"/>
      <c r="IEI49" s="16"/>
      <c r="IEJ49" s="16"/>
      <c r="IEK49" s="16"/>
      <c r="IEL49" s="16"/>
      <c r="IEM49" s="16"/>
      <c r="IEN49" s="16"/>
      <c r="IEO49" s="16"/>
      <c r="IEP49" s="16"/>
      <c r="IEQ49" s="16"/>
      <c r="IER49" s="16"/>
      <c r="IES49" s="16"/>
      <c r="IET49" s="16"/>
      <c r="IEU49" s="16"/>
      <c r="IEV49" s="16"/>
      <c r="IEW49" s="16"/>
      <c r="IEX49" s="16"/>
      <c r="IEY49" s="16"/>
      <c r="IEZ49" s="16"/>
      <c r="IFA49" s="16"/>
      <c r="IFB49" s="16"/>
      <c r="IFC49" s="16"/>
      <c r="IFD49" s="16"/>
      <c r="IFE49" s="16"/>
      <c r="IFF49" s="16"/>
      <c r="IFG49" s="16"/>
      <c r="IFH49" s="16"/>
      <c r="IFI49" s="16"/>
      <c r="IFJ49" s="16"/>
      <c r="IFK49" s="16"/>
      <c r="IFL49" s="16"/>
      <c r="IFM49" s="16"/>
      <c r="IFN49" s="16"/>
      <c r="IFO49" s="16"/>
      <c r="IFP49" s="16"/>
      <c r="IFQ49" s="16"/>
      <c r="IFR49" s="16"/>
      <c r="IFS49" s="16"/>
      <c r="IFT49" s="16"/>
      <c r="IFU49" s="16"/>
      <c r="IFV49" s="16"/>
      <c r="IFW49" s="16"/>
      <c r="IFX49" s="16"/>
      <c r="IFY49" s="16"/>
      <c r="IFZ49" s="16"/>
      <c r="IGA49" s="16"/>
      <c r="IGB49" s="16"/>
      <c r="IGC49" s="16"/>
      <c r="IGD49" s="16"/>
      <c r="IGE49" s="16"/>
      <c r="IGF49" s="16"/>
      <c r="IGG49" s="16"/>
      <c r="IGH49" s="16"/>
      <c r="IGI49" s="16"/>
      <c r="IGJ49" s="16"/>
      <c r="IGK49" s="16"/>
      <c r="IGL49" s="16"/>
      <c r="IGM49" s="16"/>
      <c r="IGN49" s="16"/>
      <c r="IGO49" s="16"/>
      <c r="IGP49" s="16"/>
      <c r="IGQ49" s="16"/>
      <c r="IGR49" s="16"/>
      <c r="IGS49" s="16"/>
      <c r="IGT49" s="16"/>
      <c r="IGU49" s="16"/>
      <c r="IGV49" s="16"/>
      <c r="IGW49" s="16"/>
      <c r="IGX49" s="16"/>
      <c r="IGY49" s="16"/>
      <c r="IGZ49" s="16"/>
      <c r="IHA49" s="16"/>
      <c r="IHB49" s="16"/>
      <c r="IHC49" s="16"/>
      <c r="IHD49" s="16"/>
      <c r="IHE49" s="16"/>
      <c r="IHF49" s="16"/>
      <c r="IHG49" s="16"/>
      <c r="IHH49" s="16"/>
      <c r="IHI49" s="16"/>
      <c r="IHJ49" s="16"/>
      <c r="IHK49" s="16"/>
      <c r="IHL49" s="16"/>
      <c r="IHM49" s="16"/>
      <c r="IHN49" s="16"/>
      <c r="IHO49" s="16"/>
      <c r="IHP49" s="16"/>
      <c r="IHQ49" s="16"/>
      <c r="IHR49" s="16"/>
      <c r="IHS49" s="16"/>
      <c r="IHT49" s="16"/>
      <c r="IHU49" s="16"/>
      <c r="IHV49" s="16"/>
      <c r="IHW49" s="16"/>
      <c r="IHX49" s="16"/>
      <c r="IHY49" s="16"/>
      <c r="IHZ49" s="16"/>
      <c r="IIA49" s="16"/>
      <c r="IIB49" s="16"/>
      <c r="IIC49" s="16"/>
      <c r="IID49" s="16"/>
      <c r="IIE49" s="16"/>
      <c r="IIF49" s="16"/>
      <c r="IIG49" s="16"/>
      <c r="IIH49" s="16"/>
      <c r="III49" s="16"/>
      <c r="IIJ49" s="16"/>
      <c r="IIK49" s="16"/>
      <c r="IIL49" s="16"/>
      <c r="IIM49" s="16"/>
      <c r="IIN49" s="16"/>
      <c r="IIO49" s="16"/>
      <c r="IIP49" s="16"/>
      <c r="IIQ49" s="16"/>
      <c r="IIR49" s="16"/>
      <c r="IIS49" s="16"/>
      <c r="IIT49" s="16"/>
      <c r="IIU49" s="16"/>
      <c r="IIV49" s="16"/>
      <c r="IIW49" s="16"/>
      <c r="IIX49" s="16"/>
      <c r="IIY49" s="16"/>
      <c r="IIZ49" s="16"/>
      <c r="IJA49" s="16"/>
      <c r="IJB49" s="16"/>
      <c r="IJC49" s="16"/>
      <c r="IJD49" s="16"/>
      <c r="IJE49" s="16"/>
      <c r="IJF49" s="16"/>
      <c r="IJG49" s="16"/>
      <c r="IJH49" s="16"/>
      <c r="IJI49" s="16"/>
      <c r="IJJ49" s="16"/>
      <c r="IJK49" s="16"/>
      <c r="IJL49" s="16"/>
      <c r="IJM49" s="16"/>
      <c r="IJN49" s="16"/>
      <c r="IJO49" s="16"/>
      <c r="IJP49" s="16"/>
      <c r="IJQ49" s="16"/>
      <c r="IJR49" s="16"/>
      <c r="IJS49" s="16"/>
      <c r="IJT49" s="16"/>
      <c r="IJU49" s="16"/>
      <c r="IJV49" s="16"/>
      <c r="IJW49" s="16"/>
      <c r="IJX49" s="16"/>
      <c r="IJY49" s="16"/>
      <c r="IJZ49" s="16"/>
      <c r="IKA49" s="16"/>
      <c r="IKB49" s="16"/>
      <c r="IKC49" s="16"/>
      <c r="IKD49" s="16"/>
      <c r="IKE49" s="16"/>
      <c r="IKF49" s="16"/>
      <c r="IKG49" s="16"/>
      <c r="IKH49" s="16"/>
      <c r="IKI49" s="16"/>
      <c r="IKJ49" s="16"/>
      <c r="IKK49" s="16"/>
      <c r="IKL49" s="16"/>
      <c r="IKM49" s="16"/>
      <c r="IKN49" s="16"/>
      <c r="IKO49" s="16"/>
      <c r="IKP49" s="16"/>
      <c r="IKQ49" s="16"/>
      <c r="IKR49" s="16"/>
      <c r="IKS49" s="16"/>
      <c r="IKT49" s="16"/>
      <c r="IKU49" s="16"/>
      <c r="IKV49" s="16"/>
      <c r="IKW49" s="16"/>
      <c r="IKX49" s="16"/>
      <c r="IKY49" s="16"/>
      <c r="IKZ49" s="16"/>
      <c r="ILA49" s="16"/>
      <c r="ILB49" s="16"/>
      <c r="ILC49" s="16"/>
      <c r="ILD49" s="16"/>
      <c r="ILE49" s="16"/>
      <c r="ILF49" s="16"/>
      <c r="ILG49" s="16"/>
      <c r="ILH49" s="16"/>
      <c r="ILI49" s="16"/>
      <c r="ILJ49" s="16"/>
      <c r="ILK49" s="16"/>
      <c r="ILL49" s="16"/>
      <c r="ILM49" s="16"/>
      <c r="ILN49" s="16"/>
      <c r="ILO49" s="16"/>
      <c r="ILP49" s="16"/>
      <c r="ILQ49" s="16"/>
      <c r="ILR49" s="16"/>
      <c r="ILS49" s="16"/>
      <c r="ILT49" s="16"/>
      <c r="ILU49" s="16"/>
      <c r="ILV49" s="16"/>
      <c r="ILW49" s="16"/>
      <c r="ILX49" s="16"/>
      <c r="ILY49" s="16"/>
      <c r="ILZ49" s="16"/>
      <c r="IMA49" s="16"/>
      <c r="IMB49" s="16"/>
      <c r="IMC49" s="16"/>
      <c r="IMD49" s="16"/>
      <c r="IME49" s="16"/>
      <c r="IMF49" s="16"/>
      <c r="IMG49" s="16"/>
      <c r="IMH49" s="16"/>
      <c r="IMI49" s="16"/>
      <c r="IMJ49" s="16"/>
      <c r="IMK49" s="16"/>
      <c r="IML49" s="16"/>
      <c r="IMM49" s="16"/>
      <c r="IMN49" s="16"/>
      <c r="IMO49" s="16"/>
      <c r="IMP49" s="16"/>
      <c r="IMQ49" s="16"/>
      <c r="IMR49" s="16"/>
      <c r="IMS49" s="16"/>
      <c r="IMT49" s="16"/>
      <c r="IMU49" s="16"/>
      <c r="IMV49" s="16"/>
      <c r="IMW49" s="16"/>
      <c r="IMX49" s="16"/>
      <c r="IMY49" s="16"/>
      <c r="IMZ49" s="16"/>
      <c r="INA49" s="16"/>
      <c r="INB49" s="16"/>
      <c r="INC49" s="16"/>
      <c r="IND49" s="16"/>
      <c r="INE49" s="16"/>
      <c r="INF49" s="16"/>
      <c r="ING49" s="16"/>
      <c r="INH49" s="16"/>
      <c r="INI49" s="16"/>
      <c r="INJ49" s="16"/>
      <c r="INK49" s="16"/>
      <c r="INL49" s="16"/>
      <c r="INM49" s="16"/>
      <c r="INN49" s="16"/>
      <c r="INO49" s="16"/>
      <c r="INP49" s="16"/>
      <c r="INQ49" s="16"/>
      <c r="INR49" s="16"/>
      <c r="INS49" s="16"/>
      <c r="INT49" s="16"/>
      <c r="INU49" s="16"/>
      <c r="INV49" s="16"/>
      <c r="INW49" s="16"/>
      <c r="INX49" s="16"/>
      <c r="INY49" s="16"/>
      <c r="INZ49" s="16"/>
      <c r="IOA49" s="16"/>
      <c r="IOB49" s="16"/>
      <c r="IOC49" s="16"/>
      <c r="IOD49" s="16"/>
      <c r="IOE49" s="16"/>
      <c r="IOF49" s="16"/>
      <c r="IOG49" s="16"/>
      <c r="IOH49" s="16"/>
      <c r="IOI49" s="16"/>
      <c r="IOJ49" s="16"/>
      <c r="IOK49" s="16"/>
      <c r="IOL49" s="16"/>
      <c r="IOM49" s="16"/>
      <c r="ION49" s="16"/>
      <c r="IOO49" s="16"/>
      <c r="IOP49" s="16"/>
      <c r="IOQ49" s="16"/>
      <c r="IOR49" s="16"/>
      <c r="IOS49" s="16"/>
      <c r="IOT49" s="16"/>
      <c r="IOU49" s="16"/>
      <c r="IOV49" s="16"/>
      <c r="IOW49" s="16"/>
      <c r="IOX49" s="16"/>
      <c r="IOY49" s="16"/>
      <c r="IOZ49" s="16"/>
      <c r="IPA49" s="16"/>
      <c r="IPB49" s="16"/>
      <c r="IPC49" s="16"/>
      <c r="IPD49" s="16"/>
      <c r="IPE49" s="16"/>
      <c r="IPF49" s="16"/>
      <c r="IPG49" s="16"/>
      <c r="IPH49" s="16"/>
      <c r="IPI49" s="16"/>
      <c r="IPJ49" s="16"/>
      <c r="IPK49" s="16"/>
      <c r="IPL49" s="16"/>
      <c r="IPM49" s="16"/>
      <c r="IPN49" s="16"/>
      <c r="IPO49" s="16"/>
      <c r="IPP49" s="16"/>
      <c r="IPQ49" s="16"/>
      <c r="IPR49" s="16"/>
      <c r="IPS49" s="16"/>
      <c r="IPT49" s="16"/>
      <c r="IPU49" s="16"/>
      <c r="IPV49" s="16"/>
      <c r="IPW49" s="16"/>
      <c r="IPX49" s="16"/>
      <c r="IPY49" s="16"/>
      <c r="IPZ49" s="16"/>
      <c r="IQA49" s="16"/>
      <c r="IQB49" s="16"/>
      <c r="IQC49" s="16"/>
      <c r="IQD49" s="16"/>
      <c r="IQE49" s="16"/>
      <c r="IQF49" s="16"/>
      <c r="IQG49" s="16"/>
      <c r="IQH49" s="16"/>
      <c r="IQI49" s="16"/>
      <c r="IQJ49" s="16"/>
      <c r="IQK49" s="16"/>
      <c r="IQL49" s="16"/>
      <c r="IQM49" s="16"/>
      <c r="IQN49" s="16"/>
      <c r="IQO49" s="16"/>
      <c r="IQP49" s="16"/>
      <c r="IQQ49" s="16"/>
      <c r="IQR49" s="16"/>
      <c r="IQS49" s="16"/>
      <c r="IQT49" s="16"/>
      <c r="IQU49" s="16"/>
      <c r="IQV49" s="16"/>
      <c r="IQW49" s="16"/>
      <c r="IQX49" s="16"/>
      <c r="IQY49" s="16"/>
      <c r="IQZ49" s="16"/>
      <c r="IRA49" s="16"/>
      <c r="IRB49" s="16"/>
      <c r="IRC49" s="16"/>
      <c r="IRD49" s="16"/>
      <c r="IRE49" s="16"/>
      <c r="IRF49" s="16"/>
      <c r="IRG49" s="16"/>
      <c r="IRH49" s="16"/>
      <c r="IRI49" s="16"/>
      <c r="IRJ49" s="16"/>
      <c r="IRK49" s="16"/>
      <c r="IRL49" s="16"/>
      <c r="IRM49" s="16"/>
      <c r="IRN49" s="16"/>
      <c r="IRO49" s="16"/>
      <c r="IRP49" s="16"/>
      <c r="IRQ49" s="16"/>
      <c r="IRR49" s="16"/>
      <c r="IRS49" s="16"/>
      <c r="IRT49" s="16"/>
      <c r="IRU49" s="16"/>
      <c r="IRV49" s="16"/>
      <c r="IRW49" s="16"/>
      <c r="IRX49" s="16"/>
      <c r="IRY49" s="16"/>
      <c r="IRZ49" s="16"/>
      <c r="ISA49" s="16"/>
      <c r="ISB49" s="16"/>
      <c r="ISC49" s="16"/>
      <c r="ISD49" s="16"/>
      <c r="ISE49" s="16"/>
      <c r="ISF49" s="16"/>
      <c r="ISG49" s="16"/>
      <c r="ISH49" s="16"/>
      <c r="ISI49" s="16"/>
      <c r="ISJ49" s="16"/>
      <c r="ISK49" s="16"/>
      <c r="ISL49" s="16"/>
      <c r="ISM49" s="16"/>
      <c r="ISN49" s="16"/>
      <c r="ISO49" s="16"/>
      <c r="ISP49" s="16"/>
      <c r="ISQ49" s="16"/>
      <c r="ISR49" s="16"/>
      <c r="ISS49" s="16"/>
      <c r="IST49" s="16"/>
      <c r="ISU49" s="16"/>
      <c r="ISV49" s="16"/>
      <c r="ISW49" s="16"/>
      <c r="ISX49" s="16"/>
      <c r="ISY49" s="16"/>
      <c r="ISZ49" s="16"/>
      <c r="ITA49" s="16"/>
      <c r="ITB49" s="16"/>
      <c r="ITC49" s="16"/>
      <c r="ITD49" s="16"/>
      <c r="ITE49" s="16"/>
      <c r="ITF49" s="16"/>
      <c r="ITG49" s="16"/>
      <c r="ITH49" s="16"/>
      <c r="ITI49" s="16"/>
      <c r="ITJ49" s="16"/>
      <c r="ITK49" s="16"/>
      <c r="ITL49" s="16"/>
      <c r="ITM49" s="16"/>
      <c r="ITN49" s="16"/>
      <c r="ITO49" s="16"/>
      <c r="ITP49" s="16"/>
      <c r="ITQ49" s="16"/>
      <c r="ITR49" s="16"/>
      <c r="ITS49" s="16"/>
      <c r="ITT49" s="16"/>
      <c r="ITU49" s="16"/>
      <c r="ITV49" s="16"/>
      <c r="ITW49" s="16"/>
      <c r="ITX49" s="16"/>
      <c r="ITY49" s="16"/>
      <c r="ITZ49" s="16"/>
      <c r="IUA49" s="16"/>
      <c r="IUB49" s="16"/>
      <c r="IUC49" s="16"/>
      <c r="IUD49" s="16"/>
      <c r="IUE49" s="16"/>
      <c r="IUF49" s="16"/>
      <c r="IUG49" s="16"/>
      <c r="IUH49" s="16"/>
      <c r="IUI49" s="16"/>
      <c r="IUJ49" s="16"/>
      <c r="IUK49" s="16"/>
      <c r="IUL49" s="16"/>
      <c r="IUM49" s="16"/>
      <c r="IUN49" s="16"/>
      <c r="IUO49" s="16"/>
      <c r="IUP49" s="16"/>
      <c r="IUQ49" s="16"/>
      <c r="IUR49" s="16"/>
      <c r="IUS49" s="16"/>
      <c r="IUT49" s="16"/>
      <c r="IUU49" s="16"/>
      <c r="IUV49" s="16"/>
      <c r="IUW49" s="16"/>
      <c r="IUX49" s="16"/>
      <c r="IUY49" s="16"/>
      <c r="IUZ49" s="16"/>
      <c r="IVA49" s="16"/>
      <c r="IVB49" s="16"/>
      <c r="IVC49" s="16"/>
      <c r="IVD49" s="16"/>
      <c r="IVE49" s="16"/>
      <c r="IVF49" s="16"/>
      <c r="IVG49" s="16"/>
      <c r="IVH49" s="16"/>
      <c r="IVI49" s="16"/>
      <c r="IVJ49" s="16"/>
      <c r="IVK49" s="16"/>
      <c r="IVL49" s="16"/>
      <c r="IVM49" s="16"/>
      <c r="IVN49" s="16"/>
      <c r="IVO49" s="16"/>
      <c r="IVP49" s="16"/>
      <c r="IVQ49" s="16"/>
      <c r="IVR49" s="16"/>
      <c r="IVS49" s="16"/>
      <c r="IVT49" s="16"/>
      <c r="IVU49" s="16"/>
      <c r="IVV49" s="16"/>
      <c r="IVW49" s="16"/>
      <c r="IVX49" s="16"/>
      <c r="IVY49" s="16"/>
      <c r="IVZ49" s="16"/>
      <c r="IWA49" s="16"/>
      <c r="IWB49" s="16"/>
      <c r="IWC49" s="16"/>
      <c r="IWD49" s="16"/>
      <c r="IWE49" s="16"/>
      <c r="IWF49" s="16"/>
      <c r="IWG49" s="16"/>
      <c r="IWH49" s="16"/>
      <c r="IWI49" s="16"/>
      <c r="IWJ49" s="16"/>
      <c r="IWK49" s="16"/>
      <c r="IWL49" s="16"/>
      <c r="IWM49" s="16"/>
      <c r="IWN49" s="16"/>
      <c r="IWO49" s="16"/>
      <c r="IWP49" s="16"/>
      <c r="IWQ49" s="16"/>
      <c r="IWR49" s="16"/>
      <c r="IWS49" s="16"/>
      <c r="IWT49" s="16"/>
      <c r="IWU49" s="16"/>
      <c r="IWV49" s="16"/>
      <c r="IWW49" s="16"/>
      <c r="IWX49" s="16"/>
      <c r="IWY49" s="16"/>
      <c r="IWZ49" s="16"/>
      <c r="IXA49" s="16"/>
      <c r="IXB49" s="16"/>
      <c r="IXC49" s="16"/>
      <c r="IXD49" s="16"/>
      <c r="IXE49" s="16"/>
      <c r="IXF49" s="16"/>
      <c r="IXG49" s="16"/>
      <c r="IXH49" s="16"/>
      <c r="IXI49" s="16"/>
      <c r="IXJ49" s="16"/>
      <c r="IXK49" s="16"/>
      <c r="IXL49" s="16"/>
      <c r="IXM49" s="16"/>
      <c r="IXN49" s="16"/>
      <c r="IXO49" s="16"/>
      <c r="IXP49" s="16"/>
      <c r="IXQ49" s="16"/>
      <c r="IXR49" s="16"/>
      <c r="IXS49" s="16"/>
      <c r="IXT49" s="16"/>
      <c r="IXU49" s="16"/>
      <c r="IXV49" s="16"/>
      <c r="IXW49" s="16"/>
      <c r="IXX49" s="16"/>
      <c r="IXY49" s="16"/>
      <c r="IXZ49" s="16"/>
      <c r="IYA49" s="16"/>
      <c r="IYB49" s="16"/>
      <c r="IYC49" s="16"/>
      <c r="IYD49" s="16"/>
      <c r="IYE49" s="16"/>
      <c r="IYF49" s="16"/>
      <c r="IYG49" s="16"/>
      <c r="IYH49" s="16"/>
      <c r="IYI49" s="16"/>
      <c r="IYJ49" s="16"/>
      <c r="IYK49" s="16"/>
      <c r="IYL49" s="16"/>
      <c r="IYM49" s="16"/>
      <c r="IYN49" s="16"/>
      <c r="IYO49" s="16"/>
      <c r="IYP49" s="16"/>
      <c r="IYQ49" s="16"/>
      <c r="IYR49" s="16"/>
      <c r="IYS49" s="16"/>
      <c r="IYT49" s="16"/>
      <c r="IYU49" s="16"/>
      <c r="IYV49" s="16"/>
      <c r="IYW49" s="16"/>
      <c r="IYX49" s="16"/>
      <c r="IYY49" s="16"/>
      <c r="IYZ49" s="16"/>
      <c r="IZA49" s="16"/>
      <c r="IZB49" s="16"/>
      <c r="IZC49" s="16"/>
      <c r="IZD49" s="16"/>
      <c r="IZE49" s="16"/>
      <c r="IZF49" s="16"/>
      <c r="IZG49" s="16"/>
      <c r="IZH49" s="16"/>
      <c r="IZI49" s="16"/>
      <c r="IZJ49" s="16"/>
      <c r="IZK49" s="16"/>
      <c r="IZL49" s="16"/>
      <c r="IZM49" s="16"/>
      <c r="IZN49" s="16"/>
      <c r="IZO49" s="16"/>
      <c r="IZP49" s="16"/>
      <c r="IZQ49" s="16"/>
      <c r="IZR49" s="16"/>
      <c r="IZS49" s="16"/>
      <c r="IZT49" s="16"/>
      <c r="IZU49" s="16"/>
      <c r="IZV49" s="16"/>
      <c r="IZW49" s="16"/>
      <c r="IZX49" s="16"/>
      <c r="IZY49" s="16"/>
      <c r="IZZ49" s="16"/>
      <c r="JAA49" s="16"/>
      <c r="JAB49" s="16"/>
      <c r="JAC49" s="16"/>
      <c r="JAD49" s="16"/>
      <c r="JAE49" s="16"/>
      <c r="JAF49" s="16"/>
      <c r="JAG49" s="16"/>
      <c r="JAH49" s="16"/>
      <c r="JAI49" s="16"/>
      <c r="JAJ49" s="16"/>
      <c r="JAK49" s="16"/>
      <c r="JAL49" s="16"/>
      <c r="JAM49" s="16"/>
      <c r="JAN49" s="16"/>
      <c r="JAO49" s="16"/>
      <c r="JAP49" s="16"/>
      <c r="JAQ49" s="16"/>
      <c r="JAR49" s="16"/>
      <c r="JAS49" s="16"/>
      <c r="JAT49" s="16"/>
      <c r="JAU49" s="16"/>
      <c r="JAV49" s="16"/>
      <c r="JAW49" s="16"/>
      <c r="JAX49" s="16"/>
      <c r="JAY49" s="16"/>
      <c r="JAZ49" s="16"/>
      <c r="JBA49" s="16"/>
      <c r="JBB49" s="16"/>
      <c r="JBC49" s="16"/>
      <c r="JBD49" s="16"/>
      <c r="JBE49" s="16"/>
      <c r="JBF49" s="16"/>
      <c r="JBG49" s="16"/>
      <c r="JBH49" s="16"/>
      <c r="JBI49" s="16"/>
      <c r="JBJ49" s="16"/>
      <c r="JBK49" s="16"/>
      <c r="JBL49" s="16"/>
      <c r="JBM49" s="16"/>
      <c r="JBN49" s="16"/>
      <c r="JBO49" s="16"/>
      <c r="JBP49" s="16"/>
      <c r="JBQ49" s="16"/>
      <c r="JBR49" s="16"/>
      <c r="JBS49" s="16"/>
      <c r="JBT49" s="16"/>
      <c r="JBU49" s="16"/>
      <c r="JBV49" s="16"/>
      <c r="JBW49" s="16"/>
      <c r="JBX49" s="16"/>
      <c r="JBY49" s="16"/>
      <c r="JBZ49" s="16"/>
      <c r="JCA49" s="16"/>
      <c r="JCB49" s="16"/>
      <c r="JCC49" s="16"/>
      <c r="JCD49" s="16"/>
      <c r="JCE49" s="16"/>
      <c r="JCF49" s="16"/>
      <c r="JCG49" s="16"/>
      <c r="JCH49" s="16"/>
      <c r="JCI49" s="16"/>
      <c r="JCJ49" s="16"/>
      <c r="JCK49" s="16"/>
      <c r="JCL49" s="16"/>
      <c r="JCM49" s="16"/>
      <c r="JCN49" s="16"/>
      <c r="JCO49" s="16"/>
      <c r="JCP49" s="16"/>
      <c r="JCQ49" s="16"/>
      <c r="JCR49" s="16"/>
      <c r="JCS49" s="16"/>
      <c r="JCT49" s="16"/>
      <c r="JCU49" s="16"/>
      <c r="JCV49" s="16"/>
      <c r="JCW49" s="16"/>
      <c r="JCX49" s="16"/>
      <c r="JCY49" s="16"/>
      <c r="JCZ49" s="16"/>
      <c r="JDA49" s="16"/>
      <c r="JDB49" s="16"/>
      <c r="JDC49" s="16"/>
      <c r="JDD49" s="16"/>
      <c r="JDE49" s="16"/>
      <c r="JDF49" s="16"/>
      <c r="JDG49" s="16"/>
      <c r="JDH49" s="16"/>
      <c r="JDI49" s="16"/>
      <c r="JDJ49" s="16"/>
      <c r="JDK49" s="16"/>
      <c r="JDL49" s="16"/>
      <c r="JDM49" s="16"/>
      <c r="JDN49" s="16"/>
      <c r="JDO49" s="16"/>
      <c r="JDP49" s="16"/>
      <c r="JDQ49" s="16"/>
      <c r="JDR49" s="16"/>
      <c r="JDS49" s="16"/>
      <c r="JDT49" s="16"/>
      <c r="JDU49" s="16"/>
      <c r="JDV49" s="16"/>
      <c r="JDW49" s="16"/>
      <c r="JDX49" s="16"/>
      <c r="JDY49" s="16"/>
      <c r="JDZ49" s="16"/>
      <c r="JEA49" s="16"/>
      <c r="JEB49" s="16"/>
      <c r="JEC49" s="16"/>
      <c r="JED49" s="16"/>
      <c r="JEE49" s="16"/>
      <c r="JEF49" s="16"/>
      <c r="JEG49" s="16"/>
      <c r="JEH49" s="16"/>
      <c r="JEI49" s="16"/>
      <c r="JEJ49" s="16"/>
      <c r="JEK49" s="16"/>
      <c r="JEL49" s="16"/>
      <c r="JEM49" s="16"/>
      <c r="JEN49" s="16"/>
      <c r="JEO49" s="16"/>
      <c r="JEP49" s="16"/>
      <c r="JEQ49" s="16"/>
      <c r="JER49" s="16"/>
      <c r="JES49" s="16"/>
      <c r="JET49" s="16"/>
      <c r="JEU49" s="16"/>
      <c r="JEV49" s="16"/>
      <c r="JEW49" s="16"/>
      <c r="JEX49" s="16"/>
      <c r="JEY49" s="16"/>
      <c r="JEZ49" s="16"/>
      <c r="JFA49" s="16"/>
      <c r="JFB49" s="16"/>
      <c r="JFC49" s="16"/>
      <c r="JFD49" s="16"/>
      <c r="JFE49" s="16"/>
      <c r="JFF49" s="16"/>
      <c r="JFG49" s="16"/>
      <c r="JFH49" s="16"/>
      <c r="JFI49" s="16"/>
      <c r="JFJ49" s="16"/>
      <c r="JFK49" s="16"/>
      <c r="JFL49" s="16"/>
      <c r="JFM49" s="16"/>
      <c r="JFN49" s="16"/>
      <c r="JFO49" s="16"/>
      <c r="JFP49" s="16"/>
      <c r="JFQ49" s="16"/>
      <c r="JFR49" s="16"/>
      <c r="JFS49" s="16"/>
      <c r="JFT49" s="16"/>
      <c r="JFU49" s="16"/>
      <c r="JFV49" s="16"/>
      <c r="JFW49" s="16"/>
      <c r="JFX49" s="16"/>
      <c r="JFY49" s="16"/>
      <c r="JFZ49" s="16"/>
      <c r="JGA49" s="16"/>
      <c r="JGB49" s="16"/>
      <c r="JGC49" s="16"/>
      <c r="JGD49" s="16"/>
      <c r="JGE49" s="16"/>
      <c r="JGF49" s="16"/>
      <c r="JGG49" s="16"/>
      <c r="JGH49" s="16"/>
      <c r="JGI49" s="16"/>
      <c r="JGJ49" s="16"/>
      <c r="JGK49" s="16"/>
      <c r="JGL49" s="16"/>
      <c r="JGM49" s="16"/>
      <c r="JGN49" s="16"/>
      <c r="JGO49" s="16"/>
      <c r="JGP49" s="16"/>
      <c r="JGQ49" s="16"/>
      <c r="JGR49" s="16"/>
      <c r="JGS49" s="16"/>
      <c r="JGT49" s="16"/>
      <c r="JGU49" s="16"/>
      <c r="JGV49" s="16"/>
      <c r="JGW49" s="16"/>
      <c r="JGX49" s="16"/>
      <c r="JGY49" s="16"/>
      <c r="JGZ49" s="16"/>
      <c r="JHA49" s="16"/>
      <c r="JHB49" s="16"/>
      <c r="JHC49" s="16"/>
      <c r="JHD49" s="16"/>
      <c r="JHE49" s="16"/>
      <c r="JHF49" s="16"/>
      <c r="JHG49" s="16"/>
      <c r="JHH49" s="16"/>
      <c r="JHI49" s="16"/>
      <c r="JHJ49" s="16"/>
      <c r="JHK49" s="16"/>
      <c r="JHL49" s="16"/>
      <c r="JHM49" s="16"/>
      <c r="JHN49" s="16"/>
      <c r="JHO49" s="16"/>
      <c r="JHP49" s="16"/>
      <c r="JHQ49" s="16"/>
      <c r="JHR49" s="16"/>
      <c r="JHS49" s="16"/>
      <c r="JHT49" s="16"/>
      <c r="JHU49" s="16"/>
      <c r="JHV49" s="16"/>
      <c r="JHW49" s="16"/>
      <c r="JHX49" s="16"/>
      <c r="JHY49" s="16"/>
      <c r="JHZ49" s="16"/>
      <c r="JIA49" s="16"/>
      <c r="JIB49" s="16"/>
      <c r="JIC49" s="16"/>
      <c r="JID49" s="16"/>
      <c r="JIE49" s="16"/>
      <c r="JIF49" s="16"/>
      <c r="JIG49" s="16"/>
      <c r="JIH49" s="16"/>
      <c r="JII49" s="16"/>
      <c r="JIJ49" s="16"/>
      <c r="JIK49" s="16"/>
      <c r="JIL49" s="16"/>
      <c r="JIM49" s="16"/>
      <c r="JIN49" s="16"/>
      <c r="JIO49" s="16"/>
      <c r="JIP49" s="16"/>
      <c r="JIQ49" s="16"/>
      <c r="JIR49" s="16"/>
      <c r="JIS49" s="16"/>
      <c r="JIT49" s="16"/>
      <c r="JIU49" s="16"/>
      <c r="JIV49" s="16"/>
      <c r="JIW49" s="16"/>
      <c r="JIX49" s="16"/>
      <c r="JIY49" s="16"/>
      <c r="JIZ49" s="16"/>
      <c r="JJA49" s="16"/>
      <c r="JJB49" s="16"/>
      <c r="JJC49" s="16"/>
      <c r="JJD49" s="16"/>
      <c r="JJE49" s="16"/>
      <c r="JJF49" s="16"/>
      <c r="JJG49" s="16"/>
      <c r="JJH49" s="16"/>
      <c r="JJI49" s="16"/>
      <c r="JJJ49" s="16"/>
      <c r="JJK49" s="16"/>
      <c r="JJL49" s="16"/>
      <c r="JJM49" s="16"/>
      <c r="JJN49" s="16"/>
      <c r="JJO49" s="16"/>
      <c r="JJP49" s="16"/>
      <c r="JJQ49" s="16"/>
      <c r="JJR49" s="16"/>
      <c r="JJS49" s="16"/>
      <c r="JJT49" s="16"/>
      <c r="JJU49" s="16"/>
      <c r="JJV49" s="16"/>
      <c r="JJW49" s="16"/>
      <c r="JJX49" s="16"/>
      <c r="JJY49" s="16"/>
      <c r="JJZ49" s="16"/>
      <c r="JKA49" s="16"/>
      <c r="JKB49" s="16"/>
      <c r="JKC49" s="16"/>
      <c r="JKD49" s="16"/>
      <c r="JKE49" s="16"/>
      <c r="JKF49" s="16"/>
      <c r="JKG49" s="16"/>
      <c r="JKH49" s="16"/>
      <c r="JKI49" s="16"/>
      <c r="JKJ49" s="16"/>
      <c r="JKK49" s="16"/>
      <c r="JKL49" s="16"/>
      <c r="JKM49" s="16"/>
      <c r="JKN49" s="16"/>
      <c r="JKO49" s="16"/>
      <c r="JKP49" s="16"/>
      <c r="JKQ49" s="16"/>
      <c r="JKR49" s="16"/>
      <c r="JKS49" s="16"/>
      <c r="JKT49" s="16"/>
      <c r="JKU49" s="16"/>
      <c r="JKV49" s="16"/>
      <c r="JKW49" s="16"/>
      <c r="JKX49" s="16"/>
      <c r="JKY49" s="16"/>
      <c r="JKZ49" s="16"/>
      <c r="JLA49" s="16"/>
      <c r="JLB49" s="16"/>
      <c r="JLC49" s="16"/>
      <c r="JLD49" s="16"/>
      <c r="JLE49" s="16"/>
      <c r="JLF49" s="16"/>
      <c r="JLG49" s="16"/>
      <c r="JLH49" s="16"/>
      <c r="JLI49" s="16"/>
      <c r="JLJ49" s="16"/>
      <c r="JLK49" s="16"/>
      <c r="JLL49" s="16"/>
      <c r="JLM49" s="16"/>
      <c r="JLN49" s="16"/>
      <c r="JLO49" s="16"/>
      <c r="JLP49" s="16"/>
      <c r="JLQ49" s="16"/>
      <c r="JLR49" s="16"/>
      <c r="JLS49" s="16"/>
      <c r="JLT49" s="16"/>
      <c r="JLU49" s="16"/>
      <c r="JLV49" s="16"/>
      <c r="JLW49" s="16"/>
      <c r="JLX49" s="16"/>
      <c r="JLY49" s="16"/>
      <c r="JLZ49" s="16"/>
      <c r="JMA49" s="16"/>
      <c r="JMB49" s="16"/>
      <c r="JMC49" s="16"/>
      <c r="JMD49" s="16"/>
      <c r="JME49" s="16"/>
      <c r="JMF49" s="16"/>
      <c r="JMG49" s="16"/>
      <c r="JMH49" s="16"/>
      <c r="JMI49" s="16"/>
      <c r="JMJ49" s="16"/>
      <c r="JMK49" s="16"/>
      <c r="JML49" s="16"/>
      <c r="JMM49" s="16"/>
      <c r="JMN49" s="16"/>
      <c r="JMO49" s="16"/>
      <c r="JMP49" s="16"/>
      <c r="JMQ49" s="16"/>
      <c r="JMR49" s="16"/>
      <c r="JMS49" s="16"/>
      <c r="JMT49" s="16"/>
      <c r="JMU49" s="16"/>
      <c r="JMV49" s="16"/>
      <c r="JMW49" s="16"/>
      <c r="JMX49" s="16"/>
      <c r="JMY49" s="16"/>
      <c r="JMZ49" s="16"/>
      <c r="JNA49" s="16"/>
      <c r="JNB49" s="16"/>
      <c r="JNC49" s="16"/>
      <c r="JND49" s="16"/>
      <c r="JNE49" s="16"/>
      <c r="JNF49" s="16"/>
      <c r="JNG49" s="16"/>
      <c r="JNH49" s="16"/>
      <c r="JNI49" s="16"/>
      <c r="JNJ49" s="16"/>
      <c r="JNK49" s="16"/>
      <c r="JNL49" s="16"/>
      <c r="JNM49" s="16"/>
      <c r="JNN49" s="16"/>
      <c r="JNO49" s="16"/>
      <c r="JNP49" s="16"/>
      <c r="JNQ49" s="16"/>
      <c r="JNR49" s="16"/>
      <c r="JNS49" s="16"/>
      <c r="JNT49" s="16"/>
      <c r="JNU49" s="16"/>
      <c r="JNV49" s="16"/>
      <c r="JNW49" s="16"/>
      <c r="JNX49" s="16"/>
      <c r="JNY49" s="16"/>
      <c r="JNZ49" s="16"/>
      <c r="JOA49" s="16"/>
      <c r="JOB49" s="16"/>
      <c r="JOC49" s="16"/>
      <c r="JOD49" s="16"/>
      <c r="JOE49" s="16"/>
      <c r="JOF49" s="16"/>
      <c r="JOG49" s="16"/>
      <c r="JOH49" s="16"/>
      <c r="JOI49" s="16"/>
      <c r="JOJ49" s="16"/>
      <c r="JOK49" s="16"/>
      <c r="JOL49" s="16"/>
      <c r="JOM49" s="16"/>
      <c r="JON49" s="16"/>
      <c r="JOO49" s="16"/>
      <c r="JOP49" s="16"/>
      <c r="JOQ49" s="16"/>
      <c r="JOR49" s="16"/>
      <c r="JOS49" s="16"/>
      <c r="JOT49" s="16"/>
      <c r="JOU49" s="16"/>
      <c r="JOV49" s="16"/>
      <c r="JOW49" s="16"/>
      <c r="JOX49" s="16"/>
      <c r="JOY49" s="16"/>
      <c r="JOZ49" s="16"/>
      <c r="JPA49" s="16"/>
      <c r="JPB49" s="16"/>
      <c r="JPC49" s="16"/>
      <c r="JPD49" s="16"/>
      <c r="JPE49" s="16"/>
      <c r="JPF49" s="16"/>
      <c r="JPG49" s="16"/>
      <c r="JPH49" s="16"/>
      <c r="JPI49" s="16"/>
      <c r="JPJ49" s="16"/>
      <c r="JPK49" s="16"/>
      <c r="JPL49" s="16"/>
      <c r="JPM49" s="16"/>
      <c r="JPN49" s="16"/>
      <c r="JPO49" s="16"/>
      <c r="JPP49" s="16"/>
      <c r="JPQ49" s="16"/>
      <c r="JPR49" s="16"/>
      <c r="JPS49" s="16"/>
      <c r="JPT49" s="16"/>
      <c r="JPU49" s="16"/>
      <c r="JPV49" s="16"/>
      <c r="JPW49" s="16"/>
      <c r="JPX49" s="16"/>
      <c r="JPY49" s="16"/>
      <c r="JPZ49" s="16"/>
      <c r="JQA49" s="16"/>
      <c r="JQB49" s="16"/>
      <c r="JQC49" s="16"/>
      <c r="JQD49" s="16"/>
      <c r="JQE49" s="16"/>
      <c r="JQF49" s="16"/>
      <c r="JQG49" s="16"/>
      <c r="JQH49" s="16"/>
      <c r="JQI49" s="16"/>
      <c r="JQJ49" s="16"/>
      <c r="JQK49" s="16"/>
      <c r="JQL49" s="16"/>
      <c r="JQM49" s="16"/>
      <c r="JQN49" s="16"/>
      <c r="JQO49" s="16"/>
      <c r="JQP49" s="16"/>
      <c r="JQQ49" s="16"/>
      <c r="JQR49" s="16"/>
      <c r="JQS49" s="16"/>
      <c r="JQT49" s="16"/>
      <c r="JQU49" s="16"/>
      <c r="JQV49" s="16"/>
      <c r="JQW49" s="16"/>
      <c r="JQX49" s="16"/>
      <c r="JQY49" s="16"/>
      <c r="JQZ49" s="16"/>
      <c r="JRA49" s="16"/>
      <c r="JRB49" s="16"/>
      <c r="JRC49" s="16"/>
      <c r="JRD49" s="16"/>
      <c r="JRE49" s="16"/>
      <c r="JRF49" s="16"/>
      <c r="JRG49" s="16"/>
      <c r="JRH49" s="16"/>
      <c r="JRI49" s="16"/>
      <c r="JRJ49" s="16"/>
      <c r="JRK49" s="16"/>
      <c r="JRL49" s="16"/>
      <c r="JRM49" s="16"/>
      <c r="JRN49" s="16"/>
      <c r="JRO49" s="16"/>
      <c r="JRP49" s="16"/>
      <c r="JRQ49" s="16"/>
      <c r="JRR49" s="16"/>
      <c r="JRS49" s="16"/>
      <c r="JRT49" s="16"/>
      <c r="JRU49" s="16"/>
      <c r="JRV49" s="16"/>
      <c r="JRW49" s="16"/>
      <c r="JRX49" s="16"/>
      <c r="JRY49" s="16"/>
      <c r="JRZ49" s="16"/>
      <c r="JSA49" s="16"/>
      <c r="JSB49" s="16"/>
      <c r="JSC49" s="16"/>
      <c r="JSD49" s="16"/>
      <c r="JSE49" s="16"/>
      <c r="JSF49" s="16"/>
      <c r="JSG49" s="16"/>
      <c r="JSH49" s="16"/>
      <c r="JSI49" s="16"/>
      <c r="JSJ49" s="16"/>
      <c r="JSK49" s="16"/>
      <c r="JSL49" s="16"/>
      <c r="JSM49" s="16"/>
      <c r="JSN49" s="16"/>
      <c r="JSO49" s="16"/>
      <c r="JSP49" s="16"/>
      <c r="JSQ49" s="16"/>
      <c r="JSR49" s="16"/>
      <c r="JSS49" s="16"/>
      <c r="JST49" s="16"/>
      <c r="JSU49" s="16"/>
      <c r="JSV49" s="16"/>
      <c r="JSW49" s="16"/>
      <c r="JSX49" s="16"/>
      <c r="JSY49" s="16"/>
      <c r="JSZ49" s="16"/>
      <c r="JTA49" s="16"/>
      <c r="JTB49" s="16"/>
      <c r="JTC49" s="16"/>
      <c r="JTD49" s="16"/>
      <c r="JTE49" s="16"/>
      <c r="JTF49" s="16"/>
      <c r="JTG49" s="16"/>
      <c r="JTH49" s="16"/>
      <c r="JTI49" s="16"/>
      <c r="JTJ49" s="16"/>
      <c r="JTK49" s="16"/>
      <c r="JTL49" s="16"/>
      <c r="JTM49" s="16"/>
      <c r="JTN49" s="16"/>
      <c r="JTO49" s="16"/>
      <c r="JTP49" s="16"/>
      <c r="JTQ49" s="16"/>
      <c r="JTR49" s="16"/>
      <c r="JTS49" s="16"/>
      <c r="JTT49" s="16"/>
      <c r="JTU49" s="16"/>
      <c r="JTV49" s="16"/>
      <c r="JTW49" s="16"/>
      <c r="JTX49" s="16"/>
      <c r="JTY49" s="16"/>
      <c r="JTZ49" s="16"/>
      <c r="JUA49" s="16"/>
      <c r="JUB49" s="16"/>
      <c r="JUC49" s="16"/>
      <c r="JUD49" s="16"/>
      <c r="JUE49" s="16"/>
      <c r="JUF49" s="16"/>
      <c r="JUG49" s="16"/>
      <c r="JUH49" s="16"/>
      <c r="JUI49" s="16"/>
      <c r="JUJ49" s="16"/>
      <c r="JUK49" s="16"/>
      <c r="JUL49" s="16"/>
      <c r="JUM49" s="16"/>
      <c r="JUN49" s="16"/>
      <c r="JUO49" s="16"/>
      <c r="JUP49" s="16"/>
      <c r="JUQ49" s="16"/>
      <c r="JUR49" s="16"/>
      <c r="JUS49" s="16"/>
      <c r="JUT49" s="16"/>
      <c r="JUU49" s="16"/>
      <c r="JUV49" s="16"/>
      <c r="JUW49" s="16"/>
      <c r="JUX49" s="16"/>
      <c r="JUY49" s="16"/>
      <c r="JUZ49" s="16"/>
      <c r="JVA49" s="16"/>
      <c r="JVB49" s="16"/>
      <c r="JVC49" s="16"/>
      <c r="JVD49" s="16"/>
      <c r="JVE49" s="16"/>
      <c r="JVF49" s="16"/>
      <c r="JVG49" s="16"/>
      <c r="JVH49" s="16"/>
      <c r="JVI49" s="16"/>
      <c r="JVJ49" s="16"/>
      <c r="JVK49" s="16"/>
      <c r="JVL49" s="16"/>
      <c r="JVM49" s="16"/>
      <c r="JVN49" s="16"/>
      <c r="JVO49" s="16"/>
      <c r="JVP49" s="16"/>
      <c r="JVQ49" s="16"/>
      <c r="JVR49" s="16"/>
      <c r="JVS49" s="16"/>
      <c r="JVT49" s="16"/>
      <c r="JVU49" s="16"/>
      <c r="JVV49" s="16"/>
      <c r="JVW49" s="16"/>
      <c r="JVX49" s="16"/>
      <c r="JVY49" s="16"/>
      <c r="JVZ49" s="16"/>
      <c r="JWA49" s="16"/>
      <c r="JWB49" s="16"/>
      <c r="JWC49" s="16"/>
      <c r="JWD49" s="16"/>
      <c r="JWE49" s="16"/>
      <c r="JWF49" s="16"/>
      <c r="JWG49" s="16"/>
      <c r="JWH49" s="16"/>
      <c r="JWI49" s="16"/>
      <c r="JWJ49" s="16"/>
      <c r="JWK49" s="16"/>
      <c r="JWL49" s="16"/>
      <c r="JWM49" s="16"/>
      <c r="JWN49" s="16"/>
      <c r="JWO49" s="16"/>
      <c r="JWP49" s="16"/>
      <c r="JWQ49" s="16"/>
      <c r="JWR49" s="16"/>
      <c r="JWS49" s="16"/>
      <c r="JWT49" s="16"/>
      <c r="JWU49" s="16"/>
      <c r="JWV49" s="16"/>
      <c r="JWW49" s="16"/>
      <c r="JWX49" s="16"/>
      <c r="JWY49" s="16"/>
      <c r="JWZ49" s="16"/>
      <c r="JXA49" s="16"/>
      <c r="JXB49" s="16"/>
      <c r="JXC49" s="16"/>
      <c r="JXD49" s="16"/>
      <c r="JXE49" s="16"/>
      <c r="JXF49" s="16"/>
      <c r="JXG49" s="16"/>
      <c r="JXH49" s="16"/>
      <c r="JXI49" s="16"/>
      <c r="JXJ49" s="16"/>
      <c r="JXK49" s="16"/>
      <c r="JXL49" s="16"/>
      <c r="JXM49" s="16"/>
      <c r="JXN49" s="16"/>
      <c r="JXO49" s="16"/>
      <c r="JXP49" s="16"/>
      <c r="JXQ49" s="16"/>
      <c r="JXR49" s="16"/>
      <c r="JXS49" s="16"/>
      <c r="JXT49" s="16"/>
      <c r="JXU49" s="16"/>
      <c r="JXV49" s="16"/>
      <c r="JXW49" s="16"/>
      <c r="JXX49" s="16"/>
      <c r="JXY49" s="16"/>
      <c r="JXZ49" s="16"/>
      <c r="JYA49" s="16"/>
      <c r="JYB49" s="16"/>
      <c r="JYC49" s="16"/>
      <c r="JYD49" s="16"/>
      <c r="JYE49" s="16"/>
      <c r="JYF49" s="16"/>
      <c r="JYG49" s="16"/>
      <c r="JYH49" s="16"/>
      <c r="JYI49" s="16"/>
      <c r="JYJ49" s="16"/>
      <c r="JYK49" s="16"/>
      <c r="JYL49" s="16"/>
      <c r="JYM49" s="16"/>
      <c r="JYN49" s="16"/>
      <c r="JYO49" s="16"/>
      <c r="JYP49" s="16"/>
      <c r="JYQ49" s="16"/>
      <c r="JYR49" s="16"/>
      <c r="JYS49" s="16"/>
      <c r="JYT49" s="16"/>
      <c r="JYU49" s="16"/>
      <c r="JYV49" s="16"/>
      <c r="JYW49" s="16"/>
      <c r="JYX49" s="16"/>
      <c r="JYY49" s="16"/>
      <c r="JYZ49" s="16"/>
      <c r="JZA49" s="16"/>
      <c r="JZB49" s="16"/>
      <c r="JZC49" s="16"/>
      <c r="JZD49" s="16"/>
      <c r="JZE49" s="16"/>
      <c r="JZF49" s="16"/>
      <c r="JZG49" s="16"/>
      <c r="JZH49" s="16"/>
      <c r="JZI49" s="16"/>
      <c r="JZJ49" s="16"/>
      <c r="JZK49" s="16"/>
      <c r="JZL49" s="16"/>
      <c r="JZM49" s="16"/>
      <c r="JZN49" s="16"/>
      <c r="JZO49" s="16"/>
      <c r="JZP49" s="16"/>
      <c r="JZQ49" s="16"/>
      <c r="JZR49" s="16"/>
      <c r="JZS49" s="16"/>
      <c r="JZT49" s="16"/>
      <c r="JZU49" s="16"/>
      <c r="JZV49" s="16"/>
      <c r="JZW49" s="16"/>
      <c r="JZX49" s="16"/>
      <c r="JZY49" s="16"/>
      <c r="JZZ49" s="16"/>
      <c r="KAA49" s="16"/>
      <c r="KAB49" s="16"/>
      <c r="KAC49" s="16"/>
      <c r="KAD49" s="16"/>
      <c r="KAE49" s="16"/>
      <c r="KAF49" s="16"/>
      <c r="KAG49" s="16"/>
      <c r="KAH49" s="16"/>
      <c r="KAI49" s="16"/>
      <c r="KAJ49" s="16"/>
      <c r="KAK49" s="16"/>
      <c r="KAL49" s="16"/>
      <c r="KAM49" s="16"/>
      <c r="KAN49" s="16"/>
      <c r="KAO49" s="16"/>
      <c r="KAP49" s="16"/>
      <c r="KAQ49" s="16"/>
      <c r="KAR49" s="16"/>
      <c r="KAS49" s="16"/>
      <c r="KAT49" s="16"/>
      <c r="KAU49" s="16"/>
      <c r="KAV49" s="16"/>
      <c r="KAW49" s="16"/>
      <c r="KAX49" s="16"/>
      <c r="KAY49" s="16"/>
      <c r="KAZ49" s="16"/>
      <c r="KBA49" s="16"/>
      <c r="KBB49" s="16"/>
      <c r="KBC49" s="16"/>
      <c r="KBD49" s="16"/>
      <c r="KBE49" s="16"/>
      <c r="KBF49" s="16"/>
      <c r="KBG49" s="16"/>
      <c r="KBH49" s="16"/>
      <c r="KBI49" s="16"/>
      <c r="KBJ49" s="16"/>
      <c r="KBK49" s="16"/>
      <c r="KBL49" s="16"/>
      <c r="KBM49" s="16"/>
      <c r="KBN49" s="16"/>
      <c r="KBO49" s="16"/>
      <c r="KBP49" s="16"/>
      <c r="KBQ49" s="16"/>
      <c r="KBR49" s="16"/>
      <c r="KBS49" s="16"/>
      <c r="KBT49" s="16"/>
      <c r="KBU49" s="16"/>
      <c r="KBV49" s="16"/>
      <c r="KBW49" s="16"/>
      <c r="KBX49" s="16"/>
      <c r="KBY49" s="16"/>
      <c r="KBZ49" s="16"/>
      <c r="KCA49" s="16"/>
      <c r="KCB49" s="16"/>
      <c r="KCC49" s="16"/>
      <c r="KCD49" s="16"/>
      <c r="KCE49" s="16"/>
      <c r="KCF49" s="16"/>
      <c r="KCG49" s="16"/>
      <c r="KCH49" s="16"/>
      <c r="KCI49" s="16"/>
      <c r="KCJ49" s="16"/>
      <c r="KCK49" s="16"/>
      <c r="KCL49" s="16"/>
      <c r="KCM49" s="16"/>
      <c r="KCN49" s="16"/>
      <c r="KCO49" s="16"/>
      <c r="KCP49" s="16"/>
      <c r="KCQ49" s="16"/>
      <c r="KCR49" s="16"/>
      <c r="KCS49" s="16"/>
      <c r="KCT49" s="16"/>
      <c r="KCU49" s="16"/>
      <c r="KCV49" s="16"/>
      <c r="KCW49" s="16"/>
      <c r="KCX49" s="16"/>
      <c r="KCY49" s="16"/>
      <c r="KCZ49" s="16"/>
      <c r="KDA49" s="16"/>
      <c r="KDB49" s="16"/>
      <c r="KDC49" s="16"/>
      <c r="KDD49" s="16"/>
      <c r="KDE49" s="16"/>
      <c r="KDF49" s="16"/>
      <c r="KDG49" s="16"/>
      <c r="KDH49" s="16"/>
      <c r="KDI49" s="16"/>
      <c r="KDJ49" s="16"/>
      <c r="KDK49" s="16"/>
      <c r="KDL49" s="16"/>
      <c r="KDM49" s="16"/>
      <c r="KDN49" s="16"/>
      <c r="KDO49" s="16"/>
      <c r="KDP49" s="16"/>
      <c r="KDQ49" s="16"/>
      <c r="KDR49" s="16"/>
      <c r="KDS49" s="16"/>
      <c r="KDT49" s="16"/>
      <c r="KDU49" s="16"/>
      <c r="KDV49" s="16"/>
      <c r="KDW49" s="16"/>
      <c r="KDX49" s="16"/>
      <c r="KDY49" s="16"/>
      <c r="KDZ49" s="16"/>
      <c r="KEA49" s="16"/>
      <c r="KEB49" s="16"/>
      <c r="KEC49" s="16"/>
      <c r="KED49" s="16"/>
      <c r="KEE49" s="16"/>
      <c r="KEF49" s="16"/>
      <c r="KEG49" s="16"/>
      <c r="KEH49" s="16"/>
      <c r="KEI49" s="16"/>
      <c r="KEJ49" s="16"/>
      <c r="KEK49" s="16"/>
      <c r="KEL49" s="16"/>
      <c r="KEM49" s="16"/>
      <c r="KEN49" s="16"/>
      <c r="KEO49" s="16"/>
      <c r="KEP49" s="16"/>
      <c r="KEQ49" s="16"/>
      <c r="KER49" s="16"/>
      <c r="KES49" s="16"/>
      <c r="KET49" s="16"/>
      <c r="KEU49" s="16"/>
      <c r="KEV49" s="16"/>
      <c r="KEW49" s="16"/>
      <c r="KEX49" s="16"/>
      <c r="KEY49" s="16"/>
      <c r="KEZ49" s="16"/>
      <c r="KFA49" s="16"/>
      <c r="KFB49" s="16"/>
      <c r="KFC49" s="16"/>
      <c r="KFD49" s="16"/>
      <c r="KFE49" s="16"/>
      <c r="KFF49" s="16"/>
      <c r="KFG49" s="16"/>
      <c r="KFH49" s="16"/>
      <c r="KFI49" s="16"/>
      <c r="KFJ49" s="16"/>
      <c r="KFK49" s="16"/>
      <c r="KFL49" s="16"/>
      <c r="KFM49" s="16"/>
      <c r="KFN49" s="16"/>
      <c r="KFO49" s="16"/>
      <c r="KFP49" s="16"/>
      <c r="KFQ49" s="16"/>
      <c r="KFR49" s="16"/>
      <c r="KFS49" s="16"/>
      <c r="KFT49" s="16"/>
      <c r="KFU49" s="16"/>
      <c r="KFV49" s="16"/>
      <c r="KFW49" s="16"/>
      <c r="KFX49" s="16"/>
      <c r="KFY49" s="16"/>
      <c r="KFZ49" s="16"/>
      <c r="KGA49" s="16"/>
      <c r="KGB49" s="16"/>
      <c r="KGC49" s="16"/>
      <c r="KGD49" s="16"/>
      <c r="KGE49" s="16"/>
      <c r="KGF49" s="16"/>
      <c r="KGG49" s="16"/>
      <c r="KGH49" s="16"/>
      <c r="KGI49" s="16"/>
      <c r="KGJ49" s="16"/>
      <c r="KGK49" s="16"/>
      <c r="KGL49" s="16"/>
      <c r="KGM49" s="16"/>
      <c r="KGN49" s="16"/>
      <c r="KGO49" s="16"/>
      <c r="KGP49" s="16"/>
      <c r="KGQ49" s="16"/>
      <c r="KGR49" s="16"/>
      <c r="KGS49" s="16"/>
      <c r="KGT49" s="16"/>
      <c r="KGU49" s="16"/>
      <c r="KGV49" s="16"/>
      <c r="KGW49" s="16"/>
      <c r="KGX49" s="16"/>
      <c r="KGY49" s="16"/>
      <c r="KGZ49" s="16"/>
      <c r="KHA49" s="16"/>
      <c r="KHB49" s="16"/>
      <c r="KHC49" s="16"/>
      <c r="KHD49" s="16"/>
      <c r="KHE49" s="16"/>
      <c r="KHF49" s="16"/>
      <c r="KHG49" s="16"/>
      <c r="KHH49" s="16"/>
      <c r="KHI49" s="16"/>
      <c r="KHJ49" s="16"/>
      <c r="KHK49" s="16"/>
      <c r="KHL49" s="16"/>
      <c r="KHM49" s="16"/>
      <c r="KHN49" s="16"/>
      <c r="KHO49" s="16"/>
      <c r="KHP49" s="16"/>
      <c r="KHQ49" s="16"/>
      <c r="KHR49" s="16"/>
      <c r="KHS49" s="16"/>
      <c r="KHT49" s="16"/>
      <c r="KHU49" s="16"/>
      <c r="KHV49" s="16"/>
      <c r="KHW49" s="16"/>
      <c r="KHX49" s="16"/>
      <c r="KHY49" s="16"/>
      <c r="KHZ49" s="16"/>
      <c r="KIA49" s="16"/>
      <c r="KIB49" s="16"/>
      <c r="KIC49" s="16"/>
      <c r="KID49" s="16"/>
      <c r="KIE49" s="16"/>
      <c r="KIF49" s="16"/>
      <c r="KIG49" s="16"/>
      <c r="KIH49" s="16"/>
      <c r="KII49" s="16"/>
      <c r="KIJ49" s="16"/>
      <c r="KIK49" s="16"/>
      <c r="KIL49" s="16"/>
      <c r="KIM49" s="16"/>
      <c r="KIN49" s="16"/>
      <c r="KIO49" s="16"/>
      <c r="KIP49" s="16"/>
      <c r="KIQ49" s="16"/>
      <c r="KIR49" s="16"/>
      <c r="KIS49" s="16"/>
      <c r="KIT49" s="16"/>
      <c r="KIU49" s="16"/>
      <c r="KIV49" s="16"/>
      <c r="KIW49" s="16"/>
      <c r="KIX49" s="16"/>
      <c r="KIY49" s="16"/>
      <c r="KIZ49" s="16"/>
      <c r="KJA49" s="16"/>
      <c r="KJB49" s="16"/>
      <c r="KJC49" s="16"/>
      <c r="KJD49" s="16"/>
      <c r="KJE49" s="16"/>
      <c r="KJF49" s="16"/>
      <c r="KJG49" s="16"/>
      <c r="KJH49" s="16"/>
      <c r="KJI49" s="16"/>
      <c r="KJJ49" s="16"/>
      <c r="KJK49" s="16"/>
      <c r="KJL49" s="16"/>
      <c r="KJM49" s="16"/>
      <c r="KJN49" s="16"/>
      <c r="KJO49" s="16"/>
      <c r="KJP49" s="16"/>
      <c r="KJQ49" s="16"/>
      <c r="KJR49" s="16"/>
      <c r="KJS49" s="16"/>
      <c r="KJT49" s="16"/>
      <c r="KJU49" s="16"/>
      <c r="KJV49" s="16"/>
      <c r="KJW49" s="16"/>
      <c r="KJX49" s="16"/>
      <c r="KJY49" s="16"/>
      <c r="KJZ49" s="16"/>
      <c r="KKA49" s="16"/>
      <c r="KKB49" s="16"/>
      <c r="KKC49" s="16"/>
      <c r="KKD49" s="16"/>
      <c r="KKE49" s="16"/>
      <c r="KKF49" s="16"/>
      <c r="KKG49" s="16"/>
      <c r="KKH49" s="16"/>
      <c r="KKI49" s="16"/>
      <c r="KKJ49" s="16"/>
      <c r="KKK49" s="16"/>
      <c r="KKL49" s="16"/>
      <c r="KKM49" s="16"/>
      <c r="KKN49" s="16"/>
      <c r="KKO49" s="16"/>
      <c r="KKP49" s="16"/>
      <c r="KKQ49" s="16"/>
      <c r="KKR49" s="16"/>
      <c r="KKS49" s="16"/>
      <c r="KKT49" s="16"/>
      <c r="KKU49" s="16"/>
      <c r="KKV49" s="16"/>
      <c r="KKW49" s="16"/>
      <c r="KKX49" s="16"/>
      <c r="KKY49" s="16"/>
      <c r="KKZ49" s="16"/>
      <c r="KLA49" s="16"/>
      <c r="KLB49" s="16"/>
      <c r="KLC49" s="16"/>
      <c r="KLD49" s="16"/>
      <c r="KLE49" s="16"/>
      <c r="KLF49" s="16"/>
      <c r="KLG49" s="16"/>
      <c r="KLH49" s="16"/>
      <c r="KLI49" s="16"/>
      <c r="KLJ49" s="16"/>
      <c r="KLK49" s="16"/>
      <c r="KLL49" s="16"/>
      <c r="KLM49" s="16"/>
      <c r="KLN49" s="16"/>
      <c r="KLO49" s="16"/>
      <c r="KLP49" s="16"/>
      <c r="KLQ49" s="16"/>
      <c r="KLR49" s="16"/>
      <c r="KLS49" s="16"/>
      <c r="KLT49" s="16"/>
      <c r="KLU49" s="16"/>
      <c r="KLV49" s="16"/>
      <c r="KLW49" s="16"/>
      <c r="KLX49" s="16"/>
      <c r="KLY49" s="16"/>
      <c r="KLZ49" s="16"/>
      <c r="KMA49" s="16"/>
      <c r="KMB49" s="16"/>
      <c r="KMC49" s="16"/>
      <c r="KMD49" s="16"/>
      <c r="KME49" s="16"/>
      <c r="KMF49" s="16"/>
      <c r="KMG49" s="16"/>
      <c r="KMH49" s="16"/>
      <c r="KMI49" s="16"/>
      <c r="KMJ49" s="16"/>
      <c r="KMK49" s="16"/>
      <c r="KML49" s="16"/>
      <c r="KMM49" s="16"/>
      <c r="KMN49" s="16"/>
      <c r="KMO49" s="16"/>
      <c r="KMP49" s="16"/>
      <c r="KMQ49" s="16"/>
      <c r="KMR49" s="16"/>
      <c r="KMS49" s="16"/>
      <c r="KMT49" s="16"/>
      <c r="KMU49" s="16"/>
      <c r="KMV49" s="16"/>
      <c r="KMW49" s="16"/>
      <c r="KMX49" s="16"/>
      <c r="KMY49" s="16"/>
      <c r="KMZ49" s="16"/>
      <c r="KNA49" s="16"/>
      <c r="KNB49" s="16"/>
      <c r="KNC49" s="16"/>
      <c r="KND49" s="16"/>
      <c r="KNE49" s="16"/>
      <c r="KNF49" s="16"/>
      <c r="KNG49" s="16"/>
      <c r="KNH49" s="16"/>
      <c r="KNI49" s="16"/>
      <c r="KNJ49" s="16"/>
      <c r="KNK49" s="16"/>
      <c r="KNL49" s="16"/>
      <c r="KNM49" s="16"/>
      <c r="KNN49" s="16"/>
      <c r="KNO49" s="16"/>
      <c r="KNP49" s="16"/>
      <c r="KNQ49" s="16"/>
      <c r="KNR49" s="16"/>
      <c r="KNS49" s="16"/>
      <c r="KNT49" s="16"/>
      <c r="KNU49" s="16"/>
      <c r="KNV49" s="16"/>
      <c r="KNW49" s="16"/>
      <c r="KNX49" s="16"/>
      <c r="KNY49" s="16"/>
      <c r="KNZ49" s="16"/>
      <c r="KOA49" s="16"/>
      <c r="KOB49" s="16"/>
      <c r="KOC49" s="16"/>
      <c r="KOD49" s="16"/>
      <c r="KOE49" s="16"/>
      <c r="KOF49" s="16"/>
      <c r="KOG49" s="16"/>
      <c r="KOH49" s="16"/>
      <c r="KOI49" s="16"/>
      <c r="KOJ49" s="16"/>
      <c r="KOK49" s="16"/>
      <c r="KOL49" s="16"/>
      <c r="KOM49" s="16"/>
      <c r="KON49" s="16"/>
      <c r="KOO49" s="16"/>
      <c r="KOP49" s="16"/>
      <c r="KOQ49" s="16"/>
      <c r="KOR49" s="16"/>
      <c r="KOS49" s="16"/>
      <c r="KOT49" s="16"/>
      <c r="KOU49" s="16"/>
      <c r="KOV49" s="16"/>
      <c r="KOW49" s="16"/>
      <c r="KOX49" s="16"/>
      <c r="KOY49" s="16"/>
      <c r="KOZ49" s="16"/>
      <c r="KPA49" s="16"/>
      <c r="KPB49" s="16"/>
      <c r="KPC49" s="16"/>
      <c r="KPD49" s="16"/>
      <c r="KPE49" s="16"/>
      <c r="KPF49" s="16"/>
      <c r="KPG49" s="16"/>
      <c r="KPH49" s="16"/>
      <c r="KPI49" s="16"/>
      <c r="KPJ49" s="16"/>
      <c r="KPK49" s="16"/>
      <c r="KPL49" s="16"/>
      <c r="KPM49" s="16"/>
      <c r="KPN49" s="16"/>
      <c r="KPO49" s="16"/>
      <c r="KPP49" s="16"/>
      <c r="KPQ49" s="16"/>
      <c r="KPR49" s="16"/>
      <c r="KPS49" s="16"/>
      <c r="KPT49" s="16"/>
      <c r="KPU49" s="16"/>
      <c r="KPV49" s="16"/>
      <c r="KPW49" s="16"/>
      <c r="KPX49" s="16"/>
      <c r="KPY49" s="16"/>
      <c r="KPZ49" s="16"/>
      <c r="KQA49" s="16"/>
      <c r="KQB49" s="16"/>
      <c r="KQC49" s="16"/>
      <c r="KQD49" s="16"/>
      <c r="KQE49" s="16"/>
      <c r="KQF49" s="16"/>
      <c r="KQG49" s="16"/>
      <c r="KQH49" s="16"/>
      <c r="KQI49" s="16"/>
      <c r="KQJ49" s="16"/>
      <c r="KQK49" s="16"/>
      <c r="KQL49" s="16"/>
      <c r="KQM49" s="16"/>
      <c r="KQN49" s="16"/>
      <c r="KQO49" s="16"/>
      <c r="KQP49" s="16"/>
      <c r="KQQ49" s="16"/>
      <c r="KQR49" s="16"/>
      <c r="KQS49" s="16"/>
      <c r="KQT49" s="16"/>
      <c r="KQU49" s="16"/>
      <c r="KQV49" s="16"/>
      <c r="KQW49" s="16"/>
      <c r="KQX49" s="16"/>
      <c r="KQY49" s="16"/>
      <c r="KQZ49" s="16"/>
      <c r="KRA49" s="16"/>
      <c r="KRB49" s="16"/>
      <c r="KRC49" s="16"/>
      <c r="KRD49" s="16"/>
      <c r="KRE49" s="16"/>
      <c r="KRF49" s="16"/>
      <c r="KRG49" s="16"/>
      <c r="KRH49" s="16"/>
      <c r="KRI49" s="16"/>
      <c r="KRJ49" s="16"/>
      <c r="KRK49" s="16"/>
      <c r="KRL49" s="16"/>
      <c r="KRM49" s="16"/>
      <c r="KRN49" s="16"/>
      <c r="KRO49" s="16"/>
      <c r="KRP49" s="16"/>
      <c r="KRQ49" s="16"/>
      <c r="KRR49" s="16"/>
      <c r="KRS49" s="16"/>
      <c r="KRT49" s="16"/>
      <c r="KRU49" s="16"/>
      <c r="KRV49" s="16"/>
      <c r="KRW49" s="16"/>
      <c r="KRX49" s="16"/>
      <c r="KRY49" s="16"/>
      <c r="KRZ49" s="16"/>
      <c r="KSA49" s="16"/>
      <c r="KSB49" s="16"/>
      <c r="KSC49" s="16"/>
      <c r="KSD49" s="16"/>
      <c r="KSE49" s="16"/>
      <c r="KSF49" s="16"/>
      <c r="KSG49" s="16"/>
      <c r="KSH49" s="16"/>
      <c r="KSI49" s="16"/>
      <c r="KSJ49" s="16"/>
      <c r="KSK49" s="16"/>
      <c r="KSL49" s="16"/>
      <c r="KSM49" s="16"/>
      <c r="KSN49" s="16"/>
      <c r="KSO49" s="16"/>
      <c r="KSP49" s="16"/>
      <c r="KSQ49" s="16"/>
      <c r="KSR49" s="16"/>
      <c r="KSS49" s="16"/>
      <c r="KST49" s="16"/>
      <c r="KSU49" s="16"/>
      <c r="KSV49" s="16"/>
      <c r="KSW49" s="16"/>
      <c r="KSX49" s="16"/>
      <c r="KSY49" s="16"/>
      <c r="KSZ49" s="16"/>
      <c r="KTA49" s="16"/>
      <c r="KTB49" s="16"/>
      <c r="KTC49" s="16"/>
      <c r="KTD49" s="16"/>
      <c r="KTE49" s="16"/>
      <c r="KTF49" s="16"/>
      <c r="KTG49" s="16"/>
      <c r="KTH49" s="16"/>
      <c r="KTI49" s="16"/>
      <c r="KTJ49" s="16"/>
      <c r="KTK49" s="16"/>
      <c r="KTL49" s="16"/>
      <c r="KTM49" s="16"/>
      <c r="KTN49" s="16"/>
      <c r="KTO49" s="16"/>
      <c r="KTP49" s="16"/>
      <c r="KTQ49" s="16"/>
      <c r="KTR49" s="16"/>
      <c r="KTS49" s="16"/>
      <c r="KTT49" s="16"/>
      <c r="KTU49" s="16"/>
      <c r="KTV49" s="16"/>
      <c r="KTW49" s="16"/>
      <c r="KTX49" s="16"/>
      <c r="KTY49" s="16"/>
      <c r="KTZ49" s="16"/>
      <c r="KUA49" s="16"/>
      <c r="KUB49" s="16"/>
      <c r="KUC49" s="16"/>
      <c r="KUD49" s="16"/>
      <c r="KUE49" s="16"/>
      <c r="KUF49" s="16"/>
      <c r="KUG49" s="16"/>
      <c r="KUH49" s="16"/>
      <c r="KUI49" s="16"/>
      <c r="KUJ49" s="16"/>
      <c r="KUK49" s="16"/>
      <c r="KUL49" s="16"/>
      <c r="KUM49" s="16"/>
      <c r="KUN49" s="16"/>
      <c r="KUO49" s="16"/>
      <c r="KUP49" s="16"/>
      <c r="KUQ49" s="16"/>
      <c r="KUR49" s="16"/>
      <c r="KUS49" s="16"/>
      <c r="KUT49" s="16"/>
      <c r="KUU49" s="16"/>
      <c r="KUV49" s="16"/>
      <c r="KUW49" s="16"/>
      <c r="KUX49" s="16"/>
      <c r="KUY49" s="16"/>
      <c r="KUZ49" s="16"/>
      <c r="KVA49" s="16"/>
      <c r="KVB49" s="16"/>
      <c r="KVC49" s="16"/>
      <c r="KVD49" s="16"/>
      <c r="KVE49" s="16"/>
      <c r="KVF49" s="16"/>
      <c r="KVG49" s="16"/>
      <c r="KVH49" s="16"/>
      <c r="KVI49" s="16"/>
      <c r="KVJ49" s="16"/>
      <c r="KVK49" s="16"/>
      <c r="KVL49" s="16"/>
      <c r="KVM49" s="16"/>
      <c r="KVN49" s="16"/>
      <c r="KVO49" s="16"/>
      <c r="KVP49" s="16"/>
      <c r="KVQ49" s="16"/>
      <c r="KVR49" s="16"/>
      <c r="KVS49" s="16"/>
      <c r="KVT49" s="16"/>
      <c r="KVU49" s="16"/>
      <c r="KVV49" s="16"/>
      <c r="KVW49" s="16"/>
      <c r="KVX49" s="16"/>
      <c r="KVY49" s="16"/>
      <c r="KVZ49" s="16"/>
      <c r="KWA49" s="16"/>
      <c r="KWB49" s="16"/>
      <c r="KWC49" s="16"/>
      <c r="KWD49" s="16"/>
      <c r="KWE49" s="16"/>
      <c r="KWF49" s="16"/>
      <c r="KWG49" s="16"/>
      <c r="KWH49" s="16"/>
      <c r="KWI49" s="16"/>
      <c r="KWJ49" s="16"/>
      <c r="KWK49" s="16"/>
      <c r="KWL49" s="16"/>
      <c r="KWM49" s="16"/>
      <c r="KWN49" s="16"/>
      <c r="KWO49" s="16"/>
      <c r="KWP49" s="16"/>
      <c r="KWQ49" s="16"/>
      <c r="KWR49" s="16"/>
      <c r="KWS49" s="16"/>
      <c r="KWT49" s="16"/>
      <c r="KWU49" s="16"/>
      <c r="KWV49" s="16"/>
      <c r="KWW49" s="16"/>
      <c r="KWX49" s="16"/>
      <c r="KWY49" s="16"/>
      <c r="KWZ49" s="16"/>
      <c r="KXA49" s="16"/>
      <c r="KXB49" s="16"/>
      <c r="KXC49" s="16"/>
      <c r="KXD49" s="16"/>
      <c r="KXE49" s="16"/>
      <c r="KXF49" s="16"/>
      <c r="KXG49" s="16"/>
      <c r="KXH49" s="16"/>
      <c r="KXI49" s="16"/>
      <c r="KXJ49" s="16"/>
      <c r="KXK49" s="16"/>
      <c r="KXL49" s="16"/>
      <c r="KXM49" s="16"/>
      <c r="KXN49" s="16"/>
      <c r="KXO49" s="16"/>
      <c r="KXP49" s="16"/>
      <c r="KXQ49" s="16"/>
      <c r="KXR49" s="16"/>
      <c r="KXS49" s="16"/>
      <c r="KXT49" s="16"/>
      <c r="KXU49" s="16"/>
      <c r="KXV49" s="16"/>
      <c r="KXW49" s="16"/>
      <c r="KXX49" s="16"/>
      <c r="KXY49" s="16"/>
      <c r="KXZ49" s="16"/>
      <c r="KYA49" s="16"/>
      <c r="KYB49" s="16"/>
      <c r="KYC49" s="16"/>
      <c r="KYD49" s="16"/>
      <c r="KYE49" s="16"/>
      <c r="KYF49" s="16"/>
      <c r="KYG49" s="16"/>
      <c r="KYH49" s="16"/>
      <c r="KYI49" s="16"/>
      <c r="KYJ49" s="16"/>
      <c r="KYK49" s="16"/>
      <c r="KYL49" s="16"/>
      <c r="KYM49" s="16"/>
      <c r="KYN49" s="16"/>
      <c r="KYO49" s="16"/>
      <c r="KYP49" s="16"/>
      <c r="KYQ49" s="16"/>
      <c r="KYR49" s="16"/>
      <c r="KYS49" s="16"/>
      <c r="KYT49" s="16"/>
      <c r="KYU49" s="16"/>
      <c r="KYV49" s="16"/>
      <c r="KYW49" s="16"/>
      <c r="KYX49" s="16"/>
      <c r="KYY49" s="16"/>
      <c r="KYZ49" s="16"/>
      <c r="KZA49" s="16"/>
      <c r="KZB49" s="16"/>
      <c r="KZC49" s="16"/>
      <c r="KZD49" s="16"/>
      <c r="KZE49" s="16"/>
      <c r="KZF49" s="16"/>
      <c r="KZG49" s="16"/>
      <c r="KZH49" s="16"/>
      <c r="KZI49" s="16"/>
      <c r="KZJ49" s="16"/>
      <c r="KZK49" s="16"/>
      <c r="KZL49" s="16"/>
      <c r="KZM49" s="16"/>
      <c r="KZN49" s="16"/>
      <c r="KZO49" s="16"/>
      <c r="KZP49" s="16"/>
      <c r="KZQ49" s="16"/>
      <c r="KZR49" s="16"/>
      <c r="KZS49" s="16"/>
      <c r="KZT49" s="16"/>
      <c r="KZU49" s="16"/>
      <c r="KZV49" s="16"/>
      <c r="KZW49" s="16"/>
      <c r="KZX49" s="16"/>
      <c r="KZY49" s="16"/>
      <c r="KZZ49" s="16"/>
      <c r="LAA49" s="16"/>
      <c r="LAB49" s="16"/>
      <c r="LAC49" s="16"/>
      <c r="LAD49" s="16"/>
      <c r="LAE49" s="16"/>
      <c r="LAF49" s="16"/>
      <c r="LAG49" s="16"/>
      <c r="LAH49" s="16"/>
      <c r="LAI49" s="16"/>
      <c r="LAJ49" s="16"/>
      <c r="LAK49" s="16"/>
      <c r="LAL49" s="16"/>
      <c r="LAM49" s="16"/>
      <c r="LAN49" s="16"/>
      <c r="LAO49" s="16"/>
      <c r="LAP49" s="16"/>
      <c r="LAQ49" s="16"/>
      <c r="LAR49" s="16"/>
      <c r="LAS49" s="16"/>
      <c r="LAT49" s="16"/>
      <c r="LAU49" s="16"/>
      <c r="LAV49" s="16"/>
      <c r="LAW49" s="16"/>
      <c r="LAX49" s="16"/>
      <c r="LAY49" s="16"/>
      <c r="LAZ49" s="16"/>
      <c r="LBA49" s="16"/>
      <c r="LBB49" s="16"/>
      <c r="LBC49" s="16"/>
      <c r="LBD49" s="16"/>
      <c r="LBE49" s="16"/>
      <c r="LBF49" s="16"/>
      <c r="LBG49" s="16"/>
      <c r="LBH49" s="16"/>
      <c r="LBI49" s="16"/>
      <c r="LBJ49" s="16"/>
      <c r="LBK49" s="16"/>
      <c r="LBL49" s="16"/>
      <c r="LBM49" s="16"/>
      <c r="LBN49" s="16"/>
      <c r="LBO49" s="16"/>
      <c r="LBP49" s="16"/>
      <c r="LBQ49" s="16"/>
      <c r="LBR49" s="16"/>
      <c r="LBS49" s="16"/>
      <c r="LBT49" s="16"/>
      <c r="LBU49" s="16"/>
      <c r="LBV49" s="16"/>
      <c r="LBW49" s="16"/>
      <c r="LBX49" s="16"/>
      <c r="LBY49" s="16"/>
      <c r="LBZ49" s="16"/>
      <c r="LCA49" s="16"/>
      <c r="LCB49" s="16"/>
      <c r="LCC49" s="16"/>
      <c r="LCD49" s="16"/>
      <c r="LCE49" s="16"/>
      <c r="LCF49" s="16"/>
      <c r="LCG49" s="16"/>
      <c r="LCH49" s="16"/>
      <c r="LCI49" s="16"/>
      <c r="LCJ49" s="16"/>
      <c r="LCK49" s="16"/>
      <c r="LCL49" s="16"/>
      <c r="LCM49" s="16"/>
      <c r="LCN49" s="16"/>
      <c r="LCO49" s="16"/>
      <c r="LCP49" s="16"/>
      <c r="LCQ49" s="16"/>
      <c r="LCR49" s="16"/>
      <c r="LCS49" s="16"/>
      <c r="LCT49" s="16"/>
      <c r="LCU49" s="16"/>
      <c r="LCV49" s="16"/>
      <c r="LCW49" s="16"/>
      <c r="LCX49" s="16"/>
      <c r="LCY49" s="16"/>
      <c r="LCZ49" s="16"/>
      <c r="LDA49" s="16"/>
      <c r="LDB49" s="16"/>
      <c r="LDC49" s="16"/>
      <c r="LDD49" s="16"/>
      <c r="LDE49" s="16"/>
      <c r="LDF49" s="16"/>
      <c r="LDG49" s="16"/>
      <c r="LDH49" s="16"/>
      <c r="LDI49" s="16"/>
      <c r="LDJ49" s="16"/>
      <c r="LDK49" s="16"/>
      <c r="LDL49" s="16"/>
      <c r="LDM49" s="16"/>
      <c r="LDN49" s="16"/>
      <c r="LDO49" s="16"/>
      <c r="LDP49" s="16"/>
      <c r="LDQ49" s="16"/>
      <c r="LDR49" s="16"/>
      <c r="LDS49" s="16"/>
      <c r="LDT49" s="16"/>
      <c r="LDU49" s="16"/>
      <c r="LDV49" s="16"/>
      <c r="LDW49" s="16"/>
      <c r="LDX49" s="16"/>
      <c r="LDY49" s="16"/>
      <c r="LDZ49" s="16"/>
      <c r="LEA49" s="16"/>
      <c r="LEB49" s="16"/>
      <c r="LEC49" s="16"/>
      <c r="LED49" s="16"/>
      <c r="LEE49" s="16"/>
      <c r="LEF49" s="16"/>
      <c r="LEG49" s="16"/>
      <c r="LEH49" s="16"/>
      <c r="LEI49" s="16"/>
      <c r="LEJ49" s="16"/>
      <c r="LEK49" s="16"/>
      <c r="LEL49" s="16"/>
      <c r="LEM49" s="16"/>
      <c r="LEN49" s="16"/>
      <c r="LEO49" s="16"/>
      <c r="LEP49" s="16"/>
      <c r="LEQ49" s="16"/>
      <c r="LER49" s="16"/>
      <c r="LES49" s="16"/>
      <c r="LET49" s="16"/>
      <c r="LEU49" s="16"/>
      <c r="LEV49" s="16"/>
      <c r="LEW49" s="16"/>
      <c r="LEX49" s="16"/>
      <c r="LEY49" s="16"/>
      <c r="LEZ49" s="16"/>
      <c r="LFA49" s="16"/>
      <c r="LFB49" s="16"/>
      <c r="LFC49" s="16"/>
      <c r="LFD49" s="16"/>
      <c r="LFE49" s="16"/>
      <c r="LFF49" s="16"/>
      <c r="LFG49" s="16"/>
      <c r="LFH49" s="16"/>
      <c r="LFI49" s="16"/>
      <c r="LFJ49" s="16"/>
      <c r="LFK49" s="16"/>
      <c r="LFL49" s="16"/>
      <c r="LFM49" s="16"/>
      <c r="LFN49" s="16"/>
      <c r="LFO49" s="16"/>
      <c r="LFP49" s="16"/>
      <c r="LFQ49" s="16"/>
      <c r="LFR49" s="16"/>
      <c r="LFS49" s="16"/>
      <c r="LFT49" s="16"/>
      <c r="LFU49" s="16"/>
      <c r="LFV49" s="16"/>
      <c r="LFW49" s="16"/>
      <c r="LFX49" s="16"/>
      <c r="LFY49" s="16"/>
      <c r="LFZ49" s="16"/>
      <c r="LGA49" s="16"/>
      <c r="LGB49" s="16"/>
      <c r="LGC49" s="16"/>
      <c r="LGD49" s="16"/>
      <c r="LGE49" s="16"/>
      <c r="LGF49" s="16"/>
      <c r="LGG49" s="16"/>
      <c r="LGH49" s="16"/>
      <c r="LGI49" s="16"/>
      <c r="LGJ49" s="16"/>
      <c r="LGK49" s="16"/>
      <c r="LGL49" s="16"/>
      <c r="LGM49" s="16"/>
      <c r="LGN49" s="16"/>
      <c r="LGO49" s="16"/>
      <c r="LGP49" s="16"/>
      <c r="LGQ49" s="16"/>
      <c r="LGR49" s="16"/>
      <c r="LGS49" s="16"/>
      <c r="LGT49" s="16"/>
      <c r="LGU49" s="16"/>
      <c r="LGV49" s="16"/>
      <c r="LGW49" s="16"/>
      <c r="LGX49" s="16"/>
      <c r="LGY49" s="16"/>
      <c r="LGZ49" s="16"/>
      <c r="LHA49" s="16"/>
      <c r="LHB49" s="16"/>
      <c r="LHC49" s="16"/>
      <c r="LHD49" s="16"/>
      <c r="LHE49" s="16"/>
      <c r="LHF49" s="16"/>
      <c r="LHG49" s="16"/>
      <c r="LHH49" s="16"/>
      <c r="LHI49" s="16"/>
      <c r="LHJ49" s="16"/>
      <c r="LHK49" s="16"/>
      <c r="LHL49" s="16"/>
      <c r="LHM49" s="16"/>
      <c r="LHN49" s="16"/>
      <c r="LHO49" s="16"/>
      <c r="LHP49" s="16"/>
      <c r="LHQ49" s="16"/>
      <c r="LHR49" s="16"/>
      <c r="LHS49" s="16"/>
      <c r="LHT49" s="16"/>
      <c r="LHU49" s="16"/>
      <c r="LHV49" s="16"/>
      <c r="LHW49" s="16"/>
      <c r="LHX49" s="16"/>
      <c r="LHY49" s="16"/>
      <c r="LHZ49" s="16"/>
      <c r="LIA49" s="16"/>
      <c r="LIB49" s="16"/>
      <c r="LIC49" s="16"/>
      <c r="LID49" s="16"/>
      <c r="LIE49" s="16"/>
      <c r="LIF49" s="16"/>
      <c r="LIG49" s="16"/>
      <c r="LIH49" s="16"/>
      <c r="LII49" s="16"/>
      <c r="LIJ49" s="16"/>
      <c r="LIK49" s="16"/>
      <c r="LIL49" s="16"/>
      <c r="LIM49" s="16"/>
      <c r="LIN49" s="16"/>
      <c r="LIO49" s="16"/>
      <c r="LIP49" s="16"/>
      <c r="LIQ49" s="16"/>
      <c r="LIR49" s="16"/>
      <c r="LIS49" s="16"/>
      <c r="LIT49" s="16"/>
      <c r="LIU49" s="16"/>
      <c r="LIV49" s="16"/>
      <c r="LIW49" s="16"/>
      <c r="LIX49" s="16"/>
      <c r="LIY49" s="16"/>
      <c r="LIZ49" s="16"/>
      <c r="LJA49" s="16"/>
      <c r="LJB49" s="16"/>
      <c r="LJC49" s="16"/>
      <c r="LJD49" s="16"/>
      <c r="LJE49" s="16"/>
      <c r="LJF49" s="16"/>
      <c r="LJG49" s="16"/>
      <c r="LJH49" s="16"/>
      <c r="LJI49" s="16"/>
      <c r="LJJ49" s="16"/>
      <c r="LJK49" s="16"/>
      <c r="LJL49" s="16"/>
      <c r="LJM49" s="16"/>
      <c r="LJN49" s="16"/>
      <c r="LJO49" s="16"/>
      <c r="LJP49" s="16"/>
      <c r="LJQ49" s="16"/>
      <c r="LJR49" s="16"/>
      <c r="LJS49" s="16"/>
      <c r="LJT49" s="16"/>
      <c r="LJU49" s="16"/>
      <c r="LJV49" s="16"/>
      <c r="LJW49" s="16"/>
      <c r="LJX49" s="16"/>
      <c r="LJY49" s="16"/>
      <c r="LJZ49" s="16"/>
      <c r="LKA49" s="16"/>
      <c r="LKB49" s="16"/>
      <c r="LKC49" s="16"/>
      <c r="LKD49" s="16"/>
      <c r="LKE49" s="16"/>
      <c r="LKF49" s="16"/>
      <c r="LKG49" s="16"/>
      <c r="LKH49" s="16"/>
      <c r="LKI49" s="16"/>
      <c r="LKJ49" s="16"/>
      <c r="LKK49" s="16"/>
      <c r="LKL49" s="16"/>
      <c r="LKM49" s="16"/>
      <c r="LKN49" s="16"/>
      <c r="LKO49" s="16"/>
      <c r="LKP49" s="16"/>
      <c r="LKQ49" s="16"/>
      <c r="LKR49" s="16"/>
      <c r="LKS49" s="16"/>
      <c r="LKT49" s="16"/>
      <c r="LKU49" s="16"/>
      <c r="LKV49" s="16"/>
      <c r="LKW49" s="16"/>
      <c r="LKX49" s="16"/>
      <c r="LKY49" s="16"/>
      <c r="LKZ49" s="16"/>
      <c r="LLA49" s="16"/>
      <c r="LLB49" s="16"/>
      <c r="LLC49" s="16"/>
      <c r="LLD49" s="16"/>
      <c r="LLE49" s="16"/>
      <c r="LLF49" s="16"/>
      <c r="LLG49" s="16"/>
      <c r="LLH49" s="16"/>
      <c r="LLI49" s="16"/>
      <c r="LLJ49" s="16"/>
      <c r="LLK49" s="16"/>
      <c r="LLL49" s="16"/>
      <c r="LLM49" s="16"/>
      <c r="LLN49" s="16"/>
      <c r="LLO49" s="16"/>
      <c r="LLP49" s="16"/>
      <c r="LLQ49" s="16"/>
      <c r="LLR49" s="16"/>
      <c r="LLS49" s="16"/>
      <c r="LLT49" s="16"/>
      <c r="LLU49" s="16"/>
      <c r="LLV49" s="16"/>
      <c r="LLW49" s="16"/>
      <c r="LLX49" s="16"/>
      <c r="LLY49" s="16"/>
      <c r="LLZ49" s="16"/>
      <c r="LMA49" s="16"/>
      <c r="LMB49" s="16"/>
      <c r="LMC49" s="16"/>
      <c r="LMD49" s="16"/>
      <c r="LME49" s="16"/>
      <c r="LMF49" s="16"/>
      <c r="LMG49" s="16"/>
      <c r="LMH49" s="16"/>
      <c r="LMI49" s="16"/>
      <c r="LMJ49" s="16"/>
      <c r="LMK49" s="16"/>
      <c r="LML49" s="16"/>
      <c r="LMM49" s="16"/>
      <c r="LMN49" s="16"/>
      <c r="LMO49" s="16"/>
      <c r="LMP49" s="16"/>
      <c r="LMQ49" s="16"/>
      <c r="LMR49" s="16"/>
      <c r="LMS49" s="16"/>
      <c r="LMT49" s="16"/>
      <c r="LMU49" s="16"/>
      <c r="LMV49" s="16"/>
      <c r="LMW49" s="16"/>
      <c r="LMX49" s="16"/>
      <c r="LMY49" s="16"/>
      <c r="LMZ49" s="16"/>
      <c r="LNA49" s="16"/>
      <c r="LNB49" s="16"/>
      <c r="LNC49" s="16"/>
      <c r="LND49" s="16"/>
      <c r="LNE49" s="16"/>
      <c r="LNF49" s="16"/>
      <c r="LNG49" s="16"/>
      <c r="LNH49" s="16"/>
      <c r="LNI49" s="16"/>
      <c r="LNJ49" s="16"/>
      <c r="LNK49" s="16"/>
      <c r="LNL49" s="16"/>
      <c r="LNM49" s="16"/>
      <c r="LNN49" s="16"/>
      <c r="LNO49" s="16"/>
      <c r="LNP49" s="16"/>
      <c r="LNQ49" s="16"/>
      <c r="LNR49" s="16"/>
      <c r="LNS49" s="16"/>
      <c r="LNT49" s="16"/>
      <c r="LNU49" s="16"/>
      <c r="LNV49" s="16"/>
      <c r="LNW49" s="16"/>
      <c r="LNX49" s="16"/>
      <c r="LNY49" s="16"/>
      <c r="LNZ49" s="16"/>
      <c r="LOA49" s="16"/>
      <c r="LOB49" s="16"/>
      <c r="LOC49" s="16"/>
      <c r="LOD49" s="16"/>
      <c r="LOE49" s="16"/>
      <c r="LOF49" s="16"/>
      <c r="LOG49" s="16"/>
      <c r="LOH49" s="16"/>
      <c r="LOI49" s="16"/>
      <c r="LOJ49" s="16"/>
      <c r="LOK49" s="16"/>
      <c r="LOL49" s="16"/>
      <c r="LOM49" s="16"/>
      <c r="LON49" s="16"/>
      <c r="LOO49" s="16"/>
      <c r="LOP49" s="16"/>
      <c r="LOQ49" s="16"/>
      <c r="LOR49" s="16"/>
      <c r="LOS49" s="16"/>
      <c r="LOT49" s="16"/>
      <c r="LOU49" s="16"/>
      <c r="LOV49" s="16"/>
      <c r="LOW49" s="16"/>
      <c r="LOX49" s="16"/>
      <c r="LOY49" s="16"/>
      <c r="LOZ49" s="16"/>
      <c r="LPA49" s="16"/>
      <c r="LPB49" s="16"/>
      <c r="LPC49" s="16"/>
      <c r="LPD49" s="16"/>
      <c r="LPE49" s="16"/>
      <c r="LPF49" s="16"/>
      <c r="LPG49" s="16"/>
      <c r="LPH49" s="16"/>
      <c r="LPI49" s="16"/>
      <c r="LPJ49" s="16"/>
      <c r="LPK49" s="16"/>
      <c r="LPL49" s="16"/>
      <c r="LPM49" s="16"/>
      <c r="LPN49" s="16"/>
      <c r="LPO49" s="16"/>
      <c r="LPP49" s="16"/>
      <c r="LPQ49" s="16"/>
      <c r="LPR49" s="16"/>
      <c r="LPS49" s="16"/>
      <c r="LPT49" s="16"/>
      <c r="LPU49" s="16"/>
      <c r="LPV49" s="16"/>
      <c r="LPW49" s="16"/>
      <c r="LPX49" s="16"/>
      <c r="LPY49" s="16"/>
      <c r="LPZ49" s="16"/>
      <c r="LQA49" s="16"/>
      <c r="LQB49" s="16"/>
      <c r="LQC49" s="16"/>
      <c r="LQD49" s="16"/>
      <c r="LQE49" s="16"/>
      <c r="LQF49" s="16"/>
      <c r="LQG49" s="16"/>
      <c r="LQH49" s="16"/>
      <c r="LQI49" s="16"/>
      <c r="LQJ49" s="16"/>
      <c r="LQK49" s="16"/>
      <c r="LQL49" s="16"/>
      <c r="LQM49" s="16"/>
      <c r="LQN49" s="16"/>
      <c r="LQO49" s="16"/>
      <c r="LQP49" s="16"/>
      <c r="LQQ49" s="16"/>
      <c r="LQR49" s="16"/>
      <c r="LQS49" s="16"/>
      <c r="LQT49" s="16"/>
      <c r="LQU49" s="16"/>
      <c r="LQV49" s="16"/>
      <c r="LQW49" s="16"/>
      <c r="LQX49" s="16"/>
      <c r="LQY49" s="16"/>
      <c r="LQZ49" s="16"/>
      <c r="LRA49" s="16"/>
      <c r="LRB49" s="16"/>
      <c r="LRC49" s="16"/>
      <c r="LRD49" s="16"/>
      <c r="LRE49" s="16"/>
      <c r="LRF49" s="16"/>
      <c r="LRG49" s="16"/>
      <c r="LRH49" s="16"/>
      <c r="LRI49" s="16"/>
      <c r="LRJ49" s="16"/>
      <c r="LRK49" s="16"/>
      <c r="LRL49" s="16"/>
      <c r="LRM49" s="16"/>
      <c r="LRN49" s="16"/>
      <c r="LRO49" s="16"/>
      <c r="LRP49" s="16"/>
      <c r="LRQ49" s="16"/>
      <c r="LRR49" s="16"/>
      <c r="LRS49" s="16"/>
      <c r="LRT49" s="16"/>
      <c r="LRU49" s="16"/>
      <c r="LRV49" s="16"/>
      <c r="LRW49" s="16"/>
      <c r="LRX49" s="16"/>
      <c r="LRY49" s="16"/>
      <c r="LRZ49" s="16"/>
      <c r="LSA49" s="16"/>
      <c r="LSB49" s="16"/>
      <c r="LSC49" s="16"/>
      <c r="LSD49" s="16"/>
      <c r="LSE49" s="16"/>
      <c r="LSF49" s="16"/>
      <c r="LSG49" s="16"/>
      <c r="LSH49" s="16"/>
      <c r="LSI49" s="16"/>
      <c r="LSJ49" s="16"/>
      <c r="LSK49" s="16"/>
      <c r="LSL49" s="16"/>
      <c r="LSM49" s="16"/>
      <c r="LSN49" s="16"/>
      <c r="LSO49" s="16"/>
      <c r="LSP49" s="16"/>
      <c r="LSQ49" s="16"/>
      <c r="LSR49" s="16"/>
      <c r="LSS49" s="16"/>
      <c r="LST49" s="16"/>
      <c r="LSU49" s="16"/>
      <c r="LSV49" s="16"/>
      <c r="LSW49" s="16"/>
      <c r="LSX49" s="16"/>
      <c r="LSY49" s="16"/>
      <c r="LSZ49" s="16"/>
      <c r="LTA49" s="16"/>
      <c r="LTB49" s="16"/>
      <c r="LTC49" s="16"/>
      <c r="LTD49" s="16"/>
      <c r="LTE49" s="16"/>
      <c r="LTF49" s="16"/>
      <c r="LTG49" s="16"/>
      <c r="LTH49" s="16"/>
      <c r="LTI49" s="16"/>
      <c r="LTJ49" s="16"/>
      <c r="LTK49" s="16"/>
      <c r="LTL49" s="16"/>
      <c r="LTM49" s="16"/>
      <c r="LTN49" s="16"/>
      <c r="LTO49" s="16"/>
      <c r="LTP49" s="16"/>
      <c r="LTQ49" s="16"/>
      <c r="LTR49" s="16"/>
      <c r="LTS49" s="16"/>
      <c r="LTT49" s="16"/>
      <c r="LTU49" s="16"/>
      <c r="LTV49" s="16"/>
      <c r="LTW49" s="16"/>
      <c r="LTX49" s="16"/>
      <c r="LTY49" s="16"/>
      <c r="LTZ49" s="16"/>
      <c r="LUA49" s="16"/>
      <c r="LUB49" s="16"/>
      <c r="LUC49" s="16"/>
      <c r="LUD49" s="16"/>
      <c r="LUE49" s="16"/>
      <c r="LUF49" s="16"/>
      <c r="LUG49" s="16"/>
      <c r="LUH49" s="16"/>
      <c r="LUI49" s="16"/>
      <c r="LUJ49" s="16"/>
      <c r="LUK49" s="16"/>
      <c r="LUL49" s="16"/>
      <c r="LUM49" s="16"/>
      <c r="LUN49" s="16"/>
      <c r="LUO49" s="16"/>
      <c r="LUP49" s="16"/>
      <c r="LUQ49" s="16"/>
      <c r="LUR49" s="16"/>
      <c r="LUS49" s="16"/>
      <c r="LUT49" s="16"/>
      <c r="LUU49" s="16"/>
      <c r="LUV49" s="16"/>
      <c r="LUW49" s="16"/>
      <c r="LUX49" s="16"/>
      <c r="LUY49" s="16"/>
      <c r="LUZ49" s="16"/>
      <c r="LVA49" s="16"/>
      <c r="LVB49" s="16"/>
      <c r="LVC49" s="16"/>
      <c r="LVD49" s="16"/>
      <c r="LVE49" s="16"/>
      <c r="LVF49" s="16"/>
      <c r="LVG49" s="16"/>
      <c r="LVH49" s="16"/>
      <c r="LVI49" s="16"/>
      <c r="LVJ49" s="16"/>
      <c r="LVK49" s="16"/>
      <c r="LVL49" s="16"/>
      <c r="LVM49" s="16"/>
      <c r="LVN49" s="16"/>
      <c r="LVO49" s="16"/>
      <c r="LVP49" s="16"/>
      <c r="LVQ49" s="16"/>
      <c r="LVR49" s="16"/>
      <c r="LVS49" s="16"/>
      <c r="LVT49" s="16"/>
      <c r="LVU49" s="16"/>
      <c r="LVV49" s="16"/>
      <c r="LVW49" s="16"/>
      <c r="LVX49" s="16"/>
      <c r="LVY49" s="16"/>
      <c r="LVZ49" s="16"/>
      <c r="LWA49" s="16"/>
      <c r="LWB49" s="16"/>
      <c r="LWC49" s="16"/>
      <c r="LWD49" s="16"/>
      <c r="LWE49" s="16"/>
      <c r="LWF49" s="16"/>
      <c r="LWG49" s="16"/>
      <c r="LWH49" s="16"/>
      <c r="LWI49" s="16"/>
      <c r="LWJ49" s="16"/>
      <c r="LWK49" s="16"/>
      <c r="LWL49" s="16"/>
      <c r="LWM49" s="16"/>
      <c r="LWN49" s="16"/>
      <c r="LWO49" s="16"/>
      <c r="LWP49" s="16"/>
      <c r="LWQ49" s="16"/>
      <c r="LWR49" s="16"/>
      <c r="LWS49" s="16"/>
      <c r="LWT49" s="16"/>
      <c r="LWU49" s="16"/>
      <c r="LWV49" s="16"/>
      <c r="LWW49" s="16"/>
      <c r="LWX49" s="16"/>
      <c r="LWY49" s="16"/>
      <c r="LWZ49" s="16"/>
      <c r="LXA49" s="16"/>
      <c r="LXB49" s="16"/>
      <c r="LXC49" s="16"/>
      <c r="LXD49" s="16"/>
      <c r="LXE49" s="16"/>
      <c r="LXF49" s="16"/>
      <c r="LXG49" s="16"/>
      <c r="LXH49" s="16"/>
      <c r="LXI49" s="16"/>
      <c r="LXJ49" s="16"/>
      <c r="LXK49" s="16"/>
      <c r="LXL49" s="16"/>
      <c r="LXM49" s="16"/>
      <c r="LXN49" s="16"/>
      <c r="LXO49" s="16"/>
      <c r="LXP49" s="16"/>
      <c r="LXQ49" s="16"/>
      <c r="LXR49" s="16"/>
      <c r="LXS49" s="16"/>
      <c r="LXT49" s="16"/>
      <c r="LXU49" s="16"/>
      <c r="LXV49" s="16"/>
      <c r="LXW49" s="16"/>
      <c r="LXX49" s="16"/>
      <c r="LXY49" s="16"/>
      <c r="LXZ49" s="16"/>
      <c r="LYA49" s="16"/>
      <c r="LYB49" s="16"/>
      <c r="LYC49" s="16"/>
      <c r="LYD49" s="16"/>
      <c r="LYE49" s="16"/>
      <c r="LYF49" s="16"/>
      <c r="LYG49" s="16"/>
      <c r="LYH49" s="16"/>
      <c r="LYI49" s="16"/>
      <c r="LYJ49" s="16"/>
      <c r="LYK49" s="16"/>
      <c r="LYL49" s="16"/>
      <c r="LYM49" s="16"/>
      <c r="LYN49" s="16"/>
      <c r="LYO49" s="16"/>
      <c r="LYP49" s="16"/>
      <c r="LYQ49" s="16"/>
      <c r="LYR49" s="16"/>
      <c r="LYS49" s="16"/>
      <c r="LYT49" s="16"/>
      <c r="LYU49" s="16"/>
      <c r="LYV49" s="16"/>
      <c r="LYW49" s="16"/>
      <c r="LYX49" s="16"/>
      <c r="LYY49" s="16"/>
      <c r="LYZ49" s="16"/>
      <c r="LZA49" s="16"/>
      <c r="LZB49" s="16"/>
      <c r="LZC49" s="16"/>
      <c r="LZD49" s="16"/>
      <c r="LZE49" s="16"/>
      <c r="LZF49" s="16"/>
      <c r="LZG49" s="16"/>
      <c r="LZH49" s="16"/>
      <c r="LZI49" s="16"/>
      <c r="LZJ49" s="16"/>
      <c r="LZK49" s="16"/>
      <c r="LZL49" s="16"/>
      <c r="LZM49" s="16"/>
      <c r="LZN49" s="16"/>
      <c r="LZO49" s="16"/>
      <c r="LZP49" s="16"/>
      <c r="LZQ49" s="16"/>
      <c r="LZR49" s="16"/>
      <c r="LZS49" s="16"/>
      <c r="LZT49" s="16"/>
      <c r="LZU49" s="16"/>
      <c r="LZV49" s="16"/>
      <c r="LZW49" s="16"/>
      <c r="LZX49" s="16"/>
      <c r="LZY49" s="16"/>
      <c r="LZZ49" s="16"/>
      <c r="MAA49" s="16"/>
      <c r="MAB49" s="16"/>
      <c r="MAC49" s="16"/>
      <c r="MAD49" s="16"/>
      <c r="MAE49" s="16"/>
      <c r="MAF49" s="16"/>
      <c r="MAG49" s="16"/>
      <c r="MAH49" s="16"/>
      <c r="MAI49" s="16"/>
      <c r="MAJ49" s="16"/>
      <c r="MAK49" s="16"/>
      <c r="MAL49" s="16"/>
      <c r="MAM49" s="16"/>
      <c r="MAN49" s="16"/>
      <c r="MAO49" s="16"/>
      <c r="MAP49" s="16"/>
      <c r="MAQ49" s="16"/>
      <c r="MAR49" s="16"/>
      <c r="MAS49" s="16"/>
      <c r="MAT49" s="16"/>
      <c r="MAU49" s="16"/>
      <c r="MAV49" s="16"/>
      <c r="MAW49" s="16"/>
      <c r="MAX49" s="16"/>
      <c r="MAY49" s="16"/>
      <c r="MAZ49" s="16"/>
      <c r="MBA49" s="16"/>
      <c r="MBB49" s="16"/>
      <c r="MBC49" s="16"/>
      <c r="MBD49" s="16"/>
      <c r="MBE49" s="16"/>
      <c r="MBF49" s="16"/>
      <c r="MBG49" s="16"/>
      <c r="MBH49" s="16"/>
      <c r="MBI49" s="16"/>
      <c r="MBJ49" s="16"/>
      <c r="MBK49" s="16"/>
      <c r="MBL49" s="16"/>
      <c r="MBM49" s="16"/>
      <c r="MBN49" s="16"/>
      <c r="MBO49" s="16"/>
      <c r="MBP49" s="16"/>
      <c r="MBQ49" s="16"/>
      <c r="MBR49" s="16"/>
      <c r="MBS49" s="16"/>
      <c r="MBT49" s="16"/>
      <c r="MBU49" s="16"/>
      <c r="MBV49" s="16"/>
      <c r="MBW49" s="16"/>
      <c r="MBX49" s="16"/>
      <c r="MBY49" s="16"/>
      <c r="MBZ49" s="16"/>
      <c r="MCA49" s="16"/>
      <c r="MCB49" s="16"/>
      <c r="MCC49" s="16"/>
      <c r="MCD49" s="16"/>
      <c r="MCE49" s="16"/>
      <c r="MCF49" s="16"/>
      <c r="MCG49" s="16"/>
      <c r="MCH49" s="16"/>
      <c r="MCI49" s="16"/>
      <c r="MCJ49" s="16"/>
      <c r="MCK49" s="16"/>
      <c r="MCL49" s="16"/>
      <c r="MCM49" s="16"/>
      <c r="MCN49" s="16"/>
      <c r="MCO49" s="16"/>
      <c r="MCP49" s="16"/>
      <c r="MCQ49" s="16"/>
      <c r="MCR49" s="16"/>
      <c r="MCS49" s="16"/>
      <c r="MCT49" s="16"/>
      <c r="MCU49" s="16"/>
      <c r="MCV49" s="16"/>
      <c r="MCW49" s="16"/>
      <c r="MCX49" s="16"/>
      <c r="MCY49" s="16"/>
      <c r="MCZ49" s="16"/>
      <c r="MDA49" s="16"/>
      <c r="MDB49" s="16"/>
      <c r="MDC49" s="16"/>
      <c r="MDD49" s="16"/>
      <c r="MDE49" s="16"/>
      <c r="MDF49" s="16"/>
      <c r="MDG49" s="16"/>
      <c r="MDH49" s="16"/>
      <c r="MDI49" s="16"/>
      <c r="MDJ49" s="16"/>
      <c r="MDK49" s="16"/>
      <c r="MDL49" s="16"/>
      <c r="MDM49" s="16"/>
      <c r="MDN49" s="16"/>
      <c r="MDO49" s="16"/>
      <c r="MDP49" s="16"/>
      <c r="MDQ49" s="16"/>
      <c r="MDR49" s="16"/>
      <c r="MDS49" s="16"/>
      <c r="MDT49" s="16"/>
      <c r="MDU49" s="16"/>
      <c r="MDV49" s="16"/>
      <c r="MDW49" s="16"/>
      <c r="MDX49" s="16"/>
      <c r="MDY49" s="16"/>
      <c r="MDZ49" s="16"/>
      <c r="MEA49" s="16"/>
      <c r="MEB49" s="16"/>
      <c r="MEC49" s="16"/>
      <c r="MED49" s="16"/>
      <c r="MEE49" s="16"/>
      <c r="MEF49" s="16"/>
      <c r="MEG49" s="16"/>
      <c r="MEH49" s="16"/>
      <c r="MEI49" s="16"/>
      <c r="MEJ49" s="16"/>
      <c r="MEK49" s="16"/>
      <c r="MEL49" s="16"/>
      <c r="MEM49" s="16"/>
      <c r="MEN49" s="16"/>
      <c r="MEO49" s="16"/>
      <c r="MEP49" s="16"/>
      <c r="MEQ49" s="16"/>
      <c r="MER49" s="16"/>
      <c r="MES49" s="16"/>
      <c r="MET49" s="16"/>
      <c r="MEU49" s="16"/>
      <c r="MEV49" s="16"/>
      <c r="MEW49" s="16"/>
      <c r="MEX49" s="16"/>
      <c r="MEY49" s="16"/>
      <c r="MEZ49" s="16"/>
      <c r="MFA49" s="16"/>
      <c r="MFB49" s="16"/>
      <c r="MFC49" s="16"/>
      <c r="MFD49" s="16"/>
      <c r="MFE49" s="16"/>
      <c r="MFF49" s="16"/>
      <c r="MFG49" s="16"/>
      <c r="MFH49" s="16"/>
      <c r="MFI49" s="16"/>
      <c r="MFJ49" s="16"/>
      <c r="MFK49" s="16"/>
      <c r="MFL49" s="16"/>
      <c r="MFM49" s="16"/>
      <c r="MFN49" s="16"/>
      <c r="MFO49" s="16"/>
      <c r="MFP49" s="16"/>
      <c r="MFQ49" s="16"/>
      <c r="MFR49" s="16"/>
      <c r="MFS49" s="16"/>
      <c r="MFT49" s="16"/>
      <c r="MFU49" s="16"/>
      <c r="MFV49" s="16"/>
      <c r="MFW49" s="16"/>
      <c r="MFX49" s="16"/>
      <c r="MFY49" s="16"/>
      <c r="MFZ49" s="16"/>
      <c r="MGA49" s="16"/>
      <c r="MGB49" s="16"/>
      <c r="MGC49" s="16"/>
      <c r="MGD49" s="16"/>
      <c r="MGE49" s="16"/>
      <c r="MGF49" s="16"/>
      <c r="MGG49" s="16"/>
      <c r="MGH49" s="16"/>
      <c r="MGI49" s="16"/>
      <c r="MGJ49" s="16"/>
      <c r="MGK49" s="16"/>
      <c r="MGL49" s="16"/>
      <c r="MGM49" s="16"/>
      <c r="MGN49" s="16"/>
      <c r="MGO49" s="16"/>
      <c r="MGP49" s="16"/>
      <c r="MGQ49" s="16"/>
      <c r="MGR49" s="16"/>
      <c r="MGS49" s="16"/>
      <c r="MGT49" s="16"/>
      <c r="MGU49" s="16"/>
      <c r="MGV49" s="16"/>
      <c r="MGW49" s="16"/>
      <c r="MGX49" s="16"/>
      <c r="MGY49" s="16"/>
      <c r="MGZ49" s="16"/>
      <c r="MHA49" s="16"/>
      <c r="MHB49" s="16"/>
      <c r="MHC49" s="16"/>
      <c r="MHD49" s="16"/>
      <c r="MHE49" s="16"/>
      <c r="MHF49" s="16"/>
      <c r="MHG49" s="16"/>
      <c r="MHH49" s="16"/>
      <c r="MHI49" s="16"/>
      <c r="MHJ49" s="16"/>
      <c r="MHK49" s="16"/>
      <c r="MHL49" s="16"/>
      <c r="MHM49" s="16"/>
      <c r="MHN49" s="16"/>
      <c r="MHO49" s="16"/>
      <c r="MHP49" s="16"/>
      <c r="MHQ49" s="16"/>
      <c r="MHR49" s="16"/>
      <c r="MHS49" s="16"/>
      <c r="MHT49" s="16"/>
      <c r="MHU49" s="16"/>
      <c r="MHV49" s="16"/>
      <c r="MHW49" s="16"/>
      <c r="MHX49" s="16"/>
      <c r="MHY49" s="16"/>
      <c r="MHZ49" s="16"/>
      <c r="MIA49" s="16"/>
      <c r="MIB49" s="16"/>
      <c r="MIC49" s="16"/>
      <c r="MID49" s="16"/>
      <c r="MIE49" s="16"/>
      <c r="MIF49" s="16"/>
      <c r="MIG49" s="16"/>
      <c r="MIH49" s="16"/>
      <c r="MII49" s="16"/>
      <c r="MIJ49" s="16"/>
      <c r="MIK49" s="16"/>
      <c r="MIL49" s="16"/>
      <c r="MIM49" s="16"/>
      <c r="MIN49" s="16"/>
      <c r="MIO49" s="16"/>
      <c r="MIP49" s="16"/>
      <c r="MIQ49" s="16"/>
      <c r="MIR49" s="16"/>
      <c r="MIS49" s="16"/>
      <c r="MIT49" s="16"/>
      <c r="MIU49" s="16"/>
      <c r="MIV49" s="16"/>
      <c r="MIW49" s="16"/>
      <c r="MIX49" s="16"/>
      <c r="MIY49" s="16"/>
      <c r="MIZ49" s="16"/>
      <c r="MJA49" s="16"/>
      <c r="MJB49" s="16"/>
      <c r="MJC49" s="16"/>
      <c r="MJD49" s="16"/>
      <c r="MJE49" s="16"/>
      <c r="MJF49" s="16"/>
      <c r="MJG49" s="16"/>
      <c r="MJH49" s="16"/>
      <c r="MJI49" s="16"/>
      <c r="MJJ49" s="16"/>
      <c r="MJK49" s="16"/>
      <c r="MJL49" s="16"/>
      <c r="MJM49" s="16"/>
      <c r="MJN49" s="16"/>
      <c r="MJO49" s="16"/>
      <c r="MJP49" s="16"/>
      <c r="MJQ49" s="16"/>
      <c r="MJR49" s="16"/>
      <c r="MJS49" s="16"/>
      <c r="MJT49" s="16"/>
      <c r="MJU49" s="16"/>
      <c r="MJV49" s="16"/>
      <c r="MJW49" s="16"/>
      <c r="MJX49" s="16"/>
      <c r="MJY49" s="16"/>
      <c r="MJZ49" s="16"/>
      <c r="MKA49" s="16"/>
      <c r="MKB49" s="16"/>
      <c r="MKC49" s="16"/>
      <c r="MKD49" s="16"/>
      <c r="MKE49" s="16"/>
      <c r="MKF49" s="16"/>
      <c r="MKG49" s="16"/>
      <c r="MKH49" s="16"/>
      <c r="MKI49" s="16"/>
      <c r="MKJ49" s="16"/>
      <c r="MKK49" s="16"/>
      <c r="MKL49" s="16"/>
      <c r="MKM49" s="16"/>
      <c r="MKN49" s="16"/>
      <c r="MKO49" s="16"/>
      <c r="MKP49" s="16"/>
      <c r="MKQ49" s="16"/>
      <c r="MKR49" s="16"/>
      <c r="MKS49" s="16"/>
      <c r="MKT49" s="16"/>
      <c r="MKU49" s="16"/>
      <c r="MKV49" s="16"/>
      <c r="MKW49" s="16"/>
      <c r="MKX49" s="16"/>
      <c r="MKY49" s="16"/>
      <c r="MKZ49" s="16"/>
      <c r="MLA49" s="16"/>
      <c r="MLB49" s="16"/>
      <c r="MLC49" s="16"/>
      <c r="MLD49" s="16"/>
      <c r="MLE49" s="16"/>
      <c r="MLF49" s="16"/>
      <c r="MLG49" s="16"/>
      <c r="MLH49" s="16"/>
      <c r="MLI49" s="16"/>
      <c r="MLJ49" s="16"/>
      <c r="MLK49" s="16"/>
      <c r="MLL49" s="16"/>
      <c r="MLM49" s="16"/>
      <c r="MLN49" s="16"/>
      <c r="MLO49" s="16"/>
      <c r="MLP49" s="16"/>
      <c r="MLQ49" s="16"/>
      <c r="MLR49" s="16"/>
      <c r="MLS49" s="16"/>
      <c r="MLT49" s="16"/>
      <c r="MLU49" s="16"/>
      <c r="MLV49" s="16"/>
      <c r="MLW49" s="16"/>
      <c r="MLX49" s="16"/>
      <c r="MLY49" s="16"/>
      <c r="MLZ49" s="16"/>
      <c r="MMA49" s="16"/>
      <c r="MMB49" s="16"/>
      <c r="MMC49" s="16"/>
      <c r="MMD49" s="16"/>
      <c r="MME49" s="16"/>
      <c r="MMF49" s="16"/>
      <c r="MMG49" s="16"/>
      <c r="MMH49" s="16"/>
      <c r="MMI49" s="16"/>
      <c r="MMJ49" s="16"/>
      <c r="MMK49" s="16"/>
      <c r="MML49" s="16"/>
      <c r="MMM49" s="16"/>
      <c r="MMN49" s="16"/>
      <c r="MMO49" s="16"/>
      <c r="MMP49" s="16"/>
      <c r="MMQ49" s="16"/>
      <c r="MMR49" s="16"/>
      <c r="MMS49" s="16"/>
      <c r="MMT49" s="16"/>
      <c r="MMU49" s="16"/>
      <c r="MMV49" s="16"/>
      <c r="MMW49" s="16"/>
      <c r="MMX49" s="16"/>
      <c r="MMY49" s="16"/>
      <c r="MMZ49" s="16"/>
      <c r="MNA49" s="16"/>
      <c r="MNB49" s="16"/>
      <c r="MNC49" s="16"/>
      <c r="MND49" s="16"/>
      <c r="MNE49" s="16"/>
      <c r="MNF49" s="16"/>
      <c r="MNG49" s="16"/>
      <c r="MNH49" s="16"/>
      <c r="MNI49" s="16"/>
      <c r="MNJ49" s="16"/>
      <c r="MNK49" s="16"/>
      <c r="MNL49" s="16"/>
      <c r="MNM49" s="16"/>
      <c r="MNN49" s="16"/>
      <c r="MNO49" s="16"/>
      <c r="MNP49" s="16"/>
      <c r="MNQ49" s="16"/>
      <c r="MNR49" s="16"/>
      <c r="MNS49" s="16"/>
      <c r="MNT49" s="16"/>
      <c r="MNU49" s="16"/>
      <c r="MNV49" s="16"/>
      <c r="MNW49" s="16"/>
      <c r="MNX49" s="16"/>
      <c r="MNY49" s="16"/>
      <c r="MNZ49" s="16"/>
      <c r="MOA49" s="16"/>
      <c r="MOB49" s="16"/>
      <c r="MOC49" s="16"/>
      <c r="MOD49" s="16"/>
      <c r="MOE49" s="16"/>
      <c r="MOF49" s="16"/>
      <c r="MOG49" s="16"/>
      <c r="MOH49" s="16"/>
      <c r="MOI49" s="16"/>
      <c r="MOJ49" s="16"/>
      <c r="MOK49" s="16"/>
      <c r="MOL49" s="16"/>
      <c r="MOM49" s="16"/>
      <c r="MON49" s="16"/>
      <c r="MOO49" s="16"/>
      <c r="MOP49" s="16"/>
      <c r="MOQ49" s="16"/>
      <c r="MOR49" s="16"/>
      <c r="MOS49" s="16"/>
      <c r="MOT49" s="16"/>
      <c r="MOU49" s="16"/>
      <c r="MOV49" s="16"/>
      <c r="MOW49" s="16"/>
      <c r="MOX49" s="16"/>
      <c r="MOY49" s="16"/>
      <c r="MOZ49" s="16"/>
      <c r="MPA49" s="16"/>
      <c r="MPB49" s="16"/>
      <c r="MPC49" s="16"/>
      <c r="MPD49" s="16"/>
      <c r="MPE49" s="16"/>
      <c r="MPF49" s="16"/>
      <c r="MPG49" s="16"/>
      <c r="MPH49" s="16"/>
      <c r="MPI49" s="16"/>
      <c r="MPJ49" s="16"/>
      <c r="MPK49" s="16"/>
      <c r="MPL49" s="16"/>
      <c r="MPM49" s="16"/>
      <c r="MPN49" s="16"/>
      <c r="MPO49" s="16"/>
      <c r="MPP49" s="16"/>
      <c r="MPQ49" s="16"/>
      <c r="MPR49" s="16"/>
      <c r="MPS49" s="16"/>
      <c r="MPT49" s="16"/>
      <c r="MPU49" s="16"/>
      <c r="MPV49" s="16"/>
      <c r="MPW49" s="16"/>
      <c r="MPX49" s="16"/>
      <c r="MPY49" s="16"/>
      <c r="MPZ49" s="16"/>
      <c r="MQA49" s="16"/>
      <c r="MQB49" s="16"/>
      <c r="MQC49" s="16"/>
      <c r="MQD49" s="16"/>
      <c r="MQE49" s="16"/>
      <c r="MQF49" s="16"/>
      <c r="MQG49" s="16"/>
      <c r="MQH49" s="16"/>
      <c r="MQI49" s="16"/>
      <c r="MQJ49" s="16"/>
      <c r="MQK49" s="16"/>
      <c r="MQL49" s="16"/>
      <c r="MQM49" s="16"/>
      <c r="MQN49" s="16"/>
      <c r="MQO49" s="16"/>
      <c r="MQP49" s="16"/>
      <c r="MQQ49" s="16"/>
      <c r="MQR49" s="16"/>
      <c r="MQS49" s="16"/>
      <c r="MQT49" s="16"/>
      <c r="MQU49" s="16"/>
      <c r="MQV49" s="16"/>
      <c r="MQW49" s="16"/>
      <c r="MQX49" s="16"/>
      <c r="MQY49" s="16"/>
      <c r="MQZ49" s="16"/>
      <c r="MRA49" s="16"/>
      <c r="MRB49" s="16"/>
      <c r="MRC49" s="16"/>
      <c r="MRD49" s="16"/>
      <c r="MRE49" s="16"/>
      <c r="MRF49" s="16"/>
      <c r="MRG49" s="16"/>
      <c r="MRH49" s="16"/>
      <c r="MRI49" s="16"/>
      <c r="MRJ49" s="16"/>
      <c r="MRK49" s="16"/>
      <c r="MRL49" s="16"/>
      <c r="MRM49" s="16"/>
      <c r="MRN49" s="16"/>
      <c r="MRO49" s="16"/>
      <c r="MRP49" s="16"/>
      <c r="MRQ49" s="16"/>
      <c r="MRR49" s="16"/>
      <c r="MRS49" s="16"/>
      <c r="MRT49" s="16"/>
      <c r="MRU49" s="16"/>
      <c r="MRV49" s="16"/>
      <c r="MRW49" s="16"/>
      <c r="MRX49" s="16"/>
      <c r="MRY49" s="16"/>
      <c r="MRZ49" s="16"/>
      <c r="MSA49" s="16"/>
      <c r="MSB49" s="16"/>
      <c r="MSC49" s="16"/>
      <c r="MSD49" s="16"/>
      <c r="MSE49" s="16"/>
      <c r="MSF49" s="16"/>
      <c r="MSG49" s="16"/>
      <c r="MSH49" s="16"/>
      <c r="MSI49" s="16"/>
      <c r="MSJ49" s="16"/>
      <c r="MSK49" s="16"/>
      <c r="MSL49" s="16"/>
      <c r="MSM49" s="16"/>
      <c r="MSN49" s="16"/>
      <c r="MSO49" s="16"/>
      <c r="MSP49" s="16"/>
      <c r="MSQ49" s="16"/>
      <c r="MSR49" s="16"/>
      <c r="MSS49" s="16"/>
      <c r="MST49" s="16"/>
      <c r="MSU49" s="16"/>
      <c r="MSV49" s="16"/>
      <c r="MSW49" s="16"/>
      <c r="MSX49" s="16"/>
      <c r="MSY49" s="16"/>
      <c r="MSZ49" s="16"/>
      <c r="MTA49" s="16"/>
      <c r="MTB49" s="16"/>
      <c r="MTC49" s="16"/>
      <c r="MTD49" s="16"/>
      <c r="MTE49" s="16"/>
      <c r="MTF49" s="16"/>
      <c r="MTG49" s="16"/>
      <c r="MTH49" s="16"/>
      <c r="MTI49" s="16"/>
      <c r="MTJ49" s="16"/>
      <c r="MTK49" s="16"/>
      <c r="MTL49" s="16"/>
      <c r="MTM49" s="16"/>
      <c r="MTN49" s="16"/>
      <c r="MTO49" s="16"/>
      <c r="MTP49" s="16"/>
      <c r="MTQ49" s="16"/>
      <c r="MTR49" s="16"/>
      <c r="MTS49" s="16"/>
      <c r="MTT49" s="16"/>
      <c r="MTU49" s="16"/>
      <c r="MTV49" s="16"/>
      <c r="MTW49" s="16"/>
      <c r="MTX49" s="16"/>
      <c r="MTY49" s="16"/>
      <c r="MTZ49" s="16"/>
      <c r="MUA49" s="16"/>
      <c r="MUB49" s="16"/>
      <c r="MUC49" s="16"/>
      <c r="MUD49" s="16"/>
      <c r="MUE49" s="16"/>
      <c r="MUF49" s="16"/>
      <c r="MUG49" s="16"/>
      <c r="MUH49" s="16"/>
      <c r="MUI49" s="16"/>
      <c r="MUJ49" s="16"/>
      <c r="MUK49" s="16"/>
      <c r="MUL49" s="16"/>
      <c r="MUM49" s="16"/>
      <c r="MUN49" s="16"/>
      <c r="MUO49" s="16"/>
      <c r="MUP49" s="16"/>
      <c r="MUQ49" s="16"/>
      <c r="MUR49" s="16"/>
      <c r="MUS49" s="16"/>
      <c r="MUT49" s="16"/>
      <c r="MUU49" s="16"/>
      <c r="MUV49" s="16"/>
      <c r="MUW49" s="16"/>
      <c r="MUX49" s="16"/>
      <c r="MUY49" s="16"/>
      <c r="MUZ49" s="16"/>
      <c r="MVA49" s="16"/>
      <c r="MVB49" s="16"/>
      <c r="MVC49" s="16"/>
      <c r="MVD49" s="16"/>
      <c r="MVE49" s="16"/>
      <c r="MVF49" s="16"/>
      <c r="MVG49" s="16"/>
      <c r="MVH49" s="16"/>
      <c r="MVI49" s="16"/>
      <c r="MVJ49" s="16"/>
      <c r="MVK49" s="16"/>
      <c r="MVL49" s="16"/>
      <c r="MVM49" s="16"/>
      <c r="MVN49" s="16"/>
      <c r="MVO49" s="16"/>
      <c r="MVP49" s="16"/>
      <c r="MVQ49" s="16"/>
      <c r="MVR49" s="16"/>
      <c r="MVS49" s="16"/>
      <c r="MVT49" s="16"/>
      <c r="MVU49" s="16"/>
      <c r="MVV49" s="16"/>
      <c r="MVW49" s="16"/>
      <c r="MVX49" s="16"/>
      <c r="MVY49" s="16"/>
      <c r="MVZ49" s="16"/>
      <c r="MWA49" s="16"/>
      <c r="MWB49" s="16"/>
      <c r="MWC49" s="16"/>
      <c r="MWD49" s="16"/>
      <c r="MWE49" s="16"/>
      <c r="MWF49" s="16"/>
      <c r="MWG49" s="16"/>
      <c r="MWH49" s="16"/>
      <c r="MWI49" s="16"/>
      <c r="MWJ49" s="16"/>
      <c r="MWK49" s="16"/>
      <c r="MWL49" s="16"/>
      <c r="MWM49" s="16"/>
      <c r="MWN49" s="16"/>
      <c r="MWO49" s="16"/>
      <c r="MWP49" s="16"/>
      <c r="MWQ49" s="16"/>
      <c r="MWR49" s="16"/>
      <c r="MWS49" s="16"/>
      <c r="MWT49" s="16"/>
      <c r="MWU49" s="16"/>
      <c r="MWV49" s="16"/>
      <c r="MWW49" s="16"/>
      <c r="MWX49" s="16"/>
      <c r="MWY49" s="16"/>
      <c r="MWZ49" s="16"/>
      <c r="MXA49" s="16"/>
      <c r="MXB49" s="16"/>
      <c r="MXC49" s="16"/>
      <c r="MXD49" s="16"/>
      <c r="MXE49" s="16"/>
      <c r="MXF49" s="16"/>
      <c r="MXG49" s="16"/>
      <c r="MXH49" s="16"/>
      <c r="MXI49" s="16"/>
      <c r="MXJ49" s="16"/>
      <c r="MXK49" s="16"/>
      <c r="MXL49" s="16"/>
      <c r="MXM49" s="16"/>
      <c r="MXN49" s="16"/>
      <c r="MXO49" s="16"/>
      <c r="MXP49" s="16"/>
      <c r="MXQ49" s="16"/>
      <c r="MXR49" s="16"/>
      <c r="MXS49" s="16"/>
      <c r="MXT49" s="16"/>
      <c r="MXU49" s="16"/>
      <c r="MXV49" s="16"/>
      <c r="MXW49" s="16"/>
      <c r="MXX49" s="16"/>
      <c r="MXY49" s="16"/>
      <c r="MXZ49" s="16"/>
      <c r="MYA49" s="16"/>
      <c r="MYB49" s="16"/>
      <c r="MYC49" s="16"/>
      <c r="MYD49" s="16"/>
      <c r="MYE49" s="16"/>
      <c r="MYF49" s="16"/>
      <c r="MYG49" s="16"/>
      <c r="MYH49" s="16"/>
      <c r="MYI49" s="16"/>
      <c r="MYJ49" s="16"/>
      <c r="MYK49" s="16"/>
      <c r="MYL49" s="16"/>
      <c r="MYM49" s="16"/>
      <c r="MYN49" s="16"/>
      <c r="MYO49" s="16"/>
      <c r="MYP49" s="16"/>
      <c r="MYQ49" s="16"/>
      <c r="MYR49" s="16"/>
      <c r="MYS49" s="16"/>
      <c r="MYT49" s="16"/>
      <c r="MYU49" s="16"/>
      <c r="MYV49" s="16"/>
      <c r="MYW49" s="16"/>
      <c r="MYX49" s="16"/>
      <c r="MYY49" s="16"/>
      <c r="MYZ49" s="16"/>
      <c r="MZA49" s="16"/>
      <c r="MZB49" s="16"/>
      <c r="MZC49" s="16"/>
      <c r="MZD49" s="16"/>
      <c r="MZE49" s="16"/>
      <c r="MZF49" s="16"/>
      <c r="MZG49" s="16"/>
      <c r="MZH49" s="16"/>
      <c r="MZI49" s="16"/>
      <c r="MZJ49" s="16"/>
      <c r="MZK49" s="16"/>
      <c r="MZL49" s="16"/>
      <c r="MZM49" s="16"/>
      <c r="MZN49" s="16"/>
      <c r="MZO49" s="16"/>
      <c r="MZP49" s="16"/>
      <c r="MZQ49" s="16"/>
      <c r="MZR49" s="16"/>
      <c r="MZS49" s="16"/>
      <c r="MZT49" s="16"/>
      <c r="MZU49" s="16"/>
      <c r="MZV49" s="16"/>
      <c r="MZW49" s="16"/>
      <c r="MZX49" s="16"/>
      <c r="MZY49" s="16"/>
      <c r="MZZ49" s="16"/>
      <c r="NAA49" s="16"/>
      <c r="NAB49" s="16"/>
      <c r="NAC49" s="16"/>
      <c r="NAD49" s="16"/>
      <c r="NAE49" s="16"/>
      <c r="NAF49" s="16"/>
      <c r="NAG49" s="16"/>
      <c r="NAH49" s="16"/>
      <c r="NAI49" s="16"/>
      <c r="NAJ49" s="16"/>
      <c r="NAK49" s="16"/>
      <c r="NAL49" s="16"/>
      <c r="NAM49" s="16"/>
      <c r="NAN49" s="16"/>
      <c r="NAO49" s="16"/>
      <c r="NAP49" s="16"/>
      <c r="NAQ49" s="16"/>
      <c r="NAR49" s="16"/>
      <c r="NAS49" s="16"/>
      <c r="NAT49" s="16"/>
      <c r="NAU49" s="16"/>
      <c r="NAV49" s="16"/>
      <c r="NAW49" s="16"/>
      <c r="NAX49" s="16"/>
      <c r="NAY49" s="16"/>
      <c r="NAZ49" s="16"/>
      <c r="NBA49" s="16"/>
      <c r="NBB49" s="16"/>
      <c r="NBC49" s="16"/>
      <c r="NBD49" s="16"/>
      <c r="NBE49" s="16"/>
      <c r="NBF49" s="16"/>
      <c r="NBG49" s="16"/>
      <c r="NBH49" s="16"/>
      <c r="NBI49" s="16"/>
      <c r="NBJ49" s="16"/>
      <c r="NBK49" s="16"/>
      <c r="NBL49" s="16"/>
      <c r="NBM49" s="16"/>
      <c r="NBN49" s="16"/>
      <c r="NBO49" s="16"/>
      <c r="NBP49" s="16"/>
      <c r="NBQ49" s="16"/>
      <c r="NBR49" s="16"/>
      <c r="NBS49" s="16"/>
      <c r="NBT49" s="16"/>
      <c r="NBU49" s="16"/>
      <c r="NBV49" s="16"/>
      <c r="NBW49" s="16"/>
      <c r="NBX49" s="16"/>
      <c r="NBY49" s="16"/>
      <c r="NBZ49" s="16"/>
      <c r="NCA49" s="16"/>
      <c r="NCB49" s="16"/>
      <c r="NCC49" s="16"/>
      <c r="NCD49" s="16"/>
      <c r="NCE49" s="16"/>
      <c r="NCF49" s="16"/>
      <c r="NCG49" s="16"/>
      <c r="NCH49" s="16"/>
      <c r="NCI49" s="16"/>
      <c r="NCJ49" s="16"/>
      <c r="NCK49" s="16"/>
      <c r="NCL49" s="16"/>
      <c r="NCM49" s="16"/>
      <c r="NCN49" s="16"/>
      <c r="NCO49" s="16"/>
      <c r="NCP49" s="16"/>
      <c r="NCQ49" s="16"/>
      <c r="NCR49" s="16"/>
      <c r="NCS49" s="16"/>
      <c r="NCT49" s="16"/>
      <c r="NCU49" s="16"/>
      <c r="NCV49" s="16"/>
      <c r="NCW49" s="16"/>
      <c r="NCX49" s="16"/>
      <c r="NCY49" s="16"/>
      <c r="NCZ49" s="16"/>
      <c r="NDA49" s="16"/>
      <c r="NDB49" s="16"/>
      <c r="NDC49" s="16"/>
      <c r="NDD49" s="16"/>
      <c r="NDE49" s="16"/>
      <c r="NDF49" s="16"/>
      <c r="NDG49" s="16"/>
      <c r="NDH49" s="16"/>
      <c r="NDI49" s="16"/>
      <c r="NDJ49" s="16"/>
      <c r="NDK49" s="16"/>
      <c r="NDL49" s="16"/>
      <c r="NDM49" s="16"/>
      <c r="NDN49" s="16"/>
      <c r="NDO49" s="16"/>
      <c r="NDP49" s="16"/>
      <c r="NDQ49" s="16"/>
      <c r="NDR49" s="16"/>
      <c r="NDS49" s="16"/>
      <c r="NDT49" s="16"/>
      <c r="NDU49" s="16"/>
      <c r="NDV49" s="16"/>
      <c r="NDW49" s="16"/>
      <c r="NDX49" s="16"/>
      <c r="NDY49" s="16"/>
      <c r="NDZ49" s="16"/>
      <c r="NEA49" s="16"/>
      <c r="NEB49" s="16"/>
      <c r="NEC49" s="16"/>
      <c r="NED49" s="16"/>
      <c r="NEE49" s="16"/>
      <c r="NEF49" s="16"/>
      <c r="NEG49" s="16"/>
      <c r="NEH49" s="16"/>
      <c r="NEI49" s="16"/>
      <c r="NEJ49" s="16"/>
      <c r="NEK49" s="16"/>
      <c r="NEL49" s="16"/>
      <c r="NEM49" s="16"/>
      <c r="NEN49" s="16"/>
      <c r="NEO49" s="16"/>
      <c r="NEP49" s="16"/>
      <c r="NEQ49" s="16"/>
      <c r="NER49" s="16"/>
      <c r="NES49" s="16"/>
      <c r="NET49" s="16"/>
      <c r="NEU49" s="16"/>
      <c r="NEV49" s="16"/>
      <c r="NEW49" s="16"/>
      <c r="NEX49" s="16"/>
      <c r="NEY49" s="16"/>
      <c r="NEZ49" s="16"/>
      <c r="NFA49" s="16"/>
      <c r="NFB49" s="16"/>
      <c r="NFC49" s="16"/>
      <c r="NFD49" s="16"/>
      <c r="NFE49" s="16"/>
      <c r="NFF49" s="16"/>
      <c r="NFG49" s="16"/>
      <c r="NFH49" s="16"/>
      <c r="NFI49" s="16"/>
      <c r="NFJ49" s="16"/>
      <c r="NFK49" s="16"/>
      <c r="NFL49" s="16"/>
      <c r="NFM49" s="16"/>
      <c r="NFN49" s="16"/>
      <c r="NFO49" s="16"/>
      <c r="NFP49" s="16"/>
      <c r="NFQ49" s="16"/>
      <c r="NFR49" s="16"/>
      <c r="NFS49" s="16"/>
      <c r="NFT49" s="16"/>
      <c r="NFU49" s="16"/>
      <c r="NFV49" s="16"/>
      <c r="NFW49" s="16"/>
      <c r="NFX49" s="16"/>
      <c r="NFY49" s="16"/>
      <c r="NFZ49" s="16"/>
      <c r="NGA49" s="16"/>
      <c r="NGB49" s="16"/>
      <c r="NGC49" s="16"/>
      <c r="NGD49" s="16"/>
      <c r="NGE49" s="16"/>
      <c r="NGF49" s="16"/>
      <c r="NGG49" s="16"/>
      <c r="NGH49" s="16"/>
      <c r="NGI49" s="16"/>
      <c r="NGJ49" s="16"/>
      <c r="NGK49" s="16"/>
      <c r="NGL49" s="16"/>
      <c r="NGM49" s="16"/>
      <c r="NGN49" s="16"/>
      <c r="NGO49" s="16"/>
      <c r="NGP49" s="16"/>
      <c r="NGQ49" s="16"/>
      <c r="NGR49" s="16"/>
      <c r="NGS49" s="16"/>
      <c r="NGT49" s="16"/>
      <c r="NGU49" s="16"/>
      <c r="NGV49" s="16"/>
      <c r="NGW49" s="16"/>
      <c r="NGX49" s="16"/>
      <c r="NGY49" s="16"/>
      <c r="NGZ49" s="16"/>
      <c r="NHA49" s="16"/>
      <c r="NHB49" s="16"/>
      <c r="NHC49" s="16"/>
      <c r="NHD49" s="16"/>
      <c r="NHE49" s="16"/>
      <c r="NHF49" s="16"/>
      <c r="NHG49" s="16"/>
      <c r="NHH49" s="16"/>
      <c r="NHI49" s="16"/>
      <c r="NHJ49" s="16"/>
      <c r="NHK49" s="16"/>
      <c r="NHL49" s="16"/>
      <c r="NHM49" s="16"/>
      <c r="NHN49" s="16"/>
      <c r="NHO49" s="16"/>
      <c r="NHP49" s="16"/>
      <c r="NHQ49" s="16"/>
      <c r="NHR49" s="16"/>
      <c r="NHS49" s="16"/>
      <c r="NHT49" s="16"/>
      <c r="NHU49" s="16"/>
      <c r="NHV49" s="16"/>
      <c r="NHW49" s="16"/>
      <c r="NHX49" s="16"/>
      <c r="NHY49" s="16"/>
      <c r="NHZ49" s="16"/>
      <c r="NIA49" s="16"/>
      <c r="NIB49" s="16"/>
      <c r="NIC49" s="16"/>
      <c r="NID49" s="16"/>
      <c r="NIE49" s="16"/>
      <c r="NIF49" s="16"/>
      <c r="NIG49" s="16"/>
      <c r="NIH49" s="16"/>
      <c r="NII49" s="16"/>
      <c r="NIJ49" s="16"/>
      <c r="NIK49" s="16"/>
      <c r="NIL49" s="16"/>
      <c r="NIM49" s="16"/>
      <c r="NIN49" s="16"/>
      <c r="NIO49" s="16"/>
      <c r="NIP49" s="16"/>
      <c r="NIQ49" s="16"/>
      <c r="NIR49" s="16"/>
      <c r="NIS49" s="16"/>
      <c r="NIT49" s="16"/>
      <c r="NIU49" s="16"/>
      <c r="NIV49" s="16"/>
      <c r="NIW49" s="16"/>
      <c r="NIX49" s="16"/>
      <c r="NIY49" s="16"/>
      <c r="NIZ49" s="16"/>
      <c r="NJA49" s="16"/>
      <c r="NJB49" s="16"/>
      <c r="NJC49" s="16"/>
      <c r="NJD49" s="16"/>
      <c r="NJE49" s="16"/>
      <c r="NJF49" s="16"/>
      <c r="NJG49" s="16"/>
      <c r="NJH49" s="16"/>
      <c r="NJI49" s="16"/>
      <c r="NJJ49" s="16"/>
      <c r="NJK49" s="16"/>
      <c r="NJL49" s="16"/>
      <c r="NJM49" s="16"/>
      <c r="NJN49" s="16"/>
      <c r="NJO49" s="16"/>
      <c r="NJP49" s="16"/>
      <c r="NJQ49" s="16"/>
      <c r="NJR49" s="16"/>
      <c r="NJS49" s="16"/>
      <c r="NJT49" s="16"/>
      <c r="NJU49" s="16"/>
      <c r="NJV49" s="16"/>
      <c r="NJW49" s="16"/>
      <c r="NJX49" s="16"/>
      <c r="NJY49" s="16"/>
      <c r="NJZ49" s="16"/>
      <c r="NKA49" s="16"/>
      <c r="NKB49" s="16"/>
      <c r="NKC49" s="16"/>
      <c r="NKD49" s="16"/>
      <c r="NKE49" s="16"/>
      <c r="NKF49" s="16"/>
      <c r="NKG49" s="16"/>
      <c r="NKH49" s="16"/>
      <c r="NKI49" s="16"/>
      <c r="NKJ49" s="16"/>
      <c r="NKK49" s="16"/>
      <c r="NKL49" s="16"/>
      <c r="NKM49" s="16"/>
      <c r="NKN49" s="16"/>
      <c r="NKO49" s="16"/>
      <c r="NKP49" s="16"/>
      <c r="NKQ49" s="16"/>
      <c r="NKR49" s="16"/>
      <c r="NKS49" s="16"/>
      <c r="NKT49" s="16"/>
      <c r="NKU49" s="16"/>
      <c r="NKV49" s="16"/>
      <c r="NKW49" s="16"/>
      <c r="NKX49" s="16"/>
      <c r="NKY49" s="16"/>
      <c r="NKZ49" s="16"/>
      <c r="NLA49" s="16"/>
      <c r="NLB49" s="16"/>
      <c r="NLC49" s="16"/>
      <c r="NLD49" s="16"/>
      <c r="NLE49" s="16"/>
      <c r="NLF49" s="16"/>
      <c r="NLG49" s="16"/>
      <c r="NLH49" s="16"/>
      <c r="NLI49" s="16"/>
      <c r="NLJ49" s="16"/>
      <c r="NLK49" s="16"/>
      <c r="NLL49" s="16"/>
      <c r="NLM49" s="16"/>
      <c r="NLN49" s="16"/>
      <c r="NLO49" s="16"/>
      <c r="NLP49" s="16"/>
      <c r="NLQ49" s="16"/>
      <c r="NLR49" s="16"/>
      <c r="NLS49" s="16"/>
      <c r="NLT49" s="16"/>
      <c r="NLU49" s="16"/>
      <c r="NLV49" s="16"/>
      <c r="NLW49" s="16"/>
      <c r="NLX49" s="16"/>
      <c r="NLY49" s="16"/>
      <c r="NLZ49" s="16"/>
      <c r="NMA49" s="16"/>
      <c r="NMB49" s="16"/>
      <c r="NMC49" s="16"/>
      <c r="NMD49" s="16"/>
      <c r="NME49" s="16"/>
      <c r="NMF49" s="16"/>
      <c r="NMG49" s="16"/>
      <c r="NMH49" s="16"/>
      <c r="NMI49" s="16"/>
      <c r="NMJ49" s="16"/>
      <c r="NMK49" s="16"/>
      <c r="NML49" s="16"/>
      <c r="NMM49" s="16"/>
      <c r="NMN49" s="16"/>
      <c r="NMO49" s="16"/>
      <c r="NMP49" s="16"/>
      <c r="NMQ49" s="16"/>
      <c r="NMR49" s="16"/>
      <c r="NMS49" s="16"/>
      <c r="NMT49" s="16"/>
      <c r="NMU49" s="16"/>
      <c r="NMV49" s="16"/>
      <c r="NMW49" s="16"/>
      <c r="NMX49" s="16"/>
      <c r="NMY49" s="16"/>
      <c r="NMZ49" s="16"/>
      <c r="NNA49" s="16"/>
      <c r="NNB49" s="16"/>
      <c r="NNC49" s="16"/>
      <c r="NND49" s="16"/>
      <c r="NNE49" s="16"/>
      <c r="NNF49" s="16"/>
      <c r="NNG49" s="16"/>
      <c r="NNH49" s="16"/>
      <c r="NNI49" s="16"/>
      <c r="NNJ49" s="16"/>
      <c r="NNK49" s="16"/>
      <c r="NNL49" s="16"/>
      <c r="NNM49" s="16"/>
      <c r="NNN49" s="16"/>
      <c r="NNO49" s="16"/>
      <c r="NNP49" s="16"/>
      <c r="NNQ49" s="16"/>
      <c r="NNR49" s="16"/>
      <c r="NNS49" s="16"/>
      <c r="NNT49" s="16"/>
      <c r="NNU49" s="16"/>
      <c r="NNV49" s="16"/>
      <c r="NNW49" s="16"/>
      <c r="NNX49" s="16"/>
      <c r="NNY49" s="16"/>
      <c r="NNZ49" s="16"/>
      <c r="NOA49" s="16"/>
      <c r="NOB49" s="16"/>
      <c r="NOC49" s="16"/>
      <c r="NOD49" s="16"/>
      <c r="NOE49" s="16"/>
      <c r="NOF49" s="16"/>
      <c r="NOG49" s="16"/>
      <c r="NOH49" s="16"/>
      <c r="NOI49" s="16"/>
      <c r="NOJ49" s="16"/>
      <c r="NOK49" s="16"/>
      <c r="NOL49" s="16"/>
      <c r="NOM49" s="16"/>
      <c r="NON49" s="16"/>
      <c r="NOO49" s="16"/>
      <c r="NOP49" s="16"/>
      <c r="NOQ49" s="16"/>
      <c r="NOR49" s="16"/>
      <c r="NOS49" s="16"/>
      <c r="NOT49" s="16"/>
      <c r="NOU49" s="16"/>
      <c r="NOV49" s="16"/>
      <c r="NOW49" s="16"/>
      <c r="NOX49" s="16"/>
      <c r="NOY49" s="16"/>
      <c r="NOZ49" s="16"/>
      <c r="NPA49" s="16"/>
      <c r="NPB49" s="16"/>
      <c r="NPC49" s="16"/>
      <c r="NPD49" s="16"/>
      <c r="NPE49" s="16"/>
      <c r="NPF49" s="16"/>
      <c r="NPG49" s="16"/>
      <c r="NPH49" s="16"/>
      <c r="NPI49" s="16"/>
      <c r="NPJ49" s="16"/>
      <c r="NPK49" s="16"/>
      <c r="NPL49" s="16"/>
      <c r="NPM49" s="16"/>
      <c r="NPN49" s="16"/>
      <c r="NPO49" s="16"/>
      <c r="NPP49" s="16"/>
      <c r="NPQ49" s="16"/>
      <c r="NPR49" s="16"/>
      <c r="NPS49" s="16"/>
      <c r="NPT49" s="16"/>
      <c r="NPU49" s="16"/>
      <c r="NPV49" s="16"/>
      <c r="NPW49" s="16"/>
      <c r="NPX49" s="16"/>
      <c r="NPY49" s="16"/>
      <c r="NPZ49" s="16"/>
      <c r="NQA49" s="16"/>
      <c r="NQB49" s="16"/>
      <c r="NQC49" s="16"/>
      <c r="NQD49" s="16"/>
      <c r="NQE49" s="16"/>
      <c r="NQF49" s="16"/>
      <c r="NQG49" s="16"/>
      <c r="NQH49" s="16"/>
      <c r="NQI49" s="16"/>
      <c r="NQJ49" s="16"/>
      <c r="NQK49" s="16"/>
      <c r="NQL49" s="16"/>
      <c r="NQM49" s="16"/>
      <c r="NQN49" s="16"/>
      <c r="NQO49" s="16"/>
      <c r="NQP49" s="16"/>
      <c r="NQQ49" s="16"/>
      <c r="NQR49" s="16"/>
      <c r="NQS49" s="16"/>
      <c r="NQT49" s="16"/>
      <c r="NQU49" s="16"/>
      <c r="NQV49" s="16"/>
      <c r="NQW49" s="16"/>
      <c r="NQX49" s="16"/>
      <c r="NQY49" s="16"/>
      <c r="NQZ49" s="16"/>
      <c r="NRA49" s="16"/>
      <c r="NRB49" s="16"/>
      <c r="NRC49" s="16"/>
      <c r="NRD49" s="16"/>
      <c r="NRE49" s="16"/>
      <c r="NRF49" s="16"/>
      <c r="NRG49" s="16"/>
      <c r="NRH49" s="16"/>
      <c r="NRI49" s="16"/>
      <c r="NRJ49" s="16"/>
      <c r="NRK49" s="16"/>
      <c r="NRL49" s="16"/>
      <c r="NRM49" s="16"/>
      <c r="NRN49" s="16"/>
      <c r="NRO49" s="16"/>
      <c r="NRP49" s="16"/>
      <c r="NRQ49" s="16"/>
      <c r="NRR49" s="16"/>
      <c r="NRS49" s="16"/>
      <c r="NRT49" s="16"/>
      <c r="NRU49" s="16"/>
      <c r="NRV49" s="16"/>
      <c r="NRW49" s="16"/>
      <c r="NRX49" s="16"/>
      <c r="NRY49" s="16"/>
      <c r="NRZ49" s="16"/>
      <c r="NSA49" s="16"/>
      <c r="NSB49" s="16"/>
      <c r="NSC49" s="16"/>
      <c r="NSD49" s="16"/>
      <c r="NSE49" s="16"/>
      <c r="NSF49" s="16"/>
      <c r="NSG49" s="16"/>
      <c r="NSH49" s="16"/>
      <c r="NSI49" s="16"/>
      <c r="NSJ49" s="16"/>
      <c r="NSK49" s="16"/>
      <c r="NSL49" s="16"/>
      <c r="NSM49" s="16"/>
      <c r="NSN49" s="16"/>
      <c r="NSO49" s="16"/>
      <c r="NSP49" s="16"/>
      <c r="NSQ49" s="16"/>
      <c r="NSR49" s="16"/>
      <c r="NSS49" s="16"/>
      <c r="NST49" s="16"/>
      <c r="NSU49" s="16"/>
      <c r="NSV49" s="16"/>
      <c r="NSW49" s="16"/>
      <c r="NSX49" s="16"/>
      <c r="NSY49" s="16"/>
      <c r="NSZ49" s="16"/>
      <c r="NTA49" s="16"/>
      <c r="NTB49" s="16"/>
      <c r="NTC49" s="16"/>
      <c r="NTD49" s="16"/>
      <c r="NTE49" s="16"/>
      <c r="NTF49" s="16"/>
      <c r="NTG49" s="16"/>
      <c r="NTH49" s="16"/>
      <c r="NTI49" s="16"/>
      <c r="NTJ49" s="16"/>
      <c r="NTK49" s="16"/>
      <c r="NTL49" s="16"/>
      <c r="NTM49" s="16"/>
      <c r="NTN49" s="16"/>
      <c r="NTO49" s="16"/>
      <c r="NTP49" s="16"/>
      <c r="NTQ49" s="16"/>
      <c r="NTR49" s="16"/>
      <c r="NTS49" s="16"/>
      <c r="NTT49" s="16"/>
      <c r="NTU49" s="16"/>
      <c r="NTV49" s="16"/>
      <c r="NTW49" s="16"/>
      <c r="NTX49" s="16"/>
      <c r="NTY49" s="16"/>
      <c r="NTZ49" s="16"/>
      <c r="NUA49" s="16"/>
      <c r="NUB49" s="16"/>
      <c r="NUC49" s="16"/>
      <c r="NUD49" s="16"/>
      <c r="NUE49" s="16"/>
      <c r="NUF49" s="16"/>
      <c r="NUG49" s="16"/>
      <c r="NUH49" s="16"/>
      <c r="NUI49" s="16"/>
      <c r="NUJ49" s="16"/>
      <c r="NUK49" s="16"/>
      <c r="NUL49" s="16"/>
      <c r="NUM49" s="16"/>
      <c r="NUN49" s="16"/>
      <c r="NUO49" s="16"/>
      <c r="NUP49" s="16"/>
      <c r="NUQ49" s="16"/>
      <c r="NUR49" s="16"/>
      <c r="NUS49" s="16"/>
      <c r="NUT49" s="16"/>
      <c r="NUU49" s="16"/>
      <c r="NUV49" s="16"/>
      <c r="NUW49" s="16"/>
      <c r="NUX49" s="16"/>
      <c r="NUY49" s="16"/>
      <c r="NUZ49" s="16"/>
      <c r="NVA49" s="16"/>
      <c r="NVB49" s="16"/>
      <c r="NVC49" s="16"/>
      <c r="NVD49" s="16"/>
      <c r="NVE49" s="16"/>
      <c r="NVF49" s="16"/>
      <c r="NVG49" s="16"/>
      <c r="NVH49" s="16"/>
      <c r="NVI49" s="16"/>
      <c r="NVJ49" s="16"/>
      <c r="NVK49" s="16"/>
      <c r="NVL49" s="16"/>
      <c r="NVM49" s="16"/>
      <c r="NVN49" s="16"/>
      <c r="NVO49" s="16"/>
      <c r="NVP49" s="16"/>
      <c r="NVQ49" s="16"/>
      <c r="NVR49" s="16"/>
      <c r="NVS49" s="16"/>
      <c r="NVT49" s="16"/>
      <c r="NVU49" s="16"/>
      <c r="NVV49" s="16"/>
      <c r="NVW49" s="16"/>
      <c r="NVX49" s="16"/>
      <c r="NVY49" s="16"/>
      <c r="NVZ49" s="16"/>
      <c r="NWA49" s="16"/>
      <c r="NWB49" s="16"/>
      <c r="NWC49" s="16"/>
      <c r="NWD49" s="16"/>
      <c r="NWE49" s="16"/>
      <c r="NWF49" s="16"/>
      <c r="NWG49" s="16"/>
      <c r="NWH49" s="16"/>
      <c r="NWI49" s="16"/>
      <c r="NWJ49" s="16"/>
      <c r="NWK49" s="16"/>
      <c r="NWL49" s="16"/>
      <c r="NWM49" s="16"/>
      <c r="NWN49" s="16"/>
      <c r="NWO49" s="16"/>
      <c r="NWP49" s="16"/>
      <c r="NWQ49" s="16"/>
      <c r="NWR49" s="16"/>
      <c r="NWS49" s="16"/>
      <c r="NWT49" s="16"/>
      <c r="NWU49" s="16"/>
      <c r="NWV49" s="16"/>
      <c r="NWW49" s="16"/>
      <c r="NWX49" s="16"/>
      <c r="NWY49" s="16"/>
      <c r="NWZ49" s="16"/>
      <c r="NXA49" s="16"/>
      <c r="NXB49" s="16"/>
      <c r="NXC49" s="16"/>
      <c r="NXD49" s="16"/>
      <c r="NXE49" s="16"/>
      <c r="NXF49" s="16"/>
      <c r="NXG49" s="16"/>
      <c r="NXH49" s="16"/>
      <c r="NXI49" s="16"/>
      <c r="NXJ49" s="16"/>
      <c r="NXK49" s="16"/>
      <c r="NXL49" s="16"/>
      <c r="NXM49" s="16"/>
      <c r="NXN49" s="16"/>
      <c r="NXO49" s="16"/>
      <c r="NXP49" s="16"/>
      <c r="NXQ49" s="16"/>
      <c r="NXR49" s="16"/>
      <c r="NXS49" s="16"/>
      <c r="NXT49" s="16"/>
      <c r="NXU49" s="16"/>
      <c r="NXV49" s="16"/>
      <c r="NXW49" s="16"/>
      <c r="NXX49" s="16"/>
      <c r="NXY49" s="16"/>
      <c r="NXZ49" s="16"/>
      <c r="NYA49" s="16"/>
      <c r="NYB49" s="16"/>
      <c r="NYC49" s="16"/>
      <c r="NYD49" s="16"/>
      <c r="NYE49" s="16"/>
      <c r="NYF49" s="16"/>
      <c r="NYG49" s="16"/>
      <c r="NYH49" s="16"/>
      <c r="NYI49" s="16"/>
      <c r="NYJ49" s="16"/>
      <c r="NYK49" s="16"/>
      <c r="NYL49" s="16"/>
      <c r="NYM49" s="16"/>
      <c r="NYN49" s="16"/>
      <c r="NYO49" s="16"/>
      <c r="NYP49" s="16"/>
      <c r="NYQ49" s="16"/>
      <c r="NYR49" s="16"/>
      <c r="NYS49" s="16"/>
      <c r="NYT49" s="16"/>
      <c r="NYU49" s="16"/>
      <c r="NYV49" s="16"/>
      <c r="NYW49" s="16"/>
      <c r="NYX49" s="16"/>
      <c r="NYY49" s="16"/>
      <c r="NYZ49" s="16"/>
      <c r="NZA49" s="16"/>
      <c r="NZB49" s="16"/>
      <c r="NZC49" s="16"/>
      <c r="NZD49" s="16"/>
      <c r="NZE49" s="16"/>
      <c r="NZF49" s="16"/>
      <c r="NZG49" s="16"/>
      <c r="NZH49" s="16"/>
      <c r="NZI49" s="16"/>
      <c r="NZJ49" s="16"/>
      <c r="NZK49" s="16"/>
      <c r="NZL49" s="16"/>
      <c r="NZM49" s="16"/>
      <c r="NZN49" s="16"/>
      <c r="NZO49" s="16"/>
      <c r="NZP49" s="16"/>
      <c r="NZQ49" s="16"/>
      <c r="NZR49" s="16"/>
      <c r="NZS49" s="16"/>
      <c r="NZT49" s="16"/>
      <c r="NZU49" s="16"/>
      <c r="NZV49" s="16"/>
      <c r="NZW49" s="16"/>
      <c r="NZX49" s="16"/>
      <c r="NZY49" s="16"/>
      <c r="NZZ49" s="16"/>
      <c r="OAA49" s="16"/>
      <c r="OAB49" s="16"/>
      <c r="OAC49" s="16"/>
      <c r="OAD49" s="16"/>
      <c r="OAE49" s="16"/>
      <c r="OAF49" s="16"/>
      <c r="OAG49" s="16"/>
      <c r="OAH49" s="16"/>
      <c r="OAI49" s="16"/>
      <c r="OAJ49" s="16"/>
      <c r="OAK49" s="16"/>
      <c r="OAL49" s="16"/>
      <c r="OAM49" s="16"/>
      <c r="OAN49" s="16"/>
      <c r="OAO49" s="16"/>
      <c r="OAP49" s="16"/>
      <c r="OAQ49" s="16"/>
      <c r="OAR49" s="16"/>
      <c r="OAS49" s="16"/>
      <c r="OAT49" s="16"/>
      <c r="OAU49" s="16"/>
      <c r="OAV49" s="16"/>
      <c r="OAW49" s="16"/>
      <c r="OAX49" s="16"/>
      <c r="OAY49" s="16"/>
      <c r="OAZ49" s="16"/>
      <c r="OBA49" s="16"/>
      <c r="OBB49" s="16"/>
      <c r="OBC49" s="16"/>
      <c r="OBD49" s="16"/>
      <c r="OBE49" s="16"/>
      <c r="OBF49" s="16"/>
      <c r="OBG49" s="16"/>
      <c r="OBH49" s="16"/>
      <c r="OBI49" s="16"/>
      <c r="OBJ49" s="16"/>
      <c r="OBK49" s="16"/>
      <c r="OBL49" s="16"/>
      <c r="OBM49" s="16"/>
      <c r="OBN49" s="16"/>
      <c r="OBO49" s="16"/>
      <c r="OBP49" s="16"/>
      <c r="OBQ49" s="16"/>
      <c r="OBR49" s="16"/>
      <c r="OBS49" s="16"/>
      <c r="OBT49" s="16"/>
      <c r="OBU49" s="16"/>
      <c r="OBV49" s="16"/>
      <c r="OBW49" s="16"/>
      <c r="OBX49" s="16"/>
      <c r="OBY49" s="16"/>
      <c r="OBZ49" s="16"/>
      <c r="OCA49" s="16"/>
      <c r="OCB49" s="16"/>
      <c r="OCC49" s="16"/>
      <c r="OCD49" s="16"/>
      <c r="OCE49" s="16"/>
      <c r="OCF49" s="16"/>
      <c r="OCG49" s="16"/>
      <c r="OCH49" s="16"/>
      <c r="OCI49" s="16"/>
      <c r="OCJ49" s="16"/>
      <c r="OCK49" s="16"/>
      <c r="OCL49" s="16"/>
      <c r="OCM49" s="16"/>
      <c r="OCN49" s="16"/>
      <c r="OCO49" s="16"/>
      <c r="OCP49" s="16"/>
      <c r="OCQ49" s="16"/>
      <c r="OCR49" s="16"/>
      <c r="OCS49" s="16"/>
      <c r="OCT49" s="16"/>
      <c r="OCU49" s="16"/>
      <c r="OCV49" s="16"/>
      <c r="OCW49" s="16"/>
      <c r="OCX49" s="16"/>
      <c r="OCY49" s="16"/>
      <c r="OCZ49" s="16"/>
      <c r="ODA49" s="16"/>
      <c r="ODB49" s="16"/>
      <c r="ODC49" s="16"/>
      <c r="ODD49" s="16"/>
      <c r="ODE49" s="16"/>
      <c r="ODF49" s="16"/>
      <c r="ODG49" s="16"/>
      <c r="ODH49" s="16"/>
      <c r="ODI49" s="16"/>
      <c r="ODJ49" s="16"/>
      <c r="ODK49" s="16"/>
      <c r="ODL49" s="16"/>
      <c r="ODM49" s="16"/>
      <c r="ODN49" s="16"/>
      <c r="ODO49" s="16"/>
      <c r="ODP49" s="16"/>
      <c r="ODQ49" s="16"/>
      <c r="ODR49" s="16"/>
      <c r="ODS49" s="16"/>
      <c r="ODT49" s="16"/>
      <c r="ODU49" s="16"/>
      <c r="ODV49" s="16"/>
      <c r="ODW49" s="16"/>
      <c r="ODX49" s="16"/>
      <c r="ODY49" s="16"/>
      <c r="ODZ49" s="16"/>
      <c r="OEA49" s="16"/>
      <c r="OEB49" s="16"/>
      <c r="OEC49" s="16"/>
      <c r="OED49" s="16"/>
      <c r="OEE49" s="16"/>
      <c r="OEF49" s="16"/>
      <c r="OEG49" s="16"/>
      <c r="OEH49" s="16"/>
      <c r="OEI49" s="16"/>
      <c r="OEJ49" s="16"/>
      <c r="OEK49" s="16"/>
      <c r="OEL49" s="16"/>
      <c r="OEM49" s="16"/>
      <c r="OEN49" s="16"/>
      <c r="OEO49" s="16"/>
      <c r="OEP49" s="16"/>
      <c r="OEQ49" s="16"/>
      <c r="OER49" s="16"/>
      <c r="OES49" s="16"/>
      <c r="OET49" s="16"/>
      <c r="OEU49" s="16"/>
      <c r="OEV49" s="16"/>
      <c r="OEW49" s="16"/>
      <c r="OEX49" s="16"/>
      <c r="OEY49" s="16"/>
      <c r="OEZ49" s="16"/>
      <c r="OFA49" s="16"/>
      <c r="OFB49" s="16"/>
      <c r="OFC49" s="16"/>
      <c r="OFD49" s="16"/>
      <c r="OFE49" s="16"/>
      <c r="OFF49" s="16"/>
      <c r="OFG49" s="16"/>
      <c r="OFH49" s="16"/>
      <c r="OFI49" s="16"/>
      <c r="OFJ49" s="16"/>
      <c r="OFK49" s="16"/>
      <c r="OFL49" s="16"/>
      <c r="OFM49" s="16"/>
      <c r="OFN49" s="16"/>
      <c r="OFO49" s="16"/>
      <c r="OFP49" s="16"/>
      <c r="OFQ49" s="16"/>
      <c r="OFR49" s="16"/>
      <c r="OFS49" s="16"/>
      <c r="OFT49" s="16"/>
      <c r="OFU49" s="16"/>
      <c r="OFV49" s="16"/>
      <c r="OFW49" s="16"/>
      <c r="OFX49" s="16"/>
      <c r="OFY49" s="16"/>
      <c r="OFZ49" s="16"/>
      <c r="OGA49" s="16"/>
      <c r="OGB49" s="16"/>
      <c r="OGC49" s="16"/>
      <c r="OGD49" s="16"/>
      <c r="OGE49" s="16"/>
      <c r="OGF49" s="16"/>
      <c r="OGG49" s="16"/>
      <c r="OGH49" s="16"/>
      <c r="OGI49" s="16"/>
      <c r="OGJ49" s="16"/>
      <c r="OGK49" s="16"/>
      <c r="OGL49" s="16"/>
      <c r="OGM49" s="16"/>
      <c r="OGN49" s="16"/>
      <c r="OGO49" s="16"/>
      <c r="OGP49" s="16"/>
      <c r="OGQ49" s="16"/>
      <c r="OGR49" s="16"/>
      <c r="OGS49" s="16"/>
      <c r="OGT49" s="16"/>
      <c r="OGU49" s="16"/>
      <c r="OGV49" s="16"/>
      <c r="OGW49" s="16"/>
      <c r="OGX49" s="16"/>
      <c r="OGY49" s="16"/>
      <c r="OGZ49" s="16"/>
      <c r="OHA49" s="16"/>
      <c r="OHB49" s="16"/>
      <c r="OHC49" s="16"/>
      <c r="OHD49" s="16"/>
      <c r="OHE49" s="16"/>
      <c r="OHF49" s="16"/>
      <c r="OHG49" s="16"/>
      <c r="OHH49" s="16"/>
      <c r="OHI49" s="16"/>
      <c r="OHJ49" s="16"/>
      <c r="OHK49" s="16"/>
      <c r="OHL49" s="16"/>
      <c r="OHM49" s="16"/>
      <c r="OHN49" s="16"/>
      <c r="OHO49" s="16"/>
      <c r="OHP49" s="16"/>
      <c r="OHQ49" s="16"/>
      <c r="OHR49" s="16"/>
      <c r="OHS49" s="16"/>
      <c r="OHT49" s="16"/>
      <c r="OHU49" s="16"/>
      <c r="OHV49" s="16"/>
      <c r="OHW49" s="16"/>
      <c r="OHX49" s="16"/>
      <c r="OHY49" s="16"/>
      <c r="OHZ49" s="16"/>
      <c r="OIA49" s="16"/>
      <c r="OIB49" s="16"/>
      <c r="OIC49" s="16"/>
      <c r="OID49" s="16"/>
      <c r="OIE49" s="16"/>
      <c r="OIF49" s="16"/>
      <c r="OIG49" s="16"/>
      <c r="OIH49" s="16"/>
      <c r="OII49" s="16"/>
      <c r="OIJ49" s="16"/>
      <c r="OIK49" s="16"/>
      <c r="OIL49" s="16"/>
      <c r="OIM49" s="16"/>
      <c r="OIN49" s="16"/>
      <c r="OIO49" s="16"/>
      <c r="OIP49" s="16"/>
      <c r="OIQ49" s="16"/>
      <c r="OIR49" s="16"/>
      <c r="OIS49" s="16"/>
      <c r="OIT49" s="16"/>
      <c r="OIU49" s="16"/>
      <c r="OIV49" s="16"/>
      <c r="OIW49" s="16"/>
      <c r="OIX49" s="16"/>
      <c r="OIY49" s="16"/>
      <c r="OIZ49" s="16"/>
      <c r="OJA49" s="16"/>
      <c r="OJB49" s="16"/>
      <c r="OJC49" s="16"/>
      <c r="OJD49" s="16"/>
      <c r="OJE49" s="16"/>
      <c r="OJF49" s="16"/>
      <c r="OJG49" s="16"/>
      <c r="OJH49" s="16"/>
      <c r="OJI49" s="16"/>
      <c r="OJJ49" s="16"/>
      <c r="OJK49" s="16"/>
      <c r="OJL49" s="16"/>
      <c r="OJM49" s="16"/>
      <c r="OJN49" s="16"/>
      <c r="OJO49" s="16"/>
      <c r="OJP49" s="16"/>
      <c r="OJQ49" s="16"/>
      <c r="OJR49" s="16"/>
      <c r="OJS49" s="16"/>
      <c r="OJT49" s="16"/>
      <c r="OJU49" s="16"/>
      <c r="OJV49" s="16"/>
      <c r="OJW49" s="16"/>
      <c r="OJX49" s="16"/>
      <c r="OJY49" s="16"/>
      <c r="OJZ49" s="16"/>
      <c r="OKA49" s="16"/>
      <c r="OKB49" s="16"/>
      <c r="OKC49" s="16"/>
      <c r="OKD49" s="16"/>
      <c r="OKE49" s="16"/>
      <c r="OKF49" s="16"/>
      <c r="OKG49" s="16"/>
      <c r="OKH49" s="16"/>
      <c r="OKI49" s="16"/>
      <c r="OKJ49" s="16"/>
      <c r="OKK49" s="16"/>
      <c r="OKL49" s="16"/>
      <c r="OKM49" s="16"/>
      <c r="OKN49" s="16"/>
      <c r="OKO49" s="16"/>
      <c r="OKP49" s="16"/>
      <c r="OKQ49" s="16"/>
      <c r="OKR49" s="16"/>
      <c r="OKS49" s="16"/>
      <c r="OKT49" s="16"/>
      <c r="OKU49" s="16"/>
      <c r="OKV49" s="16"/>
      <c r="OKW49" s="16"/>
      <c r="OKX49" s="16"/>
      <c r="OKY49" s="16"/>
      <c r="OKZ49" s="16"/>
      <c r="OLA49" s="16"/>
      <c r="OLB49" s="16"/>
      <c r="OLC49" s="16"/>
      <c r="OLD49" s="16"/>
      <c r="OLE49" s="16"/>
      <c r="OLF49" s="16"/>
      <c r="OLG49" s="16"/>
      <c r="OLH49" s="16"/>
      <c r="OLI49" s="16"/>
      <c r="OLJ49" s="16"/>
      <c r="OLK49" s="16"/>
      <c r="OLL49" s="16"/>
      <c r="OLM49" s="16"/>
      <c r="OLN49" s="16"/>
      <c r="OLO49" s="16"/>
      <c r="OLP49" s="16"/>
      <c r="OLQ49" s="16"/>
      <c r="OLR49" s="16"/>
      <c r="OLS49" s="16"/>
      <c r="OLT49" s="16"/>
      <c r="OLU49" s="16"/>
      <c r="OLV49" s="16"/>
      <c r="OLW49" s="16"/>
      <c r="OLX49" s="16"/>
      <c r="OLY49" s="16"/>
      <c r="OLZ49" s="16"/>
      <c r="OMA49" s="16"/>
      <c r="OMB49" s="16"/>
      <c r="OMC49" s="16"/>
      <c r="OMD49" s="16"/>
      <c r="OME49" s="16"/>
      <c r="OMF49" s="16"/>
      <c r="OMG49" s="16"/>
      <c r="OMH49" s="16"/>
      <c r="OMI49" s="16"/>
      <c r="OMJ49" s="16"/>
      <c r="OMK49" s="16"/>
      <c r="OML49" s="16"/>
      <c r="OMM49" s="16"/>
      <c r="OMN49" s="16"/>
      <c r="OMO49" s="16"/>
      <c r="OMP49" s="16"/>
      <c r="OMQ49" s="16"/>
      <c r="OMR49" s="16"/>
      <c r="OMS49" s="16"/>
      <c r="OMT49" s="16"/>
      <c r="OMU49" s="16"/>
      <c r="OMV49" s="16"/>
      <c r="OMW49" s="16"/>
      <c r="OMX49" s="16"/>
      <c r="OMY49" s="16"/>
      <c r="OMZ49" s="16"/>
      <c r="ONA49" s="16"/>
      <c r="ONB49" s="16"/>
      <c r="ONC49" s="16"/>
      <c r="OND49" s="16"/>
      <c r="ONE49" s="16"/>
      <c r="ONF49" s="16"/>
      <c r="ONG49" s="16"/>
      <c r="ONH49" s="16"/>
      <c r="ONI49" s="16"/>
      <c r="ONJ49" s="16"/>
      <c r="ONK49" s="16"/>
      <c r="ONL49" s="16"/>
      <c r="ONM49" s="16"/>
      <c r="ONN49" s="16"/>
      <c r="ONO49" s="16"/>
      <c r="ONP49" s="16"/>
      <c r="ONQ49" s="16"/>
      <c r="ONR49" s="16"/>
      <c r="ONS49" s="16"/>
      <c r="ONT49" s="16"/>
      <c r="ONU49" s="16"/>
      <c r="ONV49" s="16"/>
      <c r="ONW49" s="16"/>
      <c r="ONX49" s="16"/>
      <c r="ONY49" s="16"/>
      <c r="ONZ49" s="16"/>
      <c r="OOA49" s="16"/>
      <c r="OOB49" s="16"/>
      <c r="OOC49" s="16"/>
      <c r="OOD49" s="16"/>
      <c r="OOE49" s="16"/>
      <c r="OOF49" s="16"/>
      <c r="OOG49" s="16"/>
      <c r="OOH49" s="16"/>
      <c r="OOI49" s="16"/>
      <c r="OOJ49" s="16"/>
      <c r="OOK49" s="16"/>
      <c r="OOL49" s="16"/>
      <c r="OOM49" s="16"/>
      <c r="OON49" s="16"/>
      <c r="OOO49" s="16"/>
      <c r="OOP49" s="16"/>
      <c r="OOQ49" s="16"/>
      <c r="OOR49" s="16"/>
      <c r="OOS49" s="16"/>
      <c r="OOT49" s="16"/>
      <c r="OOU49" s="16"/>
      <c r="OOV49" s="16"/>
      <c r="OOW49" s="16"/>
      <c r="OOX49" s="16"/>
      <c r="OOY49" s="16"/>
      <c r="OOZ49" s="16"/>
      <c r="OPA49" s="16"/>
      <c r="OPB49" s="16"/>
      <c r="OPC49" s="16"/>
      <c r="OPD49" s="16"/>
      <c r="OPE49" s="16"/>
      <c r="OPF49" s="16"/>
      <c r="OPG49" s="16"/>
      <c r="OPH49" s="16"/>
      <c r="OPI49" s="16"/>
      <c r="OPJ49" s="16"/>
      <c r="OPK49" s="16"/>
      <c r="OPL49" s="16"/>
      <c r="OPM49" s="16"/>
      <c r="OPN49" s="16"/>
      <c r="OPO49" s="16"/>
      <c r="OPP49" s="16"/>
      <c r="OPQ49" s="16"/>
      <c r="OPR49" s="16"/>
      <c r="OPS49" s="16"/>
      <c r="OPT49" s="16"/>
      <c r="OPU49" s="16"/>
      <c r="OPV49" s="16"/>
      <c r="OPW49" s="16"/>
      <c r="OPX49" s="16"/>
      <c r="OPY49" s="16"/>
      <c r="OPZ49" s="16"/>
      <c r="OQA49" s="16"/>
      <c r="OQB49" s="16"/>
      <c r="OQC49" s="16"/>
      <c r="OQD49" s="16"/>
      <c r="OQE49" s="16"/>
      <c r="OQF49" s="16"/>
      <c r="OQG49" s="16"/>
      <c r="OQH49" s="16"/>
      <c r="OQI49" s="16"/>
      <c r="OQJ49" s="16"/>
      <c r="OQK49" s="16"/>
      <c r="OQL49" s="16"/>
      <c r="OQM49" s="16"/>
      <c r="OQN49" s="16"/>
      <c r="OQO49" s="16"/>
      <c r="OQP49" s="16"/>
      <c r="OQQ49" s="16"/>
      <c r="OQR49" s="16"/>
      <c r="OQS49" s="16"/>
      <c r="OQT49" s="16"/>
      <c r="OQU49" s="16"/>
      <c r="OQV49" s="16"/>
      <c r="OQW49" s="16"/>
      <c r="OQX49" s="16"/>
      <c r="OQY49" s="16"/>
      <c r="OQZ49" s="16"/>
      <c r="ORA49" s="16"/>
      <c r="ORB49" s="16"/>
      <c r="ORC49" s="16"/>
      <c r="ORD49" s="16"/>
      <c r="ORE49" s="16"/>
      <c r="ORF49" s="16"/>
      <c r="ORG49" s="16"/>
      <c r="ORH49" s="16"/>
      <c r="ORI49" s="16"/>
      <c r="ORJ49" s="16"/>
      <c r="ORK49" s="16"/>
      <c r="ORL49" s="16"/>
      <c r="ORM49" s="16"/>
      <c r="ORN49" s="16"/>
      <c r="ORO49" s="16"/>
      <c r="ORP49" s="16"/>
      <c r="ORQ49" s="16"/>
      <c r="ORR49" s="16"/>
      <c r="ORS49" s="16"/>
      <c r="ORT49" s="16"/>
      <c r="ORU49" s="16"/>
      <c r="ORV49" s="16"/>
      <c r="ORW49" s="16"/>
      <c r="ORX49" s="16"/>
      <c r="ORY49" s="16"/>
      <c r="ORZ49" s="16"/>
      <c r="OSA49" s="16"/>
      <c r="OSB49" s="16"/>
      <c r="OSC49" s="16"/>
      <c r="OSD49" s="16"/>
      <c r="OSE49" s="16"/>
      <c r="OSF49" s="16"/>
      <c r="OSG49" s="16"/>
      <c r="OSH49" s="16"/>
      <c r="OSI49" s="16"/>
      <c r="OSJ49" s="16"/>
      <c r="OSK49" s="16"/>
      <c r="OSL49" s="16"/>
      <c r="OSM49" s="16"/>
      <c r="OSN49" s="16"/>
      <c r="OSO49" s="16"/>
      <c r="OSP49" s="16"/>
      <c r="OSQ49" s="16"/>
      <c r="OSR49" s="16"/>
      <c r="OSS49" s="16"/>
      <c r="OST49" s="16"/>
      <c r="OSU49" s="16"/>
      <c r="OSV49" s="16"/>
      <c r="OSW49" s="16"/>
      <c r="OSX49" s="16"/>
      <c r="OSY49" s="16"/>
      <c r="OSZ49" s="16"/>
      <c r="OTA49" s="16"/>
      <c r="OTB49" s="16"/>
      <c r="OTC49" s="16"/>
      <c r="OTD49" s="16"/>
      <c r="OTE49" s="16"/>
      <c r="OTF49" s="16"/>
      <c r="OTG49" s="16"/>
      <c r="OTH49" s="16"/>
      <c r="OTI49" s="16"/>
      <c r="OTJ49" s="16"/>
      <c r="OTK49" s="16"/>
      <c r="OTL49" s="16"/>
      <c r="OTM49" s="16"/>
      <c r="OTN49" s="16"/>
      <c r="OTO49" s="16"/>
      <c r="OTP49" s="16"/>
      <c r="OTQ49" s="16"/>
      <c r="OTR49" s="16"/>
      <c r="OTS49" s="16"/>
      <c r="OTT49" s="16"/>
      <c r="OTU49" s="16"/>
      <c r="OTV49" s="16"/>
      <c r="OTW49" s="16"/>
      <c r="OTX49" s="16"/>
      <c r="OTY49" s="16"/>
      <c r="OTZ49" s="16"/>
      <c r="OUA49" s="16"/>
      <c r="OUB49" s="16"/>
      <c r="OUC49" s="16"/>
      <c r="OUD49" s="16"/>
      <c r="OUE49" s="16"/>
      <c r="OUF49" s="16"/>
      <c r="OUG49" s="16"/>
      <c r="OUH49" s="16"/>
      <c r="OUI49" s="16"/>
      <c r="OUJ49" s="16"/>
      <c r="OUK49" s="16"/>
      <c r="OUL49" s="16"/>
      <c r="OUM49" s="16"/>
      <c r="OUN49" s="16"/>
      <c r="OUO49" s="16"/>
      <c r="OUP49" s="16"/>
      <c r="OUQ49" s="16"/>
      <c r="OUR49" s="16"/>
      <c r="OUS49" s="16"/>
      <c r="OUT49" s="16"/>
      <c r="OUU49" s="16"/>
      <c r="OUV49" s="16"/>
      <c r="OUW49" s="16"/>
      <c r="OUX49" s="16"/>
      <c r="OUY49" s="16"/>
      <c r="OUZ49" s="16"/>
      <c r="OVA49" s="16"/>
      <c r="OVB49" s="16"/>
      <c r="OVC49" s="16"/>
      <c r="OVD49" s="16"/>
      <c r="OVE49" s="16"/>
      <c r="OVF49" s="16"/>
      <c r="OVG49" s="16"/>
      <c r="OVH49" s="16"/>
      <c r="OVI49" s="16"/>
      <c r="OVJ49" s="16"/>
      <c r="OVK49" s="16"/>
      <c r="OVL49" s="16"/>
      <c r="OVM49" s="16"/>
      <c r="OVN49" s="16"/>
      <c r="OVO49" s="16"/>
      <c r="OVP49" s="16"/>
      <c r="OVQ49" s="16"/>
      <c r="OVR49" s="16"/>
      <c r="OVS49" s="16"/>
      <c r="OVT49" s="16"/>
      <c r="OVU49" s="16"/>
      <c r="OVV49" s="16"/>
      <c r="OVW49" s="16"/>
      <c r="OVX49" s="16"/>
      <c r="OVY49" s="16"/>
      <c r="OVZ49" s="16"/>
      <c r="OWA49" s="16"/>
      <c r="OWB49" s="16"/>
      <c r="OWC49" s="16"/>
      <c r="OWD49" s="16"/>
      <c r="OWE49" s="16"/>
      <c r="OWF49" s="16"/>
      <c r="OWG49" s="16"/>
      <c r="OWH49" s="16"/>
      <c r="OWI49" s="16"/>
      <c r="OWJ49" s="16"/>
      <c r="OWK49" s="16"/>
      <c r="OWL49" s="16"/>
      <c r="OWM49" s="16"/>
      <c r="OWN49" s="16"/>
      <c r="OWO49" s="16"/>
      <c r="OWP49" s="16"/>
      <c r="OWQ49" s="16"/>
      <c r="OWR49" s="16"/>
      <c r="OWS49" s="16"/>
      <c r="OWT49" s="16"/>
      <c r="OWU49" s="16"/>
      <c r="OWV49" s="16"/>
      <c r="OWW49" s="16"/>
      <c r="OWX49" s="16"/>
      <c r="OWY49" s="16"/>
      <c r="OWZ49" s="16"/>
      <c r="OXA49" s="16"/>
      <c r="OXB49" s="16"/>
      <c r="OXC49" s="16"/>
      <c r="OXD49" s="16"/>
      <c r="OXE49" s="16"/>
      <c r="OXF49" s="16"/>
      <c r="OXG49" s="16"/>
      <c r="OXH49" s="16"/>
      <c r="OXI49" s="16"/>
      <c r="OXJ49" s="16"/>
      <c r="OXK49" s="16"/>
      <c r="OXL49" s="16"/>
      <c r="OXM49" s="16"/>
      <c r="OXN49" s="16"/>
      <c r="OXO49" s="16"/>
      <c r="OXP49" s="16"/>
      <c r="OXQ49" s="16"/>
      <c r="OXR49" s="16"/>
      <c r="OXS49" s="16"/>
      <c r="OXT49" s="16"/>
      <c r="OXU49" s="16"/>
      <c r="OXV49" s="16"/>
      <c r="OXW49" s="16"/>
      <c r="OXX49" s="16"/>
      <c r="OXY49" s="16"/>
      <c r="OXZ49" s="16"/>
      <c r="OYA49" s="16"/>
      <c r="OYB49" s="16"/>
      <c r="OYC49" s="16"/>
      <c r="OYD49" s="16"/>
      <c r="OYE49" s="16"/>
      <c r="OYF49" s="16"/>
      <c r="OYG49" s="16"/>
      <c r="OYH49" s="16"/>
      <c r="OYI49" s="16"/>
      <c r="OYJ49" s="16"/>
      <c r="OYK49" s="16"/>
      <c r="OYL49" s="16"/>
      <c r="OYM49" s="16"/>
      <c r="OYN49" s="16"/>
      <c r="OYO49" s="16"/>
      <c r="OYP49" s="16"/>
      <c r="OYQ49" s="16"/>
      <c r="OYR49" s="16"/>
      <c r="OYS49" s="16"/>
      <c r="OYT49" s="16"/>
      <c r="OYU49" s="16"/>
      <c r="OYV49" s="16"/>
      <c r="OYW49" s="16"/>
      <c r="OYX49" s="16"/>
      <c r="OYY49" s="16"/>
      <c r="OYZ49" s="16"/>
      <c r="OZA49" s="16"/>
      <c r="OZB49" s="16"/>
      <c r="OZC49" s="16"/>
      <c r="OZD49" s="16"/>
      <c r="OZE49" s="16"/>
      <c r="OZF49" s="16"/>
      <c r="OZG49" s="16"/>
      <c r="OZH49" s="16"/>
      <c r="OZI49" s="16"/>
      <c r="OZJ49" s="16"/>
      <c r="OZK49" s="16"/>
      <c r="OZL49" s="16"/>
      <c r="OZM49" s="16"/>
      <c r="OZN49" s="16"/>
      <c r="OZO49" s="16"/>
      <c r="OZP49" s="16"/>
      <c r="OZQ49" s="16"/>
      <c r="OZR49" s="16"/>
      <c r="OZS49" s="16"/>
      <c r="OZT49" s="16"/>
      <c r="OZU49" s="16"/>
      <c r="OZV49" s="16"/>
      <c r="OZW49" s="16"/>
      <c r="OZX49" s="16"/>
      <c r="OZY49" s="16"/>
      <c r="OZZ49" s="16"/>
      <c r="PAA49" s="16"/>
      <c r="PAB49" s="16"/>
      <c r="PAC49" s="16"/>
      <c r="PAD49" s="16"/>
      <c r="PAE49" s="16"/>
      <c r="PAF49" s="16"/>
      <c r="PAG49" s="16"/>
      <c r="PAH49" s="16"/>
      <c r="PAI49" s="16"/>
      <c r="PAJ49" s="16"/>
      <c r="PAK49" s="16"/>
      <c r="PAL49" s="16"/>
      <c r="PAM49" s="16"/>
      <c r="PAN49" s="16"/>
      <c r="PAO49" s="16"/>
      <c r="PAP49" s="16"/>
      <c r="PAQ49" s="16"/>
      <c r="PAR49" s="16"/>
      <c r="PAS49" s="16"/>
      <c r="PAT49" s="16"/>
      <c r="PAU49" s="16"/>
      <c r="PAV49" s="16"/>
      <c r="PAW49" s="16"/>
      <c r="PAX49" s="16"/>
      <c r="PAY49" s="16"/>
      <c r="PAZ49" s="16"/>
      <c r="PBA49" s="16"/>
      <c r="PBB49" s="16"/>
      <c r="PBC49" s="16"/>
      <c r="PBD49" s="16"/>
      <c r="PBE49" s="16"/>
      <c r="PBF49" s="16"/>
      <c r="PBG49" s="16"/>
      <c r="PBH49" s="16"/>
      <c r="PBI49" s="16"/>
      <c r="PBJ49" s="16"/>
      <c r="PBK49" s="16"/>
      <c r="PBL49" s="16"/>
      <c r="PBM49" s="16"/>
      <c r="PBN49" s="16"/>
      <c r="PBO49" s="16"/>
      <c r="PBP49" s="16"/>
      <c r="PBQ49" s="16"/>
      <c r="PBR49" s="16"/>
      <c r="PBS49" s="16"/>
      <c r="PBT49" s="16"/>
      <c r="PBU49" s="16"/>
      <c r="PBV49" s="16"/>
      <c r="PBW49" s="16"/>
      <c r="PBX49" s="16"/>
      <c r="PBY49" s="16"/>
      <c r="PBZ49" s="16"/>
      <c r="PCA49" s="16"/>
      <c r="PCB49" s="16"/>
      <c r="PCC49" s="16"/>
      <c r="PCD49" s="16"/>
      <c r="PCE49" s="16"/>
      <c r="PCF49" s="16"/>
      <c r="PCG49" s="16"/>
      <c r="PCH49" s="16"/>
      <c r="PCI49" s="16"/>
      <c r="PCJ49" s="16"/>
      <c r="PCK49" s="16"/>
      <c r="PCL49" s="16"/>
      <c r="PCM49" s="16"/>
      <c r="PCN49" s="16"/>
      <c r="PCO49" s="16"/>
      <c r="PCP49" s="16"/>
      <c r="PCQ49" s="16"/>
      <c r="PCR49" s="16"/>
      <c r="PCS49" s="16"/>
      <c r="PCT49" s="16"/>
      <c r="PCU49" s="16"/>
      <c r="PCV49" s="16"/>
      <c r="PCW49" s="16"/>
      <c r="PCX49" s="16"/>
      <c r="PCY49" s="16"/>
      <c r="PCZ49" s="16"/>
      <c r="PDA49" s="16"/>
      <c r="PDB49" s="16"/>
      <c r="PDC49" s="16"/>
      <c r="PDD49" s="16"/>
      <c r="PDE49" s="16"/>
      <c r="PDF49" s="16"/>
      <c r="PDG49" s="16"/>
      <c r="PDH49" s="16"/>
      <c r="PDI49" s="16"/>
      <c r="PDJ49" s="16"/>
      <c r="PDK49" s="16"/>
      <c r="PDL49" s="16"/>
      <c r="PDM49" s="16"/>
      <c r="PDN49" s="16"/>
      <c r="PDO49" s="16"/>
      <c r="PDP49" s="16"/>
      <c r="PDQ49" s="16"/>
      <c r="PDR49" s="16"/>
      <c r="PDS49" s="16"/>
      <c r="PDT49" s="16"/>
      <c r="PDU49" s="16"/>
      <c r="PDV49" s="16"/>
      <c r="PDW49" s="16"/>
      <c r="PDX49" s="16"/>
      <c r="PDY49" s="16"/>
      <c r="PDZ49" s="16"/>
      <c r="PEA49" s="16"/>
      <c r="PEB49" s="16"/>
      <c r="PEC49" s="16"/>
      <c r="PED49" s="16"/>
      <c r="PEE49" s="16"/>
      <c r="PEF49" s="16"/>
      <c r="PEG49" s="16"/>
      <c r="PEH49" s="16"/>
      <c r="PEI49" s="16"/>
      <c r="PEJ49" s="16"/>
      <c r="PEK49" s="16"/>
      <c r="PEL49" s="16"/>
      <c r="PEM49" s="16"/>
      <c r="PEN49" s="16"/>
      <c r="PEO49" s="16"/>
      <c r="PEP49" s="16"/>
      <c r="PEQ49" s="16"/>
      <c r="PER49" s="16"/>
      <c r="PES49" s="16"/>
      <c r="PET49" s="16"/>
      <c r="PEU49" s="16"/>
      <c r="PEV49" s="16"/>
      <c r="PEW49" s="16"/>
      <c r="PEX49" s="16"/>
      <c r="PEY49" s="16"/>
      <c r="PEZ49" s="16"/>
      <c r="PFA49" s="16"/>
      <c r="PFB49" s="16"/>
      <c r="PFC49" s="16"/>
      <c r="PFD49" s="16"/>
      <c r="PFE49" s="16"/>
      <c r="PFF49" s="16"/>
      <c r="PFG49" s="16"/>
      <c r="PFH49" s="16"/>
      <c r="PFI49" s="16"/>
      <c r="PFJ49" s="16"/>
      <c r="PFK49" s="16"/>
      <c r="PFL49" s="16"/>
      <c r="PFM49" s="16"/>
      <c r="PFN49" s="16"/>
      <c r="PFO49" s="16"/>
      <c r="PFP49" s="16"/>
      <c r="PFQ49" s="16"/>
      <c r="PFR49" s="16"/>
      <c r="PFS49" s="16"/>
      <c r="PFT49" s="16"/>
      <c r="PFU49" s="16"/>
      <c r="PFV49" s="16"/>
      <c r="PFW49" s="16"/>
      <c r="PFX49" s="16"/>
      <c r="PFY49" s="16"/>
      <c r="PFZ49" s="16"/>
      <c r="PGA49" s="16"/>
      <c r="PGB49" s="16"/>
      <c r="PGC49" s="16"/>
      <c r="PGD49" s="16"/>
      <c r="PGE49" s="16"/>
      <c r="PGF49" s="16"/>
      <c r="PGG49" s="16"/>
      <c r="PGH49" s="16"/>
      <c r="PGI49" s="16"/>
      <c r="PGJ49" s="16"/>
      <c r="PGK49" s="16"/>
      <c r="PGL49" s="16"/>
      <c r="PGM49" s="16"/>
      <c r="PGN49" s="16"/>
      <c r="PGO49" s="16"/>
      <c r="PGP49" s="16"/>
      <c r="PGQ49" s="16"/>
      <c r="PGR49" s="16"/>
      <c r="PGS49" s="16"/>
      <c r="PGT49" s="16"/>
      <c r="PGU49" s="16"/>
      <c r="PGV49" s="16"/>
      <c r="PGW49" s="16"/>
      <c r="PGX49" s="16"/>
      <c r="PGY49" s="16"/>
      <c r="PGZ49" s="16"/>
      <c r="PHA49" s="16"/>
      <c r="PHB49" s="16"/>
      <c r="PHC49" s="16"/>
      <c r="PHD49" s="16"/>
      <c r="PHE49" s="16"/>
      <c r="PHF49" s="16"/>
      <c r="PHG49" s="16"/>
      <c r="PHH49" s="16"/>
      <c r="PHI49" s="16"/>
      <c r="PHJ49" s="16"/>
      <c r="PHK49" s="16"/>
      <c r="PHL49" s="16"/>
      <c r="PHM49" s="16"/>
      <c r="PHN49" s="16"/>
      <c r="PHO49" s="16"/>
      <c r="PHP49" s="16"/>
      <c r="PHQ49" s="16"/>
      <c r="PHR49" s="16"/>
      <c r="PHS49" s="16"/>
      <c r="PHT49" s="16"/>
      <c r="PHU49" s="16"/>
      <c r="PHV49" s="16"/>
      <c r="PHW49" s="16"/>
      <c r="PHX49" s="16"/>
      <c r="PHY49" s="16"/>
      <c r="PHZ49" s="16"/>
      <c r="PIA49" s="16"/>
      <c r="PIB49" s="16"/>
      <c r="PIC49" s="16"/>
      <c r="PID49" s="16"/>
      <c r="PIE49" s="16"/>
      <c r="PIF49" s="16"/>
      <c r="PIG49" s="16"/>
      <c r="PIH49" s="16"/>
      <c r="PII49" s="16"/>
      <c r="PIJ49" s="16"/>
      <c r="PIK49" s="16"/>
      <c r="PIL49" s="16"/>
      <c r="PIM49" s="16"/>
      <c r="PIN49" s="16"/>
      <c r="PIO49" s="16"/>
      <c r="PIP49" s="16"/>
      <c r="PIQ49" s="16"/>
      <c r="PIR49" s="16"/>
      <c r="PIS49" s="16"/>
      <c r="PIT49" s="16"/>
      <c r="PIU49" s="16"/>
      <c r="PIV49" s="16"/>
      <c r="PIW49" s="16"/>
      <c r="PIX49" s="16"/>
      <c r="PIY49" s="16"/>
      <c r="PIZ49" s="16"/>
      <c r="PJA49" s="16"/>
      <c r="PJB49" s="16"/>
      <c r="PJC49" s="16"/>
      <c r="PJD49" s="16"/>
      <c r="PJE49" s="16"/>
      <c r="PJF49" s="16"/>
      <c r="PJG49" s="16"/>
      <c r="PJH49" s="16"/>
      <c r="PJI49" s="16"/>
      <c r="PJJ49" s="16"/>
      <c r="PJK49" s="16"/>
      <c r="PJL49" s="16"/>
      <c r="PJM49" s="16"/>
      <c r="PJN49" s="16"/>
      <c r="PJO49" s="16"/>
      <c r="PJP49" s="16"/>
      <c r="PJQ49" s="16"/>
      <c r="PJR49" s="16"/>
      <c r="PJS49" s="16"/>
      <c r="PJT49" s="16"/>
      <c r="PJU49" s="16"/>
      <c r="PJV49" s="16"/>
      <c r="PJW49" s="16"/>
      <c r="PJX49" s="16"/>
      <c r="PJY49" s="16"/>
      <c r="PJZ49" s="16"/>
      <c r="PKA49" s="16"/>
      <c r="PKB49" s="16"/>
      <c r="PKC49" s="16"/>
      <c r="PKD49" s="16"/>
      <c r="PKE49" s="16"/>
      <c r="PKF49" s="16"/>
      <c r="PKG49" s="16"/>
      <c r="PKH49" s="16"/>
      <c r="PKI49" s="16"/>
      <c r="PKJ49" s="16"/>
      <c r="PKK49" s="16"/>
      <c r="PKL49" s="16"/>
      <c r="PKM49" s="16"/>
      <c r="PKN49" s="16"/>
      <c r="PKO49" s="16"/>
      <c r="PKP49" s="16"/>
      <c r="PKQ49" s="16"/>
      <c r="PKR49" s="16"/>
      <c r="PKS49" s="16"/>
      <c r="PKT49" s="16"/>
      <c r="PKU49" s="16"/>
      <c r="PKV49" s="16"/>
      <c r="PKW49" s="16"/>
      <c r="PKX49" s="16"/>
      <c r="PKY49" s="16"/>
      <c r="PKZ49" s="16"/>
      <c r="PLA49" s="16"/>
      <c r="PLB49" s="16"/>
      <c r="PLC49" s="16"/>
      <c r="PLD49" s="16"/>
      <c r="PLE49" s="16"/>
      <c r="PLF49" s="16"/>
      <c r="PLG49" s="16"/>
      <c r="PLH49" s="16"/>
      <c r="PLI49" s="16"/>
      <c r="PLJ49" s="16"/>
      <c r="PLK49" s="16"/>
      <c r="PLL49" s="16"/>
      <c r="PLM49" s="16"/>
      <c r="PLN49" s="16"/>
      <c r="PLO49" s="16"/>
      <c r="PLP49" s="16"/>
      <c r="PLQ49" s="16"/>
      <c r="PLR49" s="16"/>
      <c r="PLS49" s="16"/>
      <c r="PLT49" s="16"/>
      <c r="PLU49" s="16"/>
      <c r="PLV49" s="16"/>
      <c r="PLW49" s="16"/>
      <c r="PLX49" s="16"/>
      <c r="PLY49" s="16"/>
      <c r="PLZ49" s="16"/>
      <c r="PMA49" s="16"/>
      <c r="PMB49" s="16"/>
      <c r="PMC49" s="16"/>
      <c r="PMD49" s="16"/>
      <c r="PME49" s="16"/>
      <c r="PMF49" s="16"/>
      <c r="PMG49" s="16"/>
      <c r="PMH49" s="16"/>
      <c r="PMI49" s="16"/>
      <c r="PMJ49" s="16"/>
      <c r="PMK49" s="16"/>
      <c r="PML49" s="16"/>
      <c r="PMM49" s="16"/>
      <c r="PMN49" s="16"/>
      <c r="PMO49" s="16"/>
      <c r="PMP49" s="16"/>
      <c r="PMQ49" s="16"/>
      <c r="PMR49" s="16"/>
      <c r="PMS49" s="16"/>
      <c r="PMT49" s="16"/>
      <c r="PMU49" s="16"/>
      <c r="PMV49" s="16"/>
      <c r="PMW49" s="16"/>
      <c r="PMX49" s="16"/>
      <c r="PMY49" s="16"/>
      <c r="PMZ49" s="16"/>
      <c r="PNA49" s="16"/>
      <c r="PNB49" s="16"/>
      <c r="PNC49" s="16"/>
      <c r="PND49" s="16"/>
      <c r="PNE49" s="16"/>
      <c r="PNF49" s="16"/>
      <c r="PNG49" s="16"/>
      <c r="PNH49" s="16"/>
      <c r="PNI49" s="16"/>
      <c r="PNJ49" s="16"/>
      <c r="PNK49" s="16"/>
      <c r="PNL49" s="16"/>
      <c r="PNM49" s="16"/>
      <c r="PNN49" s="16"/>
      <c r="PNO49" s="16"/>
      <c r="PNP49" s="16"/>
      <c r="PNQ49" s="16"/>
      <c r="PNR49" s="16"/>
      <c r="PNS49" s="16"/>
      <c r="PNT49" s="16"/>
      <c r="PNU49" s="16"/>
      <c r="PNV49" s="16"/>
      <c r="PNW49" s="16"/>
      <c r="PNX49" s="16"/>
      <c r="PNY49" s="16"/>
      <c r="PNZ49" s="16"/>
      <c r="POA49" s="16"/>
      <c r="POB49" s="16"/>
      <c r="POC49" s="16"/>
      <c r="POD49" s="16"/>
      <c r="POE49" s="16"/>
      <c r="POF49" s="16"/>
      <c r="POG49" s="16"/>
      <c r="POH49" s="16"/>
      <c r="POI49" s="16"/>
      <c r="POJ49" s="16"/>
      <c r="POK49" s="16"/>
      <c r="POL49" s="16"/>
      <c r="POM49" s="16"/>
      <c r="PON49" s="16"/>
      <c r="POO49" s="16"/>
      <c r="POP49" s="16"/>
      <c r="POQ49" s="16"/>
      <c r="POR49" s="16"/>
      <c r="POS49" s="16"/>
      <c r="POT49" s="16"/>
      <c r="POU49" s="16"/>
      <c r="POV49" s="16"/>
      <c r="POW49" s="16"/>
      <c r="POX49" s="16"/>
      <c r="POY49" s="16"/>
      <c r="POZ49" s="16"/>
      <c r="PPA49" s="16"/>
      <c r="PPB49" s="16"/>
      <c r="PPC49" s="16"/>
      <c r="PPD49" s="16"/>
      <c r="PPE49" s="16"/>
      <c r="PPF49" s="16"/>
      <c r="PPG49" s="16"/>
      <c r="PPH49" s="16"/>
      <c r="PPI49" s="16"/>
      <c r="PPJ49" s="16"/>
      <c r="PPK49" s="16"/>
      <c r="PPL49" s="16"/>
      <c r="PPM49" s="16"/>
      <c r="PPN49" s="16"/>
      <c r="PPO49" s="16"/>
      <c r="PPP49" s="16"/>
      <c r="PPQ49" s="16"/>
      <c r="PPR49" s="16"/>
      <c r="PPS49" s="16"/>
      <c r="PPT49" s="16"/>
      <c r="PPU49" s="16"/>
      <c r="PPV49" s="16"/>
      <c r="PPW49" s="16"/>
      <c r="PPX49" s="16"/>
      <c r="PPY49" s="16"/>
      <c r="PPZ49" s="16"/>
      <c r="PQA49" s="16"/>
      <c r="PQB49" s="16"/>
      <c r="PQC49" s="16"/>
      <c r="PQD49" s="16"/>
      <c r="PQE49" s="16"/>
      <c r="PQF49" s="16"/>
      <c r="PQG49" s="16"/>
      <c r="PQH49" s="16"/>
      <c r="PQI49" s="16"/>
      <c r="PQJ49" s="16"/>
      <c r="PQK49" s="16"/>
      <c r="PQL49" s="16"/>
      <c r="PQM49" s="16"/>
      <c r="PQN49" s="16"/>
      <c r="PQO49" s="16"/>
      <c r="PQP49" s="16"/>
      <c r="PQQ49" s="16"/>
      <c r="PQR49" s="16"/>
      <c r="PQS49" s="16"/>
      <c r="PQT49" s="16"/>
      <c r="PQU49" s="16"/>
      <c r="PQV49" s="16"/>
      <c r="PQW49" s="16"/>
      <c r="PQX49" s="16"/>
      <c r="PQY49" s="16"/>
      <c r="PQZ49" s="16"/>
      <c r="PRA49" s="16"/>
      <c r="PRB49" s="16"/>
      <c r="PRC49" s="16"/>
      <c r="PRD49" s="16"/>
      <c r="PRE49" s="16"/>
      <c r="PRF49" s="16"/>
      <c r="PRG49" s="16"/>
      <c r="PRH49" s="16"/>
      <c r="PRI49" s="16"/>
      <c r="PRJ49" s="16"/>
      <c r="PRK49" s="16"/>
      <c r="PRL49" s="16"/>
      <c r="PRM49" s="16"/>
      <c r="PRN49" s="16"/>
      <c r="PRO49" s="16"/>
      <c r="PRP49" s="16"/>
      <c r="PRQ49" s="16"/>
      <c r="PRR49" s="16"/>
      <c r="PRS49" s="16"/>
      <c r="PRT49" s="16"/>
      <c r="PRU49" s="16"/>
      <c r="PRV49" s="16"/>
      <c r="PRW49" s="16"/>
      <c r="PRX49" s="16"/>
      <c r="PRY49" s="16"/>
      <c r="PRZ49" s="16"/>
      <c r="PSA49" s="16"/>
      <c r="PSB49" s="16"/>
      <c r="PSC49" s="16"/>
      <c r="PSD49" s="16"/>
      <c r="PSE49" s="16"/>
      <c r="PSF49" s="16"/>
      <c r="PSG49" s="16"/>
      <c r="PSH49" s="16"/>
      <c r="PSI49" s="16"/>
      <c r="PSJ49" s="16"/>
      <c r="PSK49" s="16"/>
      <c r="PSL49" s="16"/>
      <c r="PSM49" s="16"/>
      <c r="PSN49" s="16"/>
      <c r="PSO49" s="16"/>
      <c r="PSP49" s="16"/>
      <c r="PSQ49" s="16"/>
      <c r="PSR49" s="16"/>
      <c r="PSS49" s="16"/>
      <c r="PST49" s="16"/>
      <c r="PSU49" s="16"/>
      <c r="PSV49" s="16"/>
      <c r="PSW49" s="16"/>
      <c r="PSX49" s="16"/>
      <c r="PSY49" s="16"/>
      <c r="PSZ49" s="16"/>
      <c r="PTA49" s="16"/>
      <c r="PTB49" s="16"/>
      <c r="PTC49" s="16"/>
      <c r="PTD49" s="16"/>
      <c r="PTE49" s="16"/>
      <c r="PTF49" s="16"/>
      <c r="PTG49" s="16"/>
      <c r="PTH49" s="16"/>
      <c r="PTI49" s="16"/>
      <c r="PTJ49" s="16"/>
      <c r="PTK49" s="16"/>
      <c r="PTL49" s="16"/>
      <c r="PTM49" s="16"/>
      <c r="PTN49" s="16"/>
      <c r="PTO49" s="16"/>
      <c r="PTP49" s="16"/>
      <c r="PTQ49" s="16"/>
      <c r="PTR49" s="16"/>
      <c r="PTS49" s="16"/>
      <c r="PTT49" s="16"/>
      <c r="PTU49" s="16"/>
      <c r="PTV49" s="16"/>
      <c r="PTW49" s="16"/>
      <c r="PTX49" s="16"/>
      <c r="PTY49" s="16"/>
      <c r="PTZ49" s="16"/>
      <c r="PUA49" s="16"/>
      <c r="PUB49" s="16"/>
      <c r="PUC49" s="16"/>
      <c r="PUD49" s="16"/>
      <c r="PUE49" s="16"/>
      <c r="PUF49" s="16"/>
      <c r="PUG49" s="16"/>
      <c r="PUH49" s="16"/>
      <c r="PUI49" s="16"/>
      <c r="PUJ49" s="16"/>
      <c r="PUK49" s="16"/>
      <c r="PUL49" s="16"/>
      <c r="PUM49" s="16"/>
      <c r="PUN49" s="16"/>
      <c r="PUO49" s="16"/>
      <c r="PUP49" s="16"/>
      <c r="PUQ49" s="16"/>
      <c r="PUR49" s="16"/>
      <c r="PUS49" s="16"/>
      <c r="PUT49" s="16"/>
      <c r="PUU49" s="16"/>
      <c r="PUV49" s="16"/>
      <c r="PUW49" s="16"/>
      <c r="PUX49" s="16"/>
      <c r="PUY49" s="16"/>
      <c r="PUZ49" s="16"/>
      <c r="PVA49" s="16"/>
      <c r="PVB49" s="16"/>
      <c r="PVC49" s="16"/>
      <c r="PVD49" s="16"/>
      <c r="PVE49" s="16"/>
      <c r="PVF49" s="16"/>
      <c r="PVG49" s="16"/>
      <c r="PVH49" s="16"/>
      <c r="PVI49" s="16"/>
      <c r="PVJ49" s="16"/>
      <c r="PVK49" s="16"/>
      <c r="PVL49" s="16"/>
      <c r="PVM49" s="16"/>
      <c r="PVN49" s="16"/>
      <c r="PVO49" s="16"/>
      <c r="PVP49" s="16"/>
      <c r="PVQ49" s="16"/>
      <c r="PVR49" s="16"/>
      <c r="PVS49" s="16"/>
      <c r="PVT49" s="16"/>
      <c r="PVU49" s="16"/>
      <c r="PVV49" s="16"/>
      <c r="PVW49" s="16"/>
      <c r="PVX49" s="16"/>
      <c r="PVY49" s="16"/>
      <c r="PVZ49" s="16"/>
      <c r="PWA49" s="16"/>
      <c r="PWB49" s="16"/>
      <c r="PWC49" s="16"/>
      <c r="PWD49" s="16"/>
      <c r="PWE49" s="16"/>
      <c r="PWF49" s="16"/>
      <c r="PWG49" s="16"/>
      <c r="PWH49" s="16"/>
      <c r="PWI49" s="16"/>
      <c r="PWJ49" s="16"/>
      <c r="PWK49" s="16"/>
      <c r="PWL49" s="16"/>
      <c r="PWM49" s="16"/>
      <c r="PWN49" s="16"/>
      <c r="PWO49" s="16"/>
      <c r="PWP49" s="16"/>
      <c r="PWQ49" s="16"/>
      <c r="PWR49" s="16"/>
      <c r="PWS49" s="16"/>
      <c r="PWT49" s="16"/>
      <c r="PWU49" s="16"/>
      <c r="PWV49" s="16"/>
      <c r="PWW49" s="16"/>
      <c r="PWX49" s="16"/>
      <c r="PWY49" s="16"/>
      <c r="PWZ49" s="16"/>
      <c r="PXA49" s="16"/>
      <c r="PXB49" s="16"/>
      <c r="PXC49" s="16"/>
      <c r="PXD49" s="16"/>
      <c r="PXE49" s="16"/>
      <c r="PXF49" s="16"/>
      <c r="PXG49" s="16"/>
      <c r="PXH49" s="16"/>
      <c r="PXI49" s="16"/>
      <c r="PXJ49" s="16"/>
      <c r="PXK49" s="16"/>
      <c r="PXL49" s="16"/>
      <c r="PXM49" s="16"/>
      <c r="PXN49" s="16"/>
      <c r="PXO49" s="16"/>
      <c r="PXP49" s="16"/>
      <c r="PXQ49" s="16"/>
      <c r="PXR49" s="16"/>
      <c r="PXS49" s="16"/>
      <c r="PXT49" s="16"/>
      <c r="PXU49" s="16"/>
      <c r="PXV49" s="16"/>
      <c r="PXW49" s="16"/>
      <c r="PXX49" s="16"/>
      <c r="PXY49" s="16"/>
      <c r="PXZ49" s="16"/>
      <c r="PYA49" s="16"/>
      <c r="PYB49" s="16"/>
      <c r="PYC49" s="16"/>
      <c r="PYD49" s="16"/>
      <c r="PYE49" s="16"/>
      <c r="PYF49" s="16"/>
      <c r="PYG49" s="16"/>
      <c r="PYH49" s="16"/>
      <c r="PYI49" s="16"/>
      <c r="PYJ49" s="16"/>
      <c r="PYK49" s="16"/>
      <c r="PYL49" s="16"/>
      <c r="PYM49" s="16"/>
      <c r="PYN49" s="16"/>
      <c r="PYO49" s="16"/>
      <c r="PYP49" s="16"/>
      <c r="PYQ49" s="16"/>
      <c r="PYR49" s="16"/>
      <c r="PYS49" s="16"/>
      <c r="PYT49" s="16"/>
      <c r="PYU49" s="16"/>
      <c r="PYV49" s="16"/>
      <c r="PYW49" s="16"/>
      <c r="PYX49" s="16"/>
      <c r="PYY49" s="16"/>
      <c r="PYZ49" s="16"/>
      <c r="PZA49" s="16"/>
      <c r="PZB49" s="16"/>
      <c r="PZC49" s="16"/>
      <c r="PZD49" s="16"/>
      <c r="PZE49" s="16"/>
      <c r="PZF49" s="16"/>
      <c r="PZG49" s="16"/>
      <c r="PZH49" s="16"/>
      <c r="PZI49" s="16"/>
      <c r="PZJ49" s="16"/>
      <c r="PZK49" s="16"/>
      <c r="PZL49" s="16"/>
      <c r="PZM49" s="16"/>
      <c r="PZN49" s="16"/>
      <c r="PZO49" s="16"/>
      <c r="PZP49" s="16"/>
      <c r="PZQ49" s="16"/>
      <c r="PZR49" s="16"/>
      <c r="PZS49" s="16"/>
      <c r="PZT49" s="16"/>
      <c r="PZU49" s="16"/>
      <c r="PZV49" s="16"/>
      <c r="PZW49" s="16"/>
      <c r="PZX49" s="16"/>
      <c r="PZY49" s="16"/>
      <c r="PZZ49" s="16"/>
      <c r="QAA49" s="16"/>
      <c r="QAB49" s="16"/>
      <c r="QAC49" s="16"/>
      <c r="QAD49" s="16"/>
      <c r="QAE49" s="16"/>
      <c r="QAF49" s="16"/>
      <c r="QAG49" s="16"/>
      <c r="QAH49" s="16"/>
      <c r="QAI49" s="16"/>
      <c r="QAJ49" s="16"/>
      <c r="QAK49" s="16"/>
      <c r="QAL49" s="16"/>
      <c r="QAM49" s="16"/>
      <c r="QAN49" s="16"/>
      <c r="QAO49" s="16"/>
      <c r="QAP49" s="16"/>
      <c r="QAQ49" s="16"/>
      <c r="QAR49" s="16"/>
      <c r="QAS49" s="16"/>
      <c r="QAT49" s="16"/>
      <c r="QAU49" s="16"/>
      <c r="QAV49" s="16"/>
      <c r="QAW49" s="16"/>
      <c r="QAX49" s="16"/>
      <c r="QAY49" s="16"/>
      <c r="QAZ49" s="16"/>
      <c r="QBA49" s="16"/>
      <c r="QBB49" s="16"/>
      <c r="QBC49" s="16"/>
      <c r="QBD49" s="16"/>
      <c r="QBE49" s="16"/>
      <c r="QBF49" s="16"/>
      <c r="QBG49" s="16"/>
      <c r="QBH49" s="16"/>
      <c r="QBI49" s="16"/>
      <c r="QBJ49" s="16"/>
      <c r="QBK49" s="16"/>
      <c r="QBL49" s="16"/>
      <c r="QBM49" s="16"/>
      <c r="QBN49" s="16"/>
      <c r="QBO49" s="16"/>
      <c r="QBP49" s="16"/>
      <c r="QBQ49" s="16"/>
      <c r="QBR49" s="16"/>
      <c r="QBS49" s="16"/>
      <c r="QBT49" s="16"/>
      <c r="QBU49" s="16"/>
      <c r="QBV49" s="16"/>
      <c r="QBW49" s="16"/>
      <c r="QBX49" s="16"/>
      <c r="QBY49" s="16"/>
      <c r="QBZ49" s="16"/>
      <c r="QCA49" s="16"/>
      <c r="QCB49" s="16"/>
      <c r="QCC49" s="16"/>
      <c r="QCD49" s="16"/>
      <c r="QCE49" s="16"/>
      <c r="QCF49" s="16"/>
      <c r="QCG49" s="16"/>
      <c r="QCH49" s="16"/>
      <c r="QCI49" s="16"/>
      <c r="QCJ49" s="16"/>
      <c r="QCK49" s="16"/>
      <c r="QCL49" s="16"/>
      <c r="QCM49" s="16"/>
      <c r="QCN49" s="16"/>
      <c r="QCO49" s="16"/>
      <c r="QCP49" s="16"/>
      <c r="QCQ49" s="16"/>
      <c r="QCR49" s="16"/>
      <c r="QCS49" s="16"/>
      <c r="QCT49" s="16"/>
      <c r="QCU49" s="16"/>
      <c r="QCV49" s="16"/>
      <c r="QCW49" s="16"/>
      <c r="QCX49" s="16"/>
      <c r="QCY49" s="16"/>
      <c r="QCZ49" s="16"/>
      <c r="QDA49" s="16"/>
      <c r="QDB49" s="16"/>
      <c r="QDC49" s="16"/>
      <c r="QDD49" s="16"/>
      <c r="QDE49" s="16"/>
      <c r="QDF49" s="16"/>
      <c r="QDG49" s="16"/>
      <c r="QDH49" s="16"/>
      <c r="QDI49" s="16"/>
      <c r="QDJ49" s="16"/>
      <c r="QDK49" s="16"/>
      <c r="QDL49" s="16"/>
      <c r="QDM49" s="16"/>
      <c r="QDN49" s="16"/>
      <c r="QDO49" s="16"/>
      <c r="QDP49" s="16"/>
      <c r="QDQ49" s="16"/>
      <c r="QDR49" s="16"/>
      <c r="QDS49" s="16"/>
      <c r="QDT49" s="16"/>
      <c r="QDU49" s="16"/>
      <c r="QDV49" s="16"/>
      <c r="QDW49" s="16"/>
      <c r="QDX49" s="16"/>
      <c r="QDY49" s="16"/>
      <c r="QDZ49" s="16"/>
      <c r="QEA49" s="16"/>
      <c r="QEB49" s="16"/>
      <c r="QEC49" s="16"/>
      <c r="QED49" s="16"/>
      <c r="QEE49" s="16"/>
      <c r="QEF49" s="16"/>
      <c r="QEG49" s="16"/>
      <c r="QEH49" s="16"/>
      <c r="QEI49" s="16"/>
      <c r="QEJ49" s="16"/>
      <c r="QEK49" s="16"/>
      <c r="QEL49" s="16"/>
      <c r="QEM49" s="16"/>
      <c r="QEN49" s="16"/>
      <c r="QEO49" s="16"/>
      <c r="QEP49" s="16"/>
      <c r="QEQ49" s="16"/>
      <c r="QER49" s="16"/>
      <c r="QES49" s="16"/>
      <c r="QET49" s="16"/>
      <c r="QEU49" s="16"/>
      <c r="QEV49" s="16"/>
      <c r="QEW49" s="16"/>
      <c r="QEX49" s="16"/>
      <c r="QEY49" s="16"/>
      <c r="QEZ49" s="16"/>
      <c r="QFA49" s="16"/>
      <c r="QFB49" s="16"/>
      <c r="QFC49" s="16"/>
      <c r="QFD49" s="16"/>
      <c r="QFE49" s="16"/>
      <c r="QFF49" s="16"/>
      <c r="QFG49" s="16"/>
      <c r="QFH49" s="16"/>
      <c r="QFI49" s="16"/>
      <c r="QFJ49" s="16"/>
      <c r="QFK49" s="16"/>
      <c r="QFL49" s="16"/>
      <c r="QFM49" s="16"/>
      <c r="QFN49" s="16"/>
      <c r="QFO49" s="16"/>
      <c r="QFP49" s="16"/>
      <c r="QFQ49" s="16"/>
      <c r="QFR49" s="16"/>
      <c r="QFS49" s="16"/>
      <c r="QFT49" s="16"/>
      <c r="QFU49" s="16"/>
      <c r="QFV49" s="16"/>
      <c r="QFW49" s="16"/>
      <c r="QFX49" s="16"/>
      <c r="QFY49" s="16"/>
      <c r="QFZ49" s="16"/>
      <c r="QGA49" s="16"/>
      <c r="QGB49" s="16"/>
      <c r="QGC49" s="16"/>
      <c r="QGD49" s="16"/>
      <c r="QGE49" s="16"/>
      <c r="QGF49" s="16"/>
      <c r="QGG49" s="16"/>
      <c r="QGH49" s="16"/>
      <c r="QGI49" s="16"/>
      <c r="QGJ49" s="16"/>
      <c r="QGK49" s="16"/>
      <c r="QGL49" s="16"/>
      <c r="QGM49" s="16"/>
      <c r="QGN49" s="16"/>
      <c r="QGO49" s="16"/>
      <c r="QGP49" s="16"/>
      <c r="QGQ49" s="16"/>
      <c r="QGR49" s="16"/>
      <c r="QGS49" s="16"/>
      <c r="QGT49" s="16"/>
      <c r="QGU49" s="16"/>
      <c r="QGV49" s="16"/>
      <c r="QGW49" s="16"/>
      <c r="QGX49" s="16"/>
      <c r="QGY49" s="16"/>
      <c r="QGZ49" s="16"/>
      <c r="QHA49" s="16"/>
      <c r="QHB49" s="16"/>
      <c r="QHC49" s="16"/>
      <c r="QHD49" s="16"/>
      <c r="QHE49" s="16"/>
      <c r="QHF49" s="16"/>
      <c r="QHG49" s="16"/>
      <c r="QHH49" s="16"/>
      <c r="QHI49" s="16"/>
      <c r="QHJ49" s="16"/>
      <c r="QHK49" s="16"/>
      <c r="QHL49" s="16"/>
      <c r="QHM49" s="16"/>
      <c r="QHN49" s="16"/>
      <c r="QHO49" s="16"/>
      <c r="QHP49" s="16"/>
      <c r="QHQ49" s="16"/>
      <c r="QHR49" s="16"/>
      <c r="QHS49" s="16"/>
      <c r="QHT49" s="16"/>
      <c r="QHU49" s="16"/>
      <c r="QHV49" s="16"/>
      <c r="QHW49" s="16"/>
      <c r="QHX49" s="16"/>
      <c r="QHY49" s="16"/>
      <c r="QHZ49" s="16"/>
      <c r="QIA49" s="16"/>
      <c r="QIB49" s="16"/>
      <c r="QIC49" s="16"/>
      <c r="QID49" s="16"/>
      <c r="QIE49" s="16"/>
      <c r="QIF49" s="16"/>
      <c r="QIG49" s="16"/>
      <c r="QIH49" s="16"/>
      <c r="QII49" s="16"/>
      <c r="QIJ49" s="16"/>
      <c r="QIK49" s="16"/>
      <c r="QIL49" s="16"/>
      <c r="QIM49" s="16"/>
      <c r="QIN49" s="16"/>
      <c r="QIO49" s="16"/>
      <c r="QIP49" s="16"/>
      <c r="QIQ49" s="16"/>
      <c r="QIR49" s="16"/>
      <c r="QIS49" s="16"/>
      <c r="QIT49" s="16"/>
      <c r="QIU49" s="16"/>
      <c r="QIV49" s="16"/>
      <c r="QIW49" s="16"/>
      <c r="QIX49" s="16"/>
      <c r="QIY49" s="16"/>
      <c r="QIZ49" s="16"/>
      <c r="QJA49" s="16"/>
      <c r="QJB49" s="16"/>
      <c r="QJC49" s="16"/>
      <c r="QJD49" s="16"/>
      <c r="QJE49" s="16"/>
      <c r="QJF49" s="16"/>
      <c r="QJG49" s="16"/>
      <c r="QJH49" s="16"/>
      <c r="QJI49" s="16"/>
      <c r="QJJ49" s="16"/>
      <c r="QJK49" s="16"/>
      <c r="QJL49" s="16"/>
      <c r="QJM49" s="16"/>
      <c r="QJN49" s="16"/>
      <c r="QJO49" s="16"/>
      <c r="QJP49" s="16"/>
      <c r="QJQ49" s="16"/>
      <c r="QJR49" s="16"/>
      <c r="QJS49" s="16"/>
      <c r="QJT49" s="16"/>
      <c r="QJU49" s="16"/>
      <c r="QJV49" s="16"/>
      <c r="QJW49" s="16"/>
      <c r="QJX49" s="16"/>
      <c r="QJY49" s="16"/>
      <c r="QJZ49" s="16"/>
      <c r="QKA49" s="16"/>
      <c r="QKB49" s="16"/>
      <c r="QKC49" s="16"/>
      <c r="QKD49" s="16"/>
      <c r="QKE49" s="16"/>
      <c r="QKF49" s="16"/>
      <c r="QKG49" s="16"/>
      <c r="QKH49" s="16"/>
      <c r="QKI49" s="16"/>
      <c r="QKJ49" s="16"/>
      <c r="QKK49" s="16"/>
      <c r="QKL49" s="16"/>
      <c r="QKM49" s="16"/>
      <c r="QKN49" s="16"/>
      <c r="QKO49" s="16"/>
      <c r="QKP49" s="16"/>
      <c r="QKQ49" s="16"/>
      <c r="QKR49" s="16"/>
      <c r="QKS49" s="16"/>
      <c r="QKT49" s="16"/>
      <c r="QKU49" s="16"/>
      <c r="QKV49" s="16"/>
      <c r="QKW49" s="16"/>
      <c r="QKX49" s="16"/>
      <c r="QKY49" s="16"/>
      <c r="QKZ49" s="16"/>
      <c r="QLA49" s="16"/>
      <c r="QLB49" s="16"/>
      <c r="QLC49" s="16"/>
      <c r="QLD49" s="16"/>
      <c r="QLE49" s="16"/>
      <c r="QLF49" s="16"/>
      <c r="QLG49" s="16"/>
      <c r="QLH49" s="16"/>
      <c r="QLI49" s="16"/>
      <c r="QLJ49" s="16"/>
      <c r="QLK49" s="16"/>
      <c r="QLL49" s="16"/>
      <c r="QLM49" s="16"/>
      <c r="QLN49" s="16"/>
      <c r="QLO49" s="16"/>
      <c r="QLP49" s="16"/>
      <c r="QLQ49" s="16"/>
      <c r="QLR49" s="16"/>
      <c r="QLS49" s="16"/>
      <c r="QLT49" s="16"/>
      <c r="QLU49" s="16"/>
      <c r="QLV49" s="16"/>
      <c r="QLW49" s="16"/>
      <c r="QLX49" s="16"/>
      <c r="QLY49" s="16"/>
      <c r="QLZ49" s="16"/>
      <c r="QMA49" s="16"/>
      <c r="QMB49" s="16"/>
      <c r="QMC49" s="16"/>
      <c r="QMD49" s="16"/>
      <c r="QME49" s="16"/>
      <c r="QMF49" s="16"/>
      <c r="QMG49" s="16"/>
      <c r="QMH49" s="16"/>
      <c r="QMI49" s="16"/>
      <c r="QMJ49" s="16"/>
      <c r="QMK49" s="16"/>
      <c r="QML49" s="16"/>
      <c r="QMM49" s="16"/>
      <c r="QMN49" s="16"/>
      <c r="QMO49" s="16"/>
      <c r="QMP49" s="16"/>
      <c r="QMQ49" s="16"/>
      <c r="QMR49" s="16"/>
      <c r="QMS49" s="16"/>
      <c r="QMT49" s="16"/>
      <c r="QMU49" s="16"/>
      <c r="QMV49" s="16"/>
      <c r="QMW49" s="16"/>
      <c r="QMX49" s="16"/>
      <c r="QMY49" s="16"/>
      <c r="QMZ49" s="16"/>
      <c r="QNA49" s="16"/>
      <c r="QNB49" s="16"/>
      <c r="QNC49" s="16"/>
      <c r="QND49" s="16"/>
      <c r="QNE49" s="16"/>
      <c r="QNF49" s="16"/>
      <c r="QNG49" s="16"/>
      <c r="QNH49" s="16"/>
      <c r="QNI49" s="16"/>
      <c r="QNJ49" s="16"/>
      <c r="QNK49" s="16"/>
      <c r="QNL49" s="16"/>
      <c r="QNM49" s="16"/>
      <c r="QNN49" s="16"/>
      <c r="QNO49" s="16"/>
      <c r="QNP49" s="16"/>
      <c r="QNQ49" s="16"/>
      <c r="QNR49" s="16"/>
      <c r="QNS49" s="16"/>
      <c r="QNT49" s="16"/>
      <c r="QNU49" s="16"/>
      <c r="QNV49" s="16"/>
      <c r="QNW49" s="16"/>
      <c r="QNX49" s="16"/>
      <c r="QNY49" s="16"/>
      <c r="QNZ49" s="16"/>
      <c r="QOA49" s="16"/>
      <c r="QOB49" s="16"/>
      <c r="QOC49" s="16"/>
      <c r="QOD49" s="16"/>
      <c r="QOE49" s="16"/>
      <c r="QOF49" s="16"/>
      <c r="QOG49" s="16"/>
      <c r="QOH49" s="16"/>
      <c r="QOI49" s="16"/>
      <c r="QOJ49" s="16"/>
      <c r="QOK49" s="16"/>
      <c r="QOL49" s="16"/>
      <c r="QOM49" s="16"/>
      <c r="QON49" s="16"/>
      <c r="QOO49" s="16"/>
      <c r="QOP49" s="16"/>
      <c r="QOQ49" s="16"/>
      <c r="QOR49" s="16"/>
      <c r="QOS49" s="16"/>
      <c r="QOT49" s="16"/>
      <c r="QOU49" s="16"/>
      <c r="QOV49" s="16"/>
      <c r="QOW49" s="16"/>
      <c r="QOX49" s="16"/>
      <c r="QOY49" s="16"/>
      <c r="QOZ49" s="16"/>
      <c r="QPA49" s="16"/>
      <c r="QPB49" s="16"/>
      <c r="QPC49" s="16"/>
      <c r="QPD49" s="16"/>
      <c r="QPE49" s="16"/>
      <c r="QPF49" s="16"/>
      <c r="QPG49" s="16"/>
      <c r="QPH49" s="16"/>
      <c r="QPI49" s="16"/>
      <c r="QPJ49" s="16"/>
      <c r="QPK49" s="16"/>
      <c r="QPL49" s="16"/>
      <c r="QPM49" s="16"/>
      <c r="QPN49" s="16"/>
      <c r="QPO49" s="16"/>
      <c r="QPP49" s="16"/>
      <c r="QPQ49" s="16"/>
      <c r="QPR49" s="16"/>
      <c r="QPS49" s="16"/>
      <c r="QPT49" s="16"/>
      <c r="QPU49" s="16"/>
      <c r="QPV49" s="16"/>
      <c r="QPW49" s="16"/>
      <c r="QPX49" s="16"/>
      <c r="QPY49" s="16"/>
      <c r="QPZ49" s="16"/>
      <c r="QQA49" s="16"/>
      <c r="QQB49" s="16"/>
      <c r="QQC49" s="16"/>
      <c r="QQD49" s="16"/>
      <c r="QQE49" s="16"/>
      <c r="QQF49" s="16"/>
      <c r="QQG49" s="16"/>
      <c r="QQH49" s="16"/>
      <c r="QQI49" s="16"/>
      <c r="QQJ49" s="16"/>
      <c r="QQK49" s="16"/>
      <c r="QQL49" s="16"/>
      <c r="QQM49" s="16"/>
      <c r="QQN49" s="16"/>
      <c r="QQO49" s="16"/>
      <c r="QQP49" s="16"/>
      <c r="QQQ49" s="16"/>
      <c r="QQR49" s="16"/>
      <c r="QQS49" s="16"/>
      <c r="QQT49" s="16"/>
      <c r="QQU49" s="16"/>
      <c r="QQV49" s="16"/>
      <c r="QQW49" s="16"/>
      <c r="QQX49" s="16"/>
      <c r="QQY49" s="16"/>
      <c r="QQZ49" s="16"/>
      <c r="QRA49" s="16"/>
      <c r="QRB49" s="16"/>
      <c r="QRC49" s="16"/>
      <c r="QRD49" s="16"/>
      <c r="QRE49" s="16"/>
      <c r="QRF49" s="16"/>
      <c r="QRG49" s="16"/>
      <c r="QRH49" s="16"/>
      <c r="QRI49" s="16"/>
      <c r="QRJ49" s="16"/>
      <c r="QRK49" s="16"/>
      <c r="QRL49" s="16"/>
      <c r="QRM49" s="16"/>
      <c r="QRN49" s="16"/>
      <c r="QRO49" s="16"/>
      <c r="QRP49" s="16"/>
      <c r="QRQ49" s="16"/>
      <c r="QRR49" s="16"/>
      <c r="QRS49" s="16"/>
      <c r="QRT49" s="16"/>
      <c r="QRU49" s="16"/>
      <c r="QRV49" s="16"/>
      <c r="QRW49" s="16"/>
      <c r="QRX49" s="16"/>
      <c r="QRY49" s="16"/>
      <c r="QRZ49" s="16"/>
      <c r="QSA49" s="16"/>
      <c r="QSB49" s="16"/>
      <c r="QSC49" s="16"/>
      <c r="QSD49" s="16"/>
      <c r="QSE49" s="16"/>
      <c r="QSF49" s="16"/>
      <c r="QSG49" s="16"/>
      <c r="QSH49" s="16"/>
      <c r="QSI49" s="16"/>
      <c r="QSJ49" s="16"/>
      <c r="QSK49" s="16"/>
      <c r="QSL49" s="16"/>
      <c r="QSM49" s="16"/>
      <c r="QSN49" s="16"/>
      <c r="QSO49" s="16"/>
      <c r="QSP49" s="16"/>
      <c r="QSQ49" s="16"/>
      <c r="QSR49" s="16"/>
      <c r="QSS49" s="16"/>
      <c r="QST49" s="16"/>
      <c r="QSU49" s="16"/>
      <c r="QSV49" s="16"/>
      <c r="QSW49" s="16"/>
      <c r="QSX49" s="16"/>
      <c r="QSY49" s="16"/>
      <c r="QSZ49" s="16"/>
      <c r="QTA49" s="16"/>
      <c r="QTB49" s="16"/>
      <c r="QTC49" s="16"/>
      <c r="QTD49" s="16"/>
      <c r="QTE49" s="16"/>
      <c r="QTF49" s="16"/>
      <c r="QTG49" s="16"/>
      <c r="QTH49" s="16"/>
      <c r="QTI49" s="16"/>
      <c r="QTJ49" s="16"/>
      <c r="QTK49" s="16"/>
      <c r="QTL49" s="16"/>
      <c r="QTM49" s="16"/>
      <c r="QTN49" s="16"/>
      <c r="QTO49" s="16"/>
      <c r="QTP49" s="16"/>
      <c r="QTQ49" s="16"/>
      <c r="QTR49" s="16"/>
      <c r="QTS49" s="16"/>
      <c r="QTT49" s="16"/>
      <c r="QTU49" s="16"/>
      <c r="QTV49" s="16"/>
      <c r="QTW49" s="16"/>
      <c r="QTX49" s="16"/>
      <c r="QTY49" s="16"/>
      <c r="QTZ49" s="16"/>
      <c r="QUA49" s="16"/>
      <c r="QUB49" s="16"/>
      <c r="QUC49" s="16"/>
      <c r="QUD49" s="16"/>
      <c r="QUE49" s="16"/>
      <c r="QUF49" s="16"/>
      <c r="QUG49" s="16"/>
      <c r="QUH49" s="16"/>
      <c r="QUI49" s="16"/>
      <c r="QUJ49" s="16"/>
      <c r="QUK49" s="16"/>
      <c r="QUL49" s="16"/>
      <c r="QUM49" s="16"/>
      <c r="QUN49" s="16"/>
      <c r="QUO49" s="16"/>
      <c r="QUP49" s="16"/>
      <c r="QUQ49" s="16"/>
      <c r="QUR49" s="16"/>
      <c r="QUS49" s="16"/>
      <c r="QUT49" s="16"/>
      <c r="QUU49" s="16"/>
      <c r="QUV49" s="16"/>
      <c r="QUW49" s="16"/>
      <c r="QUX49" s="16"/>
      <c r="QUY49" s="16"/>
      <c r="QUZ49" s="16"/>
      <c r="QVA49" s="16"/>
      <c r="QVB49" s="16"/>
      <c r="QVC49" s="16"/>
      <c r="QVD49" s="16"/>
      <c r="QVE49" s="16"/>
      <c r="QVF49" s="16"/>
      <c r="QVG49" s="16"/>
      <c r="QVH49" s="16"/>
      <c r="QVI49" s="16"/>
      <c r="QVJ49" s="16"/>
      <c r="QVK49" s="16"/>
      <c r="QVL49" s="16"/>
      <c r="QVM49" s="16"/>
      <c r="QVN49" s="16"/>
      <c r="QVO49" s="16"/>
      <c r="QVP49" s="16"/>
      <c r="QVQ49" s="16"/>
      <c r="QVR49" s="16"/>
      <c r="QVS49" s="16"/>
      <c r="QVT49" s="16"/>
      <c r="QVU49" s="16"/>
      <c r="QVV49" s="16"/>
      <c r="QVW49" s="16"/>
      <c r="QVX49" s="16"/>
      <c r="QVY49" s="16"/>
      <c r="QVZ49" s="16"/>
      <c r="QWA49" s="16"/>
      <c r="QWB49" s="16"/>
      <c r="QWC49" s="16"/>
      <c r="QWD49" s="16"/>
      <c r="QWE49" s="16"/>
      <c r="QWF49" s="16"/>
      <c r="QWG49" s="16"/>
      <c r="QWH49" s="16"/>
      <c r="QWI49" s="16"/>
      <c r="QWJ49" s="16"/>
      <c r="QWK49" s="16"/>
      <c r="QWL49" s="16"/>
      <c r="QWM49" s="16"/>
      <c r="QWN49" s="16"/>
      <c r="QWO49" s="16"/>
      <c r="QWP49" s="16"/>
      <c r="QWQ49" s="16"/>
      <c r="QWR49" s="16"/>
      <c r="QWS49" s="16"/>
      <c r="QWT49" s="16"/>
      <c r="QWU49" s="16"/>
      <c r="QWV49" s="16"/>
      <c r="QWW49" s="16"/>
      <c r="QWX49" s="16"/>
      <c r="QWY49" s="16"/>
      <c r="QWZ49" s="16"/>
      <c r="QXA49" s="16"/>
      <c r="QXB49" s="16"/>
      <c r="QXC49" s="16"/>
      <c r="QXD49" s="16"/>
      <c r="QXE49" s="16"/>
      <c r="QXF49" s="16"/>
      <c r="QXG49" s="16"/>
      <c r="QXH49" s="16"/>
      <c r="QXI49" s="16"/>
      <c r="QXJ49" s="16"/>
      <c r="QXK49" s="16"/>
      <c r="QXL49" s="16"/>
      <c r="QXM49" s="16"/>
      <c r="QXN49" s="16"/>
      <c r="QXO49" s="16"/>
      <c r="QXP49" s="16"/>
      <c r="QXQ49" s="16"/>
      <c r="QXR49" s="16"/>
      <c r="QXS49" s="16"/>
      <c r="QXT49" s="16"/>
      <c r="QXU49" s="16"/>
      <c r="QXV49" s="16"/>
      <c r="QXW49" s="16"/>
      <c r="QXX49" s="16"/>
      <c r="QXY49" s="16"/>
      <c r="QXZ49" s="16"/>
      <c r="QYA49" s="16"/>
      <c r="QYB49" s="16"/>
      <c r="QYC49" s="16"/>
      <c r="QYD49" s="16"/>
      <c r="QYE49" s="16"/>
      <c r="QYF49" s="16"/>
      <c r="QYG49" s="16"/>
      <c r="QYH49" s="16"/>
      <c r="QYI49" s="16"/>
      <c r="QYJ49" s="16"/>
      <c r="QYK49" s="16"/>
      <c r="QYL49" s="16"/>
      <c r="QYM49" s="16"/>
      <c r="QYN49" s="16"/>
      <c r="QYO49" s="16"/>
      <c r="QYP49" s="16"/>
      <c r="QYQ49" s="16"/>
      <c r="QYR49" s="16"/>
      <c r="QYS49" s="16"/>
      <c r="QYT49" s="16"/>
      <c r="QYU49" s="16"/>
      <c r="QYV49" s="16"/>
      <c r="QYW49" s="16"/>
      <c r="QYX49" s="16"/>
      <c r="QYY49" s="16"/>
      <c r="QYZ49" s="16"/>
      <c r="QZA49" s="16"/>
      <c r="QZB49" s="16"/>
      <c r="QZC49" s="16"/>
      <c r="QZD49" s="16"/>
      <c r="QZE49" s="16"/>
      <c r="QZF49" s="16"/>
      <c r="QZG49" s="16"/>
      <c r="QZH49" s="16"/>
      <c r="QZI49" s="16"/>
      <c r="QZJ49" s="16"/>
      <c r="QZK49" s="16"/>
      <c r="QZL49" s="16"/>
      <c r="QZM49" s="16"/>
      <c r="QZN49" s="16"/>
      <c r="QZO49" s="16"/>
      <c r="QZP49" s="16"/>
      <c r="QZQ49" s="16"/>
      <c r="QZR49" s="16"/>
      <c r="QZS49" s="16"/>
      <c r="QZT49" s="16"/>
      <c r="QZU49" s="16"/>
      <c r="QZV49" s="16"/>
      <c r="QZW49" s="16"/>
      <c r="QZX49" s="16"/>
      <c r="QZY49" s="16"/>
      <c r="QZZ49" s="16"/>
      <c r="RAA49" s="16"/>
      <c r="RAB49" s="16"/>
      <c r="RAC49" s="16"/>
      <c r="RAD49" s="16"/>
      <c r="RAE49" s="16"/>
      <c r="RAF49" s="16"/>
      <c r="RAG49" s="16"/>
      <c r="RAH49" s="16"/>
      <c r="RAI49" s="16"/>
      <c r="RAJ49" s="16"/>
      <c r="RAK49" s="16"/>
      <c r="RAL49" s="16"/>
      <c r="RAM49" s="16"/>
      <c r="RAN49" s="16"/>
      <c r="RAO49" s="16"/>
      <c r="RAP49" s="16"/>
      <c r="RAQ49" s="16"/>
      <c r="RAR49" s="16"/>
      <c r="RAS49" s="16"/>
      <c r="RAT49" s="16"/>
      <c r="RAU49" s="16"/>
      <c r="RAV49" s="16"/>
      <c r="RAW49" s="16"/>
      <c r="RAX49" s="16"/>
      <c r="RAY49" s="16"/>
      <c r="RAZ49" s="16"/>
      <c r="RBA49" s="16"/>
      <c r="RBB49" s="16"/>
      <c r="RBC49" s="16"/>
      <c r="RBD49" s="16"/>
      <c r="RBE49" s="16"/>
      <c r="RBF49" s="16"/>
      <c r="RBG49" s="16"/>
      <c r="RBH49" s="16"/>
      <c r="RBI49" s="16"/>
      <c r="RBJ49" s="16"/>
      <c r="RBK49" s="16"/>
      <c r="RBL49" s="16"/>
      <c r="RBM49" s="16"/>
      <c r="RBN49" s="16"/>
      <c r="RBO49" s="16"/>
      <c r="RBP49" s="16"/>
      <c r="RBQ49" s="16"/>
      <c r="RBR49" s="16"/>
      <c r="RBS49" s="16"/>
      <c r="RBT49" s="16"/>
      <c r="RBU49" s="16"/>
      <c r="RBV49" s="16"/>
      <c r="RBW49" s="16"/>
      <c r="RBX49" s="16"/>
      <c r="RBY49" s="16"/>
      <c r="RBZ49" s="16"/>
      <c r="RCA49" s="16"/>
      <c r="RCB49" s="16"/>
      <c r="RCC49" s="16"/>
      <c r="RCD49" s="16"/>
      <c r="RCE49" s="16"/>
      <c r="RCF49" s="16"/>
      <c r="RCG49" s="16"/>
      <c r="RCH49" s="16"/>
      <c r="RCI49" s="16"/>
      <c r="RCJ49" s="16"/>
      <c r="RCK49" s="16"/>
      <c r="RCL49" s="16"/>
      <c r="RCM49" s="16"/>
      <c r="RCN49" s="16"/>
      <c r="RCO49" s="16"/>
      <c r="RCP49" s="16"/>
      <c r="RCQ49" s="16"/>
      <c r="RCR49" s="16"/>
      <c r="RCS49" s="16"/>
      <c r="RCT49" s="16"/>
      <c r="RCU49" s="16"/>
      <c r="RCV49" s="16"/>
      <c r="RCW49" s="16"/>
      <c r="RCX49" s="16"/>
      <c r="RCY49" s="16"/>
      <c r="RCZ49" s="16"/>
      <c r="RDA49" s="16"/>
      <c r="RDB49" s="16"/>
      <c r="RDC49" s="16"/>
      <c r="RDD49" s="16"/>
      <c r="RDE49" s="16"/>
      <c r="RDF49" s="16"/>
      <c r="RDG49" s="16"/>
      <c r="RDH49" s="16"/>
      <c r="RDI49" s="16"/>
      <c r="RDJ49" s="16"/>
      <c r="RDK49" s="16"/>
      <c r="RDL49" s="16"/>
      <c r="RDM49" s="16"/>
      <c r="RDN49" s="16"/>
      <c r="RDO49" s="16"/>
      <c r="RDP49" s="16"/>
      <c r="RDQ49" s="16"/>
      <c r="RDR49" s="16"/>
      <c r="RDS49" s="16"/>
      <c r="RDT49" s="16"/>
      <c r="RDU49" s="16"/>
      <c r="RDV49" s="16"/>
      <c r="RDW49" s="16"/>
      <c r="RDX49" s="16"/>
      <c r="RDY49" s="16"/>
      <c r="RDZ49" s="16"/>
      <c r="REA49" s="16"/>
      <c r="REB49" s="16"/>
      <c r="REC49" s="16"/>
      <c r="RED49" s="16"/>
      <c r="REE49" s="16"/>
      <c r="REF49" s="16"/>
      <c r="REG49" s="16"/>
      <c r="REH49" s="16"/>
      <c r="REI49" s="16"/>
      <c r="REJ49" s="16"/>
      <c r="REK49" s="16"/>
      <c r="REL49" s="16"/>
      <c r="REM49" s="16"/>
      <c r="REN49" s="16"/>
      <c r="REO49" s="16"/>
      <c r="REP49" s="16"/>
      <c r="REQ49" s="16"/>
      <c r="RER49" s="16"/>
      <c r="RES49" s="16"/>
      <c r="RET49" s="16"/>
      <c r="REU49" s="16"/>
      <c r="REV49" s="16"/>
      <c r="REW49" s="16"/>
      <c r="REX49" s="16"/>
      <c r="REY49" s="16"/>
      <c r="REZ49" s="16"/>
      <c r="RFA49" s="16"/>
      <c r="RFB49" s="16"/>
      <c r="RFC49" s="16"/>
      <c r="RFD49" s="16"/>
      <c r="RFE49" s="16"/>
      <c r="RFF49" s="16"/>
      <c r="RFG49" s="16"/>
      <c r="RFH49" s="16"/>
      <c r="RFI49" s="16"/>
      <c r="RFJ49" s="16"/>
      <c r="RFK49" s="16"/>
      <c r="RFL49" s="16"/>
      <c r="RFM49" s="16"/>
      <c r="RFN49" s="16"/>
      <c r="RFO49" s="16"/>
      <c r="RFP49" s="16"/>
      <c r="RFQ49" s="16"/>
      <c r="RFR49" s="16"/>
      <c r="RFS49" s="16"/>
      <c r="RFT49" s="16"/>
      <c r="RFU49" s="16"/>
      <c r="RFV49" s="16"/>
      <c r="RFW49" s="16"/>
      <c r="RFX49" s="16"/>
      <c r="RFY49" s="16"/>
      <c r="RFZ49" s="16"/>
      <c r="RGA49" s="16"/>
      <c r="RGB49" s="16"/>
      <c r="RGC49" s="16"/>
      <c r="RGD49" s="16"/>
      <c r="RGE49" s="16"/>
      <c r="RGF49" s="16"/>
      <c r="RGG49" s="16"/>
      <c r="RGH49" s="16"/>
      <c r="RGI49" s="16"/>
      <c r="RGJ49" s="16"/>
      <c r="RGK49" s="16"/>
      <c r="RGL49" s="16"/>
      <c r="RGM49" s="16"/>
      <c r="RGN49" s="16"/>
      <c r="RGO49" s="16"/>
      <c r="RGP49" s="16"/>
      <c r="RGQ49" s="16"/>
      <c r="RGR49" s="16"/>
      <c r="RGS49" s="16"/>
      <c r="RGT49" s="16"/>
      <c r="RGU49" s="16"/>
      <c r="RGV49" s="16"/>
      <c r="RGW49" s="16"/>
      <c r="RGX49" s="16"/>
      <c r="RGY49" s="16"/>
      <c r="RGZ49" s="16"/>
      <c r="RHA49" s="16"/>
      <c r="RHB49" s="16"/>
      <c r="RHC49" s="16"/>
      <c r="RHD49" s="16"/>
      <c r="RHE49" s="16"/>
      <c r="RHF49" s="16"/>
      <c r="RHG49" s="16"/>
      <c r="RHH49" s="16"/>
      <c r="RHI49" s="16"/>
      <c r="RHJ49" s="16"/>
      <c r="RHK49" s="16"/>
      <c r="RHL49" s="16"/>
      <c r="RHM49" s="16"/>
      <c r="RHN49" s="16"/>
      <c r="RHO49" s="16"/>
      <c r="RHP49" s="16"/>
      <c r="RHQ49" s="16"/>
      <c r="RHR49" s="16"/>
      <c r="RHS49" s="16"/>
      <c r="RHT49" s="16"/>
      <c r="RHU49" s="16"/>
      <c r="RHV49" s="16"/>
      <c r="RHW49" s="16"/>
      <c r="RHX49" s="16"/>
      <c r="RHY49" s="16"/>
      <c r="RHZ49" s="16"/>
      <c r="RIA49" s="16"/>
      <c r="RIB49" s="16"/>
      <c r="RIC49" s="16"/>
      <c r="RID49" s="16"/>
      <c r="RIE49" s="16"/>
      <c r="RIF49" s="16"/>
      <c r="RIG49" s="16"/>
      <c r="RIH49" s="16"/>
      <c r="RII49" s="16"/>
      <c r="RIJ49" s="16"/>
      <c r="RIK49" s="16"/>
      <c r="RIL49" s="16"/>
      <c r="RIM49" s="16"/>
      <c r="RIN49" s="16"/>
      <c r="RIO49" s="16"/>
      <c r="RIP49" s="16"/>
      <c r="RIQ49" s="16"/>
      <c r="RIR49" s="16"/>
      <c r="RIS49" s="16"/>
      <c r="RIT49" s="16"/>
      <c r="RIU49" s="16"/>
      <c r="RIV49" s="16"/>
      <c r="RIW49" s="16"/>
      <c r="RIX49" s="16"/>
      <c r="RIY49" s="16"/>
      <c r="RIZ49" s="16"/>
      <c r="RJA49" s="16"/>
      <c r="RJB49" s="16"/>
      <c r="RJC49" s="16"/>
      <c r="RJD49" s="16"/>
      <c r="RJE49" s="16"/>
      <c r="RJF49" s="16"/>
      <c r="RJG49" s="16"/>
      <c r="RJH49" s="16"/>
      <c r="RJI49" s="16"/>
      <c r="RJJ49" s="16"/>
      <c r="RJK49" s="16"/>
      <c r="RJL49" s="16"/>
      <c r="RJM49" s="16"/>
      <c r="RJN49" s="16"/>
      <c r="RJO49" s="16"/>
      <c r="RJP49" s="16"/>
      <c r="RJQ49" s="16"/>
      <c r="RJR49" s="16"/>
      <c r="RJS49" s="16"/>
      <c r="RJT49" s="16"/>
      <c r="RJU49" s="16"/>
      <c r="RJV49" s="16"/>
      <c r="RJW49" s="16"/>
      <c r="RJX49" s="16"/>
      <c r="RJY49" s="16"/>
      <c r="RJZ49" s="16"/>
      <c r="RKA49" s="16"/>
      <c r="RKB49" s="16"/>
      <c r="RKC49" s="16"/>
      <c r="RKD49" s="16"/>
      <c r="RKE49" s="16"/>
      <c r="RKF49" s="16"/>
      <c r="RKG49" s="16"/>
      <c r="RKH49" s="16"/>
      <c r="RKI49" s="16"/>
      <c r="RKJ49" s="16"/>
      <c r="RKK49" s="16"/>
      <c r="RKL49" s="16"/>
      <c r="RKM49" s="16"/>
      <c r="RKN49" s="16"/>
      <c r="RKO49" s="16"/>
      <c r="RKP49" s="16"/>
      <c r="RKQ49" s="16"/>
      <c r="RKR49" s="16"/>
      <c r="RKS49" s="16"/>
      <c r="RKT49" s="16"/>
      <c r="RKU49" s="16"/>
      <c r="RKV49" s="16"/>
      <c r="RKW49" s="16"/>
      <c r="RKX49" s="16"/>
      <c r="RKY49" s="16"/>
      <c r="RKZ49" s="16"/>
      <c r="RLA49" s="16"/>
      <c r="RLB49" s="16"/>
      <c r="RLC49" s="16"/>
      <c r="RLD49" s="16"/>
      <c r="RLE49" s="16"/>
      <c r="RLF49" s="16"/>
      <c r="RLG49" s="16"/>
      <c r="RLH49" s="16"/>
      <c r="RLI49" s="16"/>
      <c r="RLJ49" s="16"/>
      <c r="RLK49" s="16"/>
      <c r="RLL49" s="16"/>
      <c r="RLM49" s="16"/>
      <c r="RLN49" s="16"/>
      <c r="RLO49" s="16"/>
      <c r="RLP49" s="16"/>
      <c r="RLQ49" s="16"/>
      <c r="RLR49" s="16"/>
      <c r="RLS49" s="16"/>
      <c r="RLT49" s="16"/>
      <c r="RLU49" s="16"/>
      <c r="RLV49" s="16"/>
      <c r="RLW49" s="16"/>
      <c r="RLX49" s="16"/>
      <c r="RLY49" s="16"/>
      <c r="RLZ49" s="16"/>
      <c r="RMA49" s="16"/>
      <c r="RMB49" s="16"/>
      <c r="RMC49" s="16"/>
      <c r="RMD49" s="16"/>
      <c r="RME49" s="16"/>
      <c r="RMF49" s="16"/>
      <c r="RMG49" s="16"/>
      <c r="RMH49" s="16"/>
      <c r="RMI49" s="16"/>
      <c r="RMJ49" s="16"/>
      <c r="RMK49" s="16"/>
      <c r="RML49" s="16"/>
      <c r="RMM49" s="16"/>
      <c r="RMN49" s="16"/>
      <c r="RMO49" s="16"/>
      <c r="RMP49" s="16"/>
      <c r="RMQ49" s="16"/>
      <c r="RMR49" s="16"/>
      <c r="RMS49" s="16"/>
      <c r="RMT49" s="16"/>
      <c r="RMU49" s="16"/>
      <c r="RMV49" s="16"/>
      <c r="RMW49" s="16"/>
      <c r="RMX49" s="16"/>
      <c r="RMY49" s="16"/>
      <c r="RMZ49" s="16"/>
      <c r="RNA49" s="16"/>
      <c r="RNB49" s="16"/>
      <c r="RNC49" s="16"/>
      <c r="RND49" s="16"/>
      <c r="RNE49" s="16"/>
      <c r="RNF49" s="16"/>
      <c r="RNG49" s="16"/>
      <c r="RNH49" s="16"/>
      <c r="RNI49" s="16"/>
      <c r="RNJ49" s="16"/>
      <c r="RNK49" s="16"/>
      <c r="RNL49" s="16"/>
      <c r="RNM49" s="16"/>
      <c r="RNN49" s="16"/>
      <c r="RNO49" s="16"/>
      <c r="RNP49" s="16"/>
      <c r="RNQ49" s="16"/>
      <c r="RNR49" s="16"/>
      <c r="RNS49" s="16"/>
      <c r="RNT49" s="16"/>
      <c r="RNU49" s="16"/>
      <c r="RNV49" s="16"/>
      <c r="RNW49" s="16"/>
      <c r="RNX49" s="16"/>
      <c r="RNY49" s="16"/>
      <c r="RNZ49" s="16"/>
      <c r="ROA49" s="16"/>
      <c r="ROB49" s="16"/>
      <c r="ROC49" s="16"/>
      <c r="ROD49" s="16"/>
      <c r="ROE49" s="16"/>
      <c r="ROF49" s="16"/>
      <c r="ROG49" s="16"/>
      <c r="ROH49" s="16"/>
      <c r="ROI49" s="16"/>
      <c r="ROJ49" s="16"/>
      <c r="ROK49" s="16"/>
      <c r="ROL49" s="16"/>
      <c r="ROM49" s="16"/>
      <c r="RON49" s="16"/>
      <c r="ROO49" s="16"/>
      <c r="ROP49" s="16"/>
      <c r="ROQ49" s="16"/>
      <c r="ROR49" s="16"/>
      <c r="ROS49" s="16"/>
      <c r="ROT49" s="16"/>
      <c r="ROU49" s="16"/>
      <c r="ROV49" s="16"/>
      <c r="ROW49" s="16"/>
      <c r="ROX49" s="16"/>
      <c r="ROY49" s="16"/>
      <c r="ROZ49" s="16"/>
      <c r="RPA49" s="16"/>
      <c r="RPB49" s="16"/>
      <c r="RPC49" s="16"/>
      <c r="RPD49" s="16"/>
      <c r="RPE49" s="16"/>
      <c r="RPF49" s="16"/>
      <c r="RPG49" s="16"/>
      <c r="RPH49" s="16"/>
      <c r="RPI49" s="16"/>
      <c r="RPJ49" s="16"/>
      <c r="RPK49" s="16"/>
      <c r="RPL49" s="16"/>
      <c r="RPM49" s="16"/>
      <c r="RPN49" s="16"/>
      <c r="RPO49" s="16"/>
      <c r="RPP49" s="16"/>
      <c r="RPQ49" s="16"/>
      <c r="RPR49" s="16"/>
      <c r="RPS49" s="16"/>
      <c r="RPT49" s="16"/>
      <c r="RPU49" s="16"/>
      <c r="RPV49" s="16"/>
      <c r="RPW49" s="16"/>
      <c r="RPX49" s="16"/>
      <c r="RPY49" s="16"/>
      <c r="RPZ49" s="16"/>
      <c r="RQA49" s="16"/>
      <c r="RQB49" s="16"/>
      <c r="RQC49" s="16"/>
      <c r="RQD49" s="16"/>
      <c r="RQE49" s="16"/>
      <c r="RQF49" s="16"/>
      <c r="RQG49" s="16"/>
      <c r="RQH49" s="16"/>
      <c r="RQI49" s="16"/>
      <c r="RQJ49" s="16"/>
      <c r="RQK49" s="16"/>
      <c r="RQL49" s="16"/>
      <c r="RQM49" s="16"/>
      <c r="RQN49" s="16"/>
      <c r="RQO49" s="16"/>
      <c r="RQP49" s="16"/>
      <c r="RQQ49" s="16"/>
      <c r="RQR49" s="16"/>
      <c r="RQS49" s="16"/>
      <c r="RQT49" s="16"/>
      <c r="RQU49" s="16"/>
      <c r="RQV49" s="16"/>
      <c r="RQW49" s="16"/>
      <c r="RQX49" s="16"/>
      <c r="RQY49" s="16"/>
      <c r="RQZ49" s="16"/>
      <c r="RRA49" s="16"/>
      <c r="RRB49" s="16"/>
      <c r="RRC49" s="16"/>
      <c r="RRD49" s="16"/>
      <c r="RRE49" s="16"/>
      <c r="RRF49" s="16"/>
      <c r="RRG49" s="16"/>
      <c r="RRH49" s="16"/>
      <c r="RRI49" s="16"/>
      <c r="RRJ49" s="16"/>
      <c r="RRK49" s="16"/>
      <c r="RRL49" s="16"/>
      <c r="RRM49" s="16"/>
      <c r="RRN49" s="16"/>
      <c r="RRO49" s="16"/>
      <c r="RRP49" s="16"/>
      <c r="RRQ49" s="16"/>
      <c r="RRR49" s="16"/>
      <c r="RRS49" s="16"/>
      <c r="RRT49" s="16"/>
      <c r="RRU49" s="16"/>
      <c r="RRV49" s="16"/>
      <c r="RRW49" s="16"/>
      <c r="RRX49" s="16"/>
      <c r="RRY49" s="16"/>
      <c r="RRZ49" s="16"/>
      <c r="RSA49" s="16"/>
      <c r="RSB49" s="16"/>
      <c r="RSC49" s="16"/>
      <c r="RSD49" s="16"/>
      <c r="RSE49" s="16"/>
      <c r="RSF49" s="16"/>
      <c r="RSG49" s="16"/>
      <c r="RSH49" s="16"/>
      <c r="RSI49" s="16"/>
      <c r="RSJ49" s="16"/>
      <c r="RSK49" s="16"/>
      <c r="RSL49" s="16"/>
      <c r="RSM49" s="16"/>
      <c r="RSN49" s="16"/>
      <c r="RSO49" s="16"/>
      <c r="RSP49" s="16"/>
      <c r="RSQ49" s="16"/>
      <c r="RSR49" s="16"/>
      <c r="RSS49" s="16"/>
      <c r="RST49" s="16"/>
      <c r="RSU49" s="16"/>
      <c r="RSV49" s="16"/>
      <c r="RSW49" s="16"/>
      <c r="RSX49" s="16"/>
      <c r="RSY49" s="16"/>
      <c r="RSZ49" s="16"/>
      <c r="RTA49" s="16"/>
      <c r="RTB49" s="16"/>
      <c r="RTC49" s="16"/>
      <c r="RTD49" s="16"/>
      <c r="RTE49" s="16"/>
      <c r="RTF49" s="16"/>
      <c r="RTG49" s="16"/>
      <c r="RTH49" s="16"/>
      <c r="RTI49" s="16"/>
      <c r="RTJ49" s="16"/>
      <c r="RTK49" s="16"/>
      <c r="RTL49" s="16"/>
      <c r="RTM49" s="16"/>
      <c r="RTN49" s="16"/>
      <c r="RTO49" s="16"/>
      <c r="RTP49" s="16"/>
      <c r="RTQ49" s="16"/>
      <c r="RTR49" s="16"/>
      <c r="RTS49" s="16"/>
      <c r="RTT49" s="16"/>
      <c r="RTU49" s="16"/>
      <c r="RTV49" s="16"/>
      <c r="RTW49" s="16"/>
      <c r="RTX49" s="16"/>
      <c r="RTY49" s="16"/>
      <c r="RTZ49" s="16"/>
      <c r="RUA49" s="16"/>
      <c r="RUB49" s="16"/>
      <c r="RUC49" s="16"/>
      <c r="RUD49" s="16"/>
      <c r="RUE49" s="16"/>
      <c r="RUF49" s="16"/>
      <c r="RUG49" s="16"/>
      <c r="RUH49" s="16"/>
      <c r="RUI49" s="16"/>
      <c r="RUJ49" s="16"/>
      <c r="RUK49" s="16"/>
      <c r="RUL49" s="16"/>
      <c r="RUM49" s="16"/>
      <c r="RUN49" s="16"/>
      <c r="RUO49" s="16"/>
      <c r="RUP49" s="16"/>
      <c r="RUQ49" s="16"/>
      <c r="RUR49" s="16"/>
      <c r="RUS49" s="16"/>
      <c r="RUT49" s="16"/>
      <c r="RUU49" s="16"/>
      <c r="RUV49" s="16"/>
      <c r="RUW49" s="16"/>
      <c r="RUX49" s="16"/>
      <c r="RUY49" s="16"/>
      <c r="RUZ49" s="16"/>
      <c r="RVA49" s="16"/>
      <c r="RVB49" s="16"/>
      <c r="RVC49" s="16"/>
      <c r="RVD49" s="16"/>
      <c r="RVE49" s="16"/>
      <c r="RVF49" s="16"/>
      <c r="RVG49" s="16"/>
      <c r="RVH49" s="16"/>
      <c r="RVI49" s="16"/>
      <c r="RVJ49" s="16"/>
      <c r="RVK49" s="16"/>
      <c r="RVL49" s="16"/>
      <c r="RVM49" s="16"/>
      <c r="RVN49" s="16"/>
      <c r="RVO49" s="16"/>
      <c r="RVP49" s="16"/>
      <c r="RVQ49" s="16"/>
      <c r="RVR49" s="16"/>
      <c r="RVS49" s="16"/>
      <c r="RVT49" s="16"/>
      <c r="RVU49" s="16"/>
      <c r="RVV49" s="16"/>
      <c r="RVW49" s="16"/>
      <c r="RVX49" s="16"/>
      <c r="RVY49" s="16"/>
      <c r="RVZ49" s="16"/>
      <c r="RWA49" s="16"/>
      <c r="RWB49" s="16"/>
      <c r="RWC49" s="16"/>
      <c r="RWD49" s="16"/>
      <c r="RWE49" s="16"/>
      <c r="RWF49" s="16"/>
      <c r="RWG49" s="16"/>
      <c r="RWH49" s="16"/>
      <c r="RWI49" s="16"/>
      <c r="RWJ49" s="16"/>
      <c r="RWK49" s="16"/>
      <c r="RWL49" s="16"/>
      <c r="RWM49" s="16"/>
      <c r="RWN49" s="16"/>
      <c r="RWO49" s="16"/>
      <c r="RWP49" s="16"/>
      <c r="RWQ49" s="16"/>
      <c r="RWR49" s="16"/>
      <c r="RWS49" s="16"/>
      <c r="RWT49" s="16"/>
      <c r="RWU49" s="16"/>
      <c r="RWV49" s="16"/>
      <c r="RWW49" s="16"/>
      <c r="RWX49" s="16"/>
      <c r="RWY49" s="16"/>
      <c r="RWZ49" s="16"/>
      <c r="RXA49" s="16"/>
      <c r="RXB49" s="16"/>
      <c r="RXC49" s="16"/>
      <c r="RXD49" s="16"/>
      <c r="RXE49" s="16"/>
      <c r="RXF49" s="16"/>
      <c r="RXG49" s="16"/>
      <c r="RXH49" s="16"/>
      <c r="RXI49" s="16"/>
      <c r="RXJ49" s="16"/>
      <c r="RXK49" s="16"/>
      <c r="RXL49" s="16"/>
      <c r="RXM49" s="16"/>
      <c r="RXN49" s="16"/>
      <c r="RXO49" s="16"/>
      <c r="RXP49" s="16"/>
      <c r="RXQ49" s="16"/>
      <c r="RXR49" s="16"/>
      <c r="RXS49" s="16"/>
      <c r="RXT49" s="16"/>
      <c r="RXU49" s="16"/>
      <c r="RXV49" s="16"/>
      <c r="RXW49" s="16"/>
      <c r="RXX49" s="16"/>
      <c r="RXY49" s="16"/>
      <c r="RXZ49" s="16"/>
      <c r="RYA49" s="16"/>
      <c r="RYB49" s="16"/>
      <c r="RYC49" s="16"/>
      <c r="RYD49" s="16"/>
      <c r="RYE49" s="16"/>
      <c r="RYF49" s="16"/>
      <c r="RYG49" s="16"/>
      <c r="RYH49" s="16"/>
      <c r="RYI49" s="16"/>
      <c r="RYJ49" s="16"/>
      <c r="RYK49" s="16"/>
      <c r="RYL49" s="16"/>
      <c r="RYM49" s="16"/>
      <c r="RYN49" s="16"/>
      <c r="RYO49" s="16"/>
      <c r="RYP49" s="16"/>
      <c r="RYQ49" s="16"/>
      <c r="RYR49" s="16"/>
      <c r="RYS49" s="16"/>
      <c r="RYT49" s="16"/>
      <c r="RYU49" s="16"/>
      <c r="RYV49" s="16"/>
      <c r="RYW49" s="16"/>
      <c r="RYX49" s="16"/>
      <c r="RYY49" s="16"/>
      <c r="RYZ49" s="16"/>
      <c r="RZA49" s="16"/>
      <c r="RZB49" s="16"/>
      <c r="RZC49" s="16"/>
      <c r="RZD49" s="16"/>
      <c r="RZE49" s="16"/>
      <c r="RZF49" s="16"/>
      <c r="RZG49" s="16"/>
      <c r="RZH49" s="16"/>
      <c r="RZI49" s="16"/>
      <c r="RZJ49" s="16"/>
      <c r="RZK49" s="16"/>
      <c r="RZL49" s="16"/>
      <c r="RZM49" s="16"/>
      <c r="RZN49" s="16"/>
      <c r="RZO49" s="16"/>
      <c r="RZP49" s="16"/>
      <c r="RZQ49" s="16"/>
      <c r="RZR49" s="16"/>
      <c r="RZS49" s="16"/>
      <c r="RZT49" s="16"/>
      <c r="RZU49" s="16"/>
      <c r="RZV49" s="16"/>
      <c r="RZW49" s="16"/>
      <c r="RZX49" s="16"/>
      <c r="RZY49" s="16"/>
      <c r="RZZ49" s="16"/>
      <c r="SAA49" s="16"/>
      <c r="SAB49" s="16"/>
      <c r="SAC49" s="16"/>
      <c r="SAD49" s="16"/>
      <c r="SAE49" s="16"/>
      <c r="SAF49" s="16"/>
      <c r="SAG49" s="16"/>
      <c r="SAH49" s="16"/>
      <c r="SAI49" s="16"/>
      <c r="SAJ49" s="16"/>
      <c r="SAK49" s="16"/>
      <c r="SAL49" s="16"/>
      <c r="SAM49" s="16"/>
      <c r="SAN49" s="16"/>
      <c r="SAO49" s="16"/>
      <c r="SAP49" s="16"/>
      <c r="SAQ49" s="16"/>
      <c r="SAR49" s="16"/>
      <c r="SAS49" s="16"/>
      <c r="SAT49" s="16"/>
      <c r="SAU49" s="16"/>
      <c r="SAV49" s="16"/>
      <c r="SAW49" s="16"/>
      <c r="SAX49" s="16"/>
      <c r="SAY49" s="16"/>
      <c r="SAZ49" s="16"/>
      <c r="SBA49" s="16"/>
      <c r="SBB49" s="16"/>
      <c r="SBC49" s="16"/>
      <c r="SBD49" s="16"/>
      <c r="SBE49" s="16"/>
      <c r="SBF49" s="16"/>
      <c r="SBG49" s="16"/>
      <c r="SBH49" s="16"/>
      <c r="SBI49" s="16"/>
      <c r="SBJ49" s="16"/>
      <c r="SBK49" s="16"/>
      <c r="SBL49" s="16"/>
      <c r="SBM49" s="16"/>
      <c r="SBN49" s="16"/>
      <c r="SBO49" s="16"/>
      <c r="SBP49" s="16"/>
      <c r="SBQ49" s="16"/>
      <c r="SBR49" s="16"/>
      <c r="SBS49" s="16"/>
      <c r="SBT49" s="16"/>
      <c r="SBU49" s="16"/>
      <c r="SBV49" s="16"/>
      <c r="SBW49" s="16"/>
      <c r="SBX49" s="16"/>
      <c r="SBY49" s="16"/>
      <c r="SBZ49" s="16"/>
      <c r="SCA49" s="16"/>
      <c r="SCB49" s="16"/>
      <c r="SCC49" s="16"/>
      <c r="SCD49" s="16"/>
      <c r="SCE49" s="16"/>
      <c r="SCF49" s="16"/>
      <c r="SCG49" s="16"/>
      <c r="SCH49" s="16"/>
      <c r="SCI49" s="16"/>
      <c r="SCJ49" s="16"/>
      <c r="SCK49" s="16"/>
      <c r="SCL49" s="16"/>
      <c r="SCM49" s="16"/>
      <c r="SCN49" s="16"/>
      <c r="SCO49" s="16"/>
      <c r="SCP49" s="16"/>
      <c r="SCQ49" s="16"/>
      <c r="SCR49" s="16"/>
      <c r="SCS49" s="16"/>
      <c r="SCT49" s="16"/>
      <c r="SCU49" s="16"/>
      <c r="SCV49" s="16"/>
      <c r="SCW49" s="16"/>
      <c r="SCX49" s="16"/>
      <c r="SCY49" s="16"/>
      <c r="SCZ49" s="16"/>
      <c r="SDA49" s="16"/>
      <c r="SDB49" s="16"/>
      <c r="SDC49" s="16"/>
      <c r="SDD49" s="16"/>
      <c r="SDE49" s="16"/>
      <c r="SDF49" s="16"/>
      <c r="SDG49" s="16"/>
      <c r="SDH49" s="16"/>
      <c r="SDI49" s="16"/>
      <c r="SDJ49" s="16"/>
      <c r="SDK49" s="16"/>
      <c r="SDL49" s="16"/>
      <c r="SDM49" s="16"/>
      <c r="SDN49" s="16"/>
      <c r="SDO49" s="16"/>
      <c r="SDP49" s="16"/>
      <c r="SDQ49" s="16"/>
      <c r="SDR49" s="16"/>
      <c r="SDS49" s="16"/>
      <c r="SDT49" s="16"/>
      <c r="SDU49" s="16"/>
      <c r="SDV49" s="16"/>
      <c r="SDW49" s="16"/>
      <c r="SDX49" s="16"/>
      <c r="SDY49" s="16"/>
      <c r="SDZ49" s="16"/>
      <c r="SEA49" s="16"/>
      <c r="SEB49" s="16"/>
      <c r="SEC49" s="16"/>
      <c r="SED49" s="16"/>
      <c r="SEE49" s="16"/>
      <c r="SEF49" s="16"/>
      <c r="SEG49" s="16"/>
      <c r="SEH49" s="16"/>
      <c r="SEI49" s="16"/>
      <c r="SEJ49" s="16"/>
      <c r="SEK49" s="16"/>
      <c r="SEL49" s="16"/>
      <c r="SEM49" s="16"/>
      <c r="SEN49" s="16"/>
      <c r="SEO49" s="16"/>
      <c r="SEP49" s="16"/>
      <c r="SEQ49" s="16"/>
      <c r="SER49" s="16"/>
      <c r="SES49" s="16"/>
      <c r="SET49" s="16"/>
      <c r="SEU49" s="16"/>
      <c r="SEV49" s="16"/>
      <c r="SEW49" s="16"/>
      <c r="SEX49" s="16"/>
      <c r="SEY49" s="16"/>
      <c r="SEZ49" s="16"/>
      <c r="SFA49" s="16"/>
      <c r="SFB49" s="16"/>
      <c r="SFC49" s="16"/>
      <c r="SFD49" s="16"/>
      <c r="SFE49" s="16"/>
      <c r="SFF49" s="16"/>
      <c r="SFG49" s="16"/>
      <c r="SFH49" s="16"/>
      <c r="SFI49" s="16"/>
      <c r="SFJ49" s="16"/>
      <c r="SFK49" s="16"/>
      <c r="SFL49" s="16"/>
      <c r="SFM49" s="16"/>
      <c r="SFN49" s="16"/>
      <c r="SFO49" s="16"/>
      <c r="SFP49" s="16"/>
      <c r="SFQ49" s="16"/>
      <c r="SFR49" s="16"/>
      <c r="SFS49" s="16"/>
      <c r="SFT49" s="16"/>
      <c r="SFU49" s="16"/>
      <c r="SFV49" s="16"/>
      <c r="SFW49" s="16"/>
      <c r="SFX49" s="16"/>
      <c r="SFY49" s="16"/>
      <c r="SFZ49" s="16"/>
      <c r="SGA49" s="16"/>
      <c r="SGB49" s="16"/>
      <c r="SGC49" s="16"/>
      <c r="SGD49" s="16"/>
      <c r="SGE49" s="16"/>
      <c r="SGF49" s="16"/>
      <c r="SGG49" s="16"/>
      <c r="SGH49" s="16"/>
      <c r="SGI49" s="16"/>
      <c r="SGJ49" s="16"/>
      <c r="SGK49" s="16"/>
      <c r="SGL49" s="16"/>
      <c r="SGM49" s="16"/>
      <c r="SGN49" s="16"/>
      <c r="SGO49" s="16"/>
      <c r="SGP49" s="16"/>
      <c r="SGQ49" s="16"/>
      <c r="SGR49" s="16"/>
      <c r="SGS49" s="16"/>
      <c r="SGT49" s="16"/>
      <c r="SGU49" s="16"/>
      <c r="SGV49" s="16"/>
      <c r="SGW49" s="16"/>
      <c r="SGX49" s="16"/>
      <c r="SGY49" s="16"/>
      <c r="SGZ49" s="16"/>
      <c r="SHA49" s="16"/>
      <c r="SHB49" s="16"/>
      <c r="SHC49" s="16"/>
      <c r="SHD49" s="16"/>
      <c r="SHE49" s="16"/>
      <c r="SHF49" s="16"/>
      <c r="SHG49" s="16"/>
      <c r="SHH49" s="16"/>
      <c r="SHI49" s="16"/>
      <c r="SHJ49" s="16"/>
      <c r="SHK49" s="16"/>
      <c r="SHL49" s="16"/>
      <c r="SHM49" s="16"/>
      <c r="SHN49" s="16"/>
      <c r="SHO49" s="16"/>
      <c r="SHP49" s="16"/>
      <c r="SHQ49" s="16"/>
      <c r="SHR49" s="16"/>
      <c r="SHS49" s="16"/>
      <c r="SHT49" s="16"/>
      <c r="SHU49" s="16"/>
      <c r="SHV49" s="16"/>
      <c r="SHW49" s="16"/>
      <c r="SHX49" s="16"/>
      <c r="SHY49" s="16"/>
      <c r="SHZ49" s="16"/>
      <c r="SIA49" s="16"/>
      <c r="SIB49" s="16"/>
      <c r="SIC49" s="16"/>
      <c r="SID49" s="16"/>
      <c r="SIE49" s="16"/>
      <c r="SIF49" s="16"/>
      <c r="SIG49" s="16"/>
      <c r="SIH49" s="16"/>
      <c r="SII49" s="16"/>
      <c r="SIJ49" s="16"/>
      <c r="SIK49" s="16"/>
      <c r="SIL49" s="16"/>
      <c r="SIM49" s="16"/>
      <c r="SIN49" s="16"/>
      <c r="SIO49" s="16"/>
      <c r="SIP49" s="16"/>
      <c r="SIQ49" s="16"/>
      <c r="SIR49" s="16"/>
      <c r="SIS49" s="16"/>
      <c r="SIT49" s="16"/>
      <c r="SIU49" s="16"/>
      <c r="SIV49" s="16"/>
      <c r="SIW49" s="16"/>
      <c r="SIX49" s="16"/>
      <c r="SIY49" s="16"/>
      <c r="SIZ49" s="16"/>
      <c r="SJA49" s="16"/>
      <c r="SJB49" s="16"/>
      <c r="SJC49" s="16"/>
      <c r="SJD49" s="16"/>
      <c r="SJE49" s="16"/>
      <c r="SJF49" s="16"/>
      <c r="SJG49" s="16"/>
      <c r="SJH49" s="16"/>
      <c r="SJI49" s="16"/>
      <c r="SJJ49" s="16"/>
      <c r="SJK49" s="16"/>
      <c r="SJL49" s="16"/>
      <c r="SJM49" s="16"/>
      <c r="SJN49" s="16"/>
      <c r="SJO49" s="16"/>
      <c r="SJP49" s="16"/>
      <c r="SJQ49" s="16"/>
      <c r="SJR49" s="16"/>
      <c r="SJS49" s="16"/>
      <c r="SJT49" s="16"/>
      <c r="SJU49" s="16"/>
      <c r="SJV49" s="16"/>
      <c r="SJW49" s="16"/>
      <c r="SJX49" s="16"/>
      <c r="SJY49" s="16"/>
      <c r="SJZ49" s="16"/>
      <c r="SKA49" s="16"/>
      <c r="SKB49" s="16"/>
      <c r="SKC49" s="16"/>
      <c r="SKD49" s="16"/>
      <c r="SKE49" s="16"/>
      <c r="SKF49" s="16"/>
      <c r="SKG49" s="16"/>
      <c r="SKH49" s="16"/>
      <c r="SKI49" s="16"/>
      <c r="SKJ49" s="16"/>
      <c r="SKK49" s="16"/>
      <c r="SKL49" s="16"/>
      <c r="SKM49" s="16"/>
      <c r="SKN49" s="16"/>
      <c r="SKO49" s="16"/>
      <c r="SKP49" s="16"/>
      <c r="SKQ49" s="16"/>
      <c r="SKR49" s="16"/>
      <c r="SKS49" s="16"/>
      <c r="SKT49" s="16"/>
      <c r="SKU49" s="16"/>
      <c r="SKV49" s="16"/>
      <c r="SKW49" s="16"/>
      <c r="SKX49" s="16"/>
      <c r="SKY49" s="16"/>
      <c r="SKZ49" s="16"/>
      <c r="SLA49" s="16"/>
      <c r="SLB49" s="16"/>
      <c r="SLC49" s="16"/>
      <c r="SLD49" s="16"/>
      <c r="SLE49" s="16"/>
      <c r="SLF49" s="16"/>
      <c r="SLG49" s="16"/>
      <c r="SLH49" s="16"/>
      <c r="SLI49" s="16"/>
      <c r="SLJ49" s="16"/>
      <c r="SLK49" s="16"/>
      <c r="SLL49" s="16"/>
      <c r="SLM49" s="16"/>
      <c r="SLN49" s="16"/>
      <c r="SLO49" s="16"/>
      <c r="SLP49" s="16"/>
      <c r="SLQ49" s="16"/>
      <c r="SLR49" s="16"/>
      <c r="SLS49" s="16"/>
      <c r="SLT49" s="16"/>
      <c r="SLU49" s="16"/>
      <c r="SLV49" s="16"/>
      <c r="SLW49" s="16"/>
      <c r="SLX49" s="16"/>
      <c r="SLY49" s="16"/>
      <c r="SLZ49" s="16"/>
      <c r="SMA49" s="16"/>
      <c r="SMB49" s="16"/>
      <c r="SMC49" s="16"/>
      <c r="SMD49" s="16"/>
      <c r="SME49" s="16"/>
      <c r="SMF49" s="16"/>
      <c r="SMG49" s="16"/>
      <c r="SMH49" s="16"/>
      <c r="SMI49" s="16"/>
      <c r="SMJ49" s="16"/>
      <c r="SMK49" s="16"/>
      <c r="SML49" s="16"/>
      <c r="SMM49" s="16"/>
      <c r="SMN49" s="16"/>
      <c r="SMO49" s="16"/>
      <c r="SMP49" s="16"/>
      <c r="SMQ49" s="16"/>
      <c r="SMR49" s="16"/>
      <c r="SMS49" s="16"/>
      <c r="SMT49" s="16"/>
      <c r="SMU49" s="16"/>
      <c r="SMV49" s="16"/>
      <c r="SMW49" s="16"/>
      <c r="SMX49" s="16"/>
      <c r="SMY49" s="16"/>
      <c r="SMZ49" s="16"/>
      <c r="SNA49" s="16"/>
      <c r="SNB49" s="16"/>
      <c r="SNC49" s="16"/>
      <c r="SND49" s="16"/>
      <c r="SNE49" s="16"/>
      <c r="SNF49" s="16"/>
      <c r="SNG49" s="16"/>
      <c r="SNH49" s="16"/>
      <c r="SNI49" s="16"/>
      <c r="SNJ49" s="16"/>
      <c r="SNK49" s="16"/>
      <c r="SNL49" s="16"/>
      <c r="SNM49" s="16"/>
      <c r="SNN49" s="16"/>
      <c r="SNO49" s="16"/>
      <c r="SNP49" s="16"/>
      <c r="SNQ49" s="16"/>
      <c r="SNR49" s="16"/>
      <c r="SNS49" s="16"/>
      <c r="SNT49" s="16"/>
      <c r="SNU49" s="16"/>
      <c r="SNV49" s="16"/>
      <c r="SNW49" s="16"/>
      <c r="SNX49" s="16"/>
      <c r="SNY49" s="16"/>
      <c r="SNZ49" s="16"/>
      <c r="SOA49" s="16"/>
      <c r="SOB49" s="16"/>
      <c r="SOC49" s="16"/>
      <c r="SOD49" s="16"/>
      <c r="SOE49" s="16"/>
      <c r="SOF49" s="16"/>
      <c r="SOG49" s="16"/>
      <c r="SOH49" s="16"/>
      <c r="SOI49" s="16"/>
      <c r="SOJ49" s="16"/>
      <c r="SOK49" s="16"/>
      <c r="SOL49" s="16"/>
      <c r="SOM49" s="16"/>
      <c r="SON49" s="16"/>
      <c r="SOO49" s="16"/>
      <c r="SOP49" s="16"/>
      <c r="SOQ49" s="16"/>
      <c r="SOR49" s="16"/>
      <c r="SOS49" s="16"/>
      <c r="SOT49" s="16"/>
      <c r="SOU49" s="16"/>
      <c r="SOV49" s="16"/>
      <c r="SOW49" s="16"/>
      <c r="SOX49" s="16"/>
      <c r="SOY49" s="16"/>
      <c r="SOZ49" s="16"/>
      <c r="SPA49" s="16"/>
      <c r="SPB49" s="16"/>
      <c r="SPC49" s="16"/>
      <c r="SPD49" s="16"/>
      <c r="SPE49" s="16"/>
      <c r="SPF49" s="16"/>
      <c r="SPG49" s="16"/>
      <c r="SPH49" s="16"/>
      <c r="SPI49" s="16"/>
      <c r="SPJ49" s="16"/>
      <c r="SPK49" s="16"/>
      <c r="SPL49" s="16"/>
      <c r="SPM49" s="16"/>
      <c r="SPN49" s="16"/>
      <c r="SPO49" s="16"/>
      <c r="SPP49" s="16"/>
      <c r="SPQ49" s="16"/>
      <c r="SPR49" s="16"/>
      <c r="SPS49" s="16"/>
      <c r="SPT49" s="16"/>
      <c r="SPU49" s="16"/>
      <c r="SPV49" s="16"/>
      <c r="SPW49" s="16"/>
      <c r="SPX49" s="16"/>
      <c r="SPY49" s="16"/>
      <c r="SPZ49" s="16"/>
      <c r="SQA49" s="16"/>
      <c r="SQB49" s="16"/>
      <c r="SQC49" s="16"/>
      <c r="SQD49" s="16"/>
      <c r="SQE49" s="16"/>
      <c r="SQF49" s="16"/>
      <c r="SQG49" s="16"/>
      <c r="SQH49" s="16"/>
      <c r="SQI49" s="16"/>
      <c r="SQJ49" s="16"/>
      <c r="SQK49" s="16"/>
      <c r="SQL49" s="16"/>
      <c r="SQM49" s="16"/>
      <c r="SQN49" s="16"/>
      <c r="SQO49" s="16"/>
      <c r="SQP49" s="16"/>
      <c r="SQQ49" s="16"/>
      <c r="SQR49" s="16"/>
      <c r="SQS49" s="16"/>
      <c r="SQT49" s="16"/>
      <c r="SQU49" s="16"/>
      <c r="SQV49" s="16"/>
      <c r="SQW49" s="16"/>
      <c r="SQX49" s="16"/>
      <c r="SQY49" s="16"/>
      <c r="SQZ49" s="16"/>
      <c r="SRA49" s="16"/>
      <c r="SRB49" s="16"/>
      <c r="SRC49" s="16"/>
      <c r="SRD49" s="16"/>
      <c r="SRE49" s="16"/>
      <c r="SRF49" s="16"/>
      <c r="SRG49" s="16"/>
      <c r="SRH49" s="16"/>
      <c r="SRI49" s="16"/>
      <c r="SRJ49" s="16"/>
      <c r="SRK49" s="16"/>
      <c r="SRL49" s="16"/>
      <c r="SRM49" s="16"/>
      <c r="SRN49" s="16"/>
      <c r="SRO49" s="16"/>
      <c r="SRP49" s="16"/>
      <c r="SRQ49" s="16"/>
      <c r="SRR49" s="16"/>
      <c r="SRS49" s="16"/>
      <c r="SRT49" s="16"/>
      <c r="SRU49" s="16"/>
      <c r="SRV49" s="16"/>
      <c r="SRW49" s="16"/>
      <c r="SRX49" s="16"/>
      <c r="SRY49" s="16"/>
      <c r="SRZ49" s="16"/>
      <c r="SSA49" s="16"/>
      <c r="SSB49" s="16"/>
      <c r="SSC49" s="16"/>
      <c r="SSD49" s="16"/>
      <c r="SSE49" s="16"/>
      <c r="SSF49" s="16"/>
      <c r="SSG49" s="16"/>
      <c r="SSH49" s="16"/>
      <c r="SSI49" s="16"/>
      <c r="SSJ49" s="16"/>
      <c r="SSK49" s="16"/>
      <c r="SSL49" s="16"/>
      <c r="SSM49" s="16"/>
      <c r="SSN49" s="16"/>
      <c r="SSO49" s="16"/>
      <c r="SSP49" s="16"/>
      <c r="SSQ49" s="16"/>
      <c r="SSR49" s="16"/>
      <c r="SSS49" s="16"/>
      <c r="SST49" s="16"/>
      <c r="SSU49" s="16"/>
      <c r="SSV49" s="16"/>
      <c r="SSW49" s="16"/>
      <c r="SSX49" s="16"/>
      <c r="SSY49" s="16"/>
      <c r="SSZ49" s="16"/>
      <c r="STA49" s="16"/>
      <c r="STB49" s="16"/>
      <c r="STC49" s="16"/>
      <c r="STD49" s="16"/>
      <c r="STE49" s="16"/>
      <c r="STF49" s="16"/>
      <c r="STG49" s="16"/>
      <c r="STH49" s="16"/>
      <c r="STI49" s="16"/>
      <c r="STJ49" s="16"/>
      <c r="STK49" s="16"/>
      <c r="STL49" s="16"/>
      <c r="STM49" s="16"/>
      <c r="STN49" s="16"/>
      <c r="STO49" s="16"/>
      <c r="STP49" s="16"/>
      <c r="STQ49" s="16"/>
      <c r="STR49" s="16"/>
      <c r="STS49" s="16"/>
      <c r="STT49" s="16"/>
      <c r="STU49" s="16"/>
      <c r="STV49" s="16"/>
      <c r="STW49" s="16"/>
      <c r="STX49" s="16"/>
      <c r="STY49" s="16"/>
      <c r="STZ49" s="16"/>
      <c r="SUA49" s="16"/>
      <c r="SUB49" s="16"/>
      <c r="SUC49" s="16"/>
      <c r="SUD49" s="16"/>
      <c r="SUE49" s="16"/>
      <c r="SUF49" s="16"/>
      <c r="SUG49" s="16"/>
      <c r="SUH49" s="16"/>
      <c r="SUI49" s="16"/>
      <c r="SUJ49" s="16"/>
      <c r="SUK49" s="16"/>
      <c r="SUL49" s="16"/>
      <c r="SUM49" s="16"/>
      <c r="SUN49" s="16"/>
      <c r="SUO49" s="16"/>
      <c r="SUP49" s="16"/>
      <c r="SUQ49" s="16"/>
      <c r="SUR49" s="16"/>
      <c r="SUS49" s="16"/>
      <c r="SUT49" s="16"/>
      <c r="SUU49" s="16"/>
      <c r="SUV49" s="16"/>
      <c r="SUW49" s="16"/>
      <c r="SUX49" s="16"/>
      <c r="SUY49" s="16"/>
      <c r="SUZ49" s="16"/>
      <c r="SVA49" s="16"/>
      <c r="SVB49" s="16"/>
      <c r="SVC49" s="16"/>
      <c r="SVD49" s="16"/>
      <c r="SVE49" s="16"/>
      <c r="SVF49" s="16"/>
      <c r="SVG49" s="16"/>
      <c r="SVH49" s="16"/>
      <c r="SVI49" s="16"/>
      <c r="SVJ49" s="16"/>
      <c r="SVK49" s="16"/>
      <c r="SVL49" s="16"/>
      <c r="SVM49" s="16"/>
      <c r="SVN49" s="16"/>
      <c r="SVO49" s="16"/>
      <c r="SVP49" s="16"/>
      <c r="SVQ49" s="16"/>
      <c r="SVR49" s="16"/>
      <c r="SVS49" s="16"/>
      <c r="SVT49" s="16"/>
      <c r="SVU49" s="16"/>
      <c r="SVV49" s="16"/>
      <c r="SVW49" s="16"/>
      <c r="SVX49" s="16"/>
      <c r="SVY49" s="16"/>
      <c r="SVZ49" s="16"/>
      <c r="SWA49" s="16"/>
      <c r="SWB49" s="16"/>
      <c r="SWC49" s="16"/>
      <c r="SWD49" s="16"/>
      <c r="SWE49" s="16"/>
      <c r="SWF49" s="16"/>
      <c r="SWG49" s="16"/>
      <c r="SWH49" s="16"/>
      <c r="SWI49" s="16"/>
      <c r="SWJ49" s="16"/>
      <c r="SWK49" s="16"/>
      <c r="SWL49" s="16"/>
      <c r="SWM49" s="16"/>
      <c r="SWN49" s="16"/>
      <c r="SWO49" s="16"/>
      <c r="SWP49" s="16"/>
      <c r="SWQ49" s="16"/>
      <c r="SWR49" s="16"/>
      <c r="SWS49" s="16"/>
      <c r="SWT49" s="16"/>
      <c r="SWU49" s="16"/>
      <c r="SWV49" s="16"/>
      <c r="SWW49" s="16"/>
      <c r="SWX49" s="16"/>
      <c r="SWY49" s="16"/>
      <c r="SWZ49" s="16"/>
      <c r="SXA49" s="16"/>
      <c r="SXB49" s="16"/>
      <c r="SXC49" s="16"/>
      <c r="SXD49" s="16"/>
      <c r="SXE49" s="16"/>
      <c r="SXF49" s="16"/>
      <c r="SXG49" s="16"/>
      <c r="SXH49" s="16"/>
      <c r="SXI49" s="16"/>
      <c r="SXJ49" s="16"/>
      <c r="SXK49" s="16"/>
      <c r="SXL49" s="16"/>
      <c r="SXM49" s="16"/>
      <c r="SXN49" s="16"/>
      <c r="SXO49" s="16"/>
      <c r="SXP49" s="16"/>
      <c r="SXQ49" s="16"/>
      <c r="SXR49" s="16"/>
      <c r="SXS49" s="16"/>
      <c r="SXT49" s="16"/>
      <c r="SXU49" s="16"/>
      <c r="SXV49" s="16"/>
      <c r="SXW49" s="16"/>
      <c r="SXX49" s="16"/>
      <c r="SXY49" s="16"/>
      <c r="SXZ49" s="16"/>
      <c r="SYA49" s="16"/>
      <c r="SYB49" s="16"/>
      <c r="SYC49" s="16"/>
      <c r="SYD49" s="16"/>
      <c r="SYE49" s="16"/>
      <c r="SYF49" s="16"/>
      <c r="SYG49" s="16"/>
      <c r="SYH49" s="16"/>
      <c r="SYI49" s="16"/>
      <c r="SYJ49" s="16"/>
      <c r="SYK49" s="16"/>
      <c r="SYL49" s="16"/>
      <c r="SYM49" s="16"/>
      <c r="SYN49" s="16"/>
      <c r="SYO49" s="16"/>
      <c r="SYP49" s="16"/>
      <c r="SYQ49" s="16"/>
      <c r="SYR49" s="16"/>
      <c r="SYS49" s="16"/>
      <c r="SYT49" s="16"/>
      <c r="SYU49" s="16"/>
      <c r="SYV49" s="16"/>
      <c r="SYW49" s="16"/>
      <c r="SYX49" s="16"/>
      <c r="SYY49" s="16"/>
      <c r="SYZ49" s="16"/>
      <c r="SZA49" s="16"/>
      <c r="SZB49" s="16"/>
      <c r="SZC49" s="16"/>
      <c r="SZD49" s="16"/>
      <c r="SZE49" s="16"/>
      <c r="SZF49" s="16"/>
      <c r="SZG49" s="16"/>
      <c r="SZH49" s="16"/>
      <c r="SZI49" s="16"/>
      <c r="SZJ49" s="16"/>
      <c r="SZK49" s="16"/>
      <c r="SZL49" s="16"/>
      <c r="SZM49" s="16"/>
      <c r="SZN49" s="16"/>
      <c r="SZO49" s="16"/>
      <c r="SZP49" s="16"/>
      <c r="SZQ49" s="16"/>
      <c r="SZR49" s="16"/>
      <c r="SZS49" s="16"/>
      <c r="SZT49" s="16"/>
      <c r="SZU49" s="16"/>
      <c r="SZV49" s="16"/>
      <c r="SZW49" s="16"/>
      <c r="SZX49" s="16"/>
      <c r="SZY49" s="16"/>
      <c r="SZZ49" s="16"/>
      <c r="TAA49" s="16"/>
      <c r="TAB49" s="16"/>
      <c r="TAC49" s="16"/>
      <c r="TAD49" s="16"/>
      <c r="TAE49" s="16"/>
      <c r="TAF49" s="16"/>
      <c r="TAG49" s="16"/>
      <c r="TAH49" s="16"/>
      <c r="TAI49" s="16"/>
      <c r="TAJ49" s="16"/>
      <c r="TAK49" s="16"/>
      <c r="TAL49" s="16"/>
      <c r="TAM49" s="16"/>
      <c r="TAN49" s="16"/>
      <c r="TAO49" s="16"/>
      <c r="TAP49" s="16"/>
      <c r="TAQ49" s="16"/>
      <c r="TAR49" s="16"/>
      <c r="TAS49" s="16"/>
      <c r="TAT49" s="16"/>
      <c r="TAU49" s="16"/>
      <c r="TAV49" s="16"/>
      <c r="TAW49" s="16"/>
      <c r="TAX49" s="16"/>
      <c r="TAY49" s="16"/>
      <c r="TAZ49" s="16"/>
      <c r="TBA49" s="16"/>
      <c r="TBB49" s="16"/>
      <c r="TBC49" s="16"/>
      <c r="TBD49" s="16"/>
      <c r="TBE49" s="16"/>
      <c r="TBF49" s="16"/>
      <c r="TBG49" s="16"/>
      <c r="TBH49" s="16"/>
      <c r="TBI49" s="16"/>
      <c r="TBJ49" s="16"/>
      <c r="TBK49" s="16"/>
      <c r="TBL49" s="16"/>
      <c r="TBM49" s="16"/>
      <c r="TBN49" s="16"/>
      <c r="TBO49" s="16"/>
      <c r="TBP49" s="16"/>
      <c r="TBQ49" s="16"/>
      <c r="TBR49" s="16"/>
      <c r="TBS49" s="16"/>
      <c r="TBT49" s="16"/>
      <c r="TBU49" s="16"/>
      <c r="TBV49" s="16"/>
      <c r="TBW49" s="16"/>
      <c r="TBX49" s="16"/>
      <c r="TBY49" s="16"/>
      <c r="TBZ49" s="16"/>
      <c r="TCA49" s="16"/>
      <c r="TCB49" s="16"/>
      <c r="TCC49" s="16"/>
      <c r="TCD49" s="16"/>
      <c r="TCE49" s="16"/>
      <c r="TCF49" s="16"/>
      <c r="TCG49" s="16"/>
      <c r="TCH49" s="16"/>
      <c r="TCI49" s="16"/>
      <c r="TCJ49" s="16"/>
      <c r="TCK49" s="16"/>
      <c r="TCL49" s="16"/>
      <c r="TCM49" s="16"/>
      <c r="TCN49" s="16"/>
      <c r="TCO49" s="16"/>
      <c r="TCP49" s="16"/>
      <c r="TCQ49" s="16"/>
      <c r="TCR49" s="16"/>
      <c r="TCS49" s="16"/>
      <c r="TCT49" s="16"/>
      <c r="TCU49" s="16"/>
      <c r="TCV49" s="16"/>
      <c r="TCW49" s="16"/>
      <c r="TCX49" s="16"/>
      <c r="TCY49" s="16"/>
      <c r="TCZ49" s="16"/>
      <c r="TDA49" s="16"/>
      <c r="TDB49" s="16"/>
      <c r="TDC49" s="16"/>
      <c r="TDD49" s="16"/>
      <c r="TDE49" s="16"/>
      <c r="TDF49" s="16"/>
      <c r="TDG49" s="16"/>
      <c r="TDH49" s="16"/>
      <c r="TDI49" s="16"/>
      <c r="TDJ49" s="16"/>
      <c r="TDK49" s="16"/>
      <c r="TDL49" s="16"/>
      <c r="TDM49" s="16"/>
      <c r="TDN49" s="16"/>
      <c r="TDO49" s="16"/>
      <c r="TDP49" s="16"/>
      <c r="TDQ49" s="16"/>
      <c r="TDR49" s="16"/>
      <c r="TDS49" s="16"/>
      <c r="TDT49" s="16"/>
      <c r="TDU49" s="16"/>
      <c r="TDV49" s="16"/>
      <c r="TDW49" s="16"/>
      <c r="TDX49" s="16"/>
      <c r="TDY49" s="16"/>
      <c r="TDZ49" s="16"/>
      <c r="TEA49" s="16"/>
      <c r="TEB49" s="16"/>
      <c r="TEC49" s="16"/>
      <c r="TED49" s="16"/>
      <c r="TEE49" s="16"/>
      <c r="TEF49" s="16"/>
      <c r="TEG49" s="16"/>
      <c r="TEH49" s="16"/>
      <c r="TEI49" s="16"/>
      <c r="TEJ49" s="16"/>
      <c r="TEK49" s="16"/>
      <c r="TEL49" s="16"/>
      <c r="TEM49" s="16"/>
      <c r="TEN49" s="16"/>
      <c r="TEO49" s="16"/>
      <c r="TEP49" s="16"/>
      <c r="TEQ49" s="16"/>
      <c r="TER49" s="16"/>
      <c r="TES49" s="16"/>
      <c r="TET49" s="16"/>
      <c r="TEU49" s="16"/>
      <c r="TEV49" s="16"/>
      <c r="TEW49" s="16"/>
      <c r="TEX49" s="16"/>
      <c r="TEY49" s="16"/>
      <c r="TEZ49" s="16"/>
      <c r="TFA49" s="16"/>
      <c r="TFB49" s="16"/>
      <c r="TFC49" s="16"/>
      <c r="TFD49" s="16"/>
      <c r="TFE49" s="16"/>
      <c r="TFF49" s="16"/>
      <c r="TFG49" s="16"/>
      <c r="TFH49" s="16"/>
      <c r="TFI49" s="16"/>
      <c r="TFJ49" s="16"/>
      <c r="TFK49" s="16"/>
      <c r="TFL49" s="16"/>
      <c r="TFM49" s="16"/>
      <c r="TFN49" s="16"/>
      <c r="TFO49" s="16"/>
      <c r="TFP49" s="16"/>
      <c r="TFQ49" s="16"/>
      <c r="TFR49" s="16"/>
      <c r="TFS49" s="16"/>
      <c r="TFT49" s="16"/>
      <c r="TFU49" s="16"/>
      <c r="TFV49" s="16"/>
      <c r="TFW49" s="16"/>
      <c r="TFX49" s="16"/>
      <c r="TFY49" s="16"/>
      <c r="TFZ49" s="16"/>
      <c r="TGA49" s="16"/>
      <c r="TGB49" s="16"/>
      <c r="TGC49" s="16"/>
      <c r="TGD49" s="16"/>
      <c r="TGE49" s="16"/>
      <c r="TGF49" s="16"/>
      <c r="TGG49" s="16"/>
      <c r="TGH49" s="16"/>
      <c r="TGI49" s="16"/>
      <c r="TGJ49" s="16"/>
      <c r="TGK49" s="16"/>
      <c r="TGL49" s="16"/>
      <c r="TGM49" s="16"/>
      <c r="TGN49" s="16"/>
      <c r="TGO49" s="16"/>
      <c r="TGP49" s="16"/>
      <c r="TGQ49" s="16"/>
      <c r="TGR49" s="16"/>
      <c r="TGS49" s="16"/>
      <c r="TGT49" s="16"/>
      <c r="TGU49" s="16"/>
      <c r="TGV49" s="16"/>
      <c r="TGW49" s="16"/>
      <c r="TGX49" s="16"/>
      <c r="TGY49" s="16"/>
      <c r="TGZ49" s="16"/>
      <c r="THA49" s="16"/>
      <c r="THB49" s="16"/>
      <c r="THC49" s="16"/>
      <c r="THD49" s="16"/>
      <c r="THE49" s="16"/>
      <c r="THF49" s="16"/>
      <c r="THG49" s="16"/>
      <c r="THH49" s="16"/>
      <c r="THI49" s="16"/>
      <c r="THJ49" s="16"/>
      <c r="THK49" s="16"/>
      <c r="THL49" s="16"/>
      <c r="THM49" s="16"/>
      <c r="THN49" s="16"/>
      <c r="THO49" s="16"/>
      <c r="THP49" s="16"/>
      <c r="THQ49" s="16"/>
      <c r="THR49" s="16"/>
      <c r="THS49" s="16"/>
      <c r="THT49" s="16"/>
      <c r="THU49" s="16"/>
      <c r="THV49" s="16"/>
      <c r="THW49" s="16"/>
      <c r="THX49" s="16"/>
      <c r="THY49" s="16"/>
      <c r="THZ49" s="16"/>
      <c r="TIA49" s="16"/>
      <c r="TIB49" s="16"/>
      <c r="TIC49" s="16"/>
      <c r="TID49" s="16"/>
      <c r="TIE49" s="16"/>
      <c r="TIF49" s="16"/>
      <c r="TIG49" s="16"/>
      <c r="TIH49" s="16"/>
      <c r="TII49" s="16"/>
      <c r="TIJ49" s="16"/>
      <c r="TIK49" s="16"/>
      <c r="TIL49" s="16"/>
      <c r="TIM49" s="16"/>
      <c r="TIN49" s="16"/>
      <c r="TIO49" s="16"/>
      <c r="TIP49" s="16"/>
      <c r="TIQ49" s="16"/>
      <c r="TIR49" s="16"/>
      <c r="TIS49" s="16"/>
      <c r="TIT49" s="16"/>
      <c r="TIU49" s="16"/>
      <c r="TIV49" s="16"/>
      <c r="TIW49" s="16"/>
      <c r="TIX49" s="16"/>
      <c r="TIY49" s="16"/>
      <c r="TIZ49" s="16"/>
      <c r="TJA49" s="16"/>
      <c r="TJB49" s="16"/>
      <c r="TJC49" s="16"/>
      <c r="TJD49" s="16"/>
      <c r="TJE49" s="16"/>
      <c r="TJF49" s="16"/>
      <c r="TJG49" s="16"/>
      <c r="TJH49" s="16"/>
      <c r="TJI49" s="16"/>
      <c r="TJJ49" s="16"/>
      <c r="TJK49" s="16"/>
      <c r="TJL49" s="16"/>
      <c r="TJM49" s="16"/>
      <c r="TJN49" s="16"/>
      <c r="TJO49" s="16"/>
      <c r="TJP49" s="16"/>
      <c r="TJQ49" s="16"/>
      <c r="TJR49" s="16"/>
      <c r="TJS49" s="16"/>
      <c r="TJT49" s="16"/>
      <c r="TJU49" s="16"/>
      <c r="TJV49" s="16"/>
      <c r="TJW49" s="16"/>
      <c r="TJX49" s="16"/>
      <c r="TJY49" s="16"/>
      <c r="TJZ49" s="16"/>
      <c r="TKA49" s="16"/>
      <c r="TKB49" s="16"/>
      <c r="TKC49" s="16"/>
      <c r="TKD49" s="16"/>
      <c r="TKE49" s="16"/>
      <c r="TKF49" s="16"/>
      <c r="TKG49" s="16"/>
      <c r="TKH49" s="16"/>
      <c r="TKI49" s="16"/>
      <c r="TKJ49" s="16"/>
      <c r="TKK49" s="16"/>
      <c r="TKL49" s="16"/>
      <c r="TKM49" s="16"/>
      <c r="TKN49" s="16"/>
      <c r="TKO49" s="16"/>
      <c r="TKP49" s="16"/>
      <c r="TKQ49" s="16"/>
      <c r="TKR49" s="16"/>
      <c r="TKS49" s="16"/>
      <c r="TKT49" s="16"/>
      <c r="TKU49" s="16"/>
      <c r="TKV49" s="16"/>
      <c r="TKW49" s="16"/>
      <c r="TKX49" s="16"/>
      <c r="TKY49" s="16"/>
      <c r="TKZ49" s="16"/>
      <c r="TLA49" s="16"/>
      <c r="TLB49" s="16"/>
      <c r="TLC49" s="16"/>
      <c r="TLD49" s="16"/>
      <c r="TLE49" s="16"/>
      <c r="TLF49" s="16"/>
      <c r="TLG49" s="16"/>
      <c r="TLH49" s="16"/>
      <c r="TLI49" s="16"/>
      <c r="TLJ49" s="16"/>
      <c r="TLK49" s="16"/>
      <c r="TLL49" s="16"/>
      <c r="TLM49" s="16"/>
      <c r="TLN49" s="16"/>
      <c r="TLO49" s="16"/>
      <c r="TLP49" s="16"/>
      <c r="TLQ49" s="16"/>
      <c r="TLR49" s="16"/>
      <c r="TLS49" s="16"/>
      <c r="TLT49" s="16"/>
      <c r="TLU49" s="16"/>
      <c r="TLV49" s="16"/>
      <c r="TLW49" s="16"/>
      <c r="TLX49" s="16"/>
      <c r="TLY49" s="16"/>
      <c r="TLZ49" s="16"/>
      <c r="TMA49" s="16"/>
      <c r="TMB49" s="16"/>
      <c r="TMC49" s="16"/>
      <c r="TMD49" s="16"/>
      <c r="TME49" s="16"/>
      <c r="TMF49" s="16"/>
      <c r="TMG49" s="16"/>
      <c r="TMH49" s="16"/>
      <c r="TMI49" s="16"/>
      <c r="TMJ49" s="16"/>
      <c r="TMK49" s="16"/>
      <c r="TML49" s="16"/>
      <c r="TMM49" s="16"/>
      <c r="TMN49" s="16"/>
      <c r="TMO49" s="16"/>
      <c r="TMP49" s="16"/>
      <c r="TMQ49" s="16"/>
      <c r="TMR49" s="16"/>
      <c r="TMS49" s="16"/>
      <c r="TMT49" s="16"/>
      <c r="TMU49" s="16"/>
      <c r="TMV49" s="16"/>
      <c r="TMW49" s="16"/>
      <c r="TMX49" s="16"/>
      <c r="TMY49" s="16"/>
      <c r="TMZ49" s="16"/>
      <c r="TNA49" s="16"/>
      <c r="TNB49" s="16"/>
      <c r="TNC49" s="16"/>
      <c r="TND49" s="16"/>
      <c r="TNE49" s="16"/>
      <c r="TNF49" s="16"/>
      <c r="TNG49" s="16"/>
      <c r="TNH49" s="16"/>
      <c r="TNI49" s="16"/>
      <c r="TNJ49" s="16"/>
      <c r="TNK49" s="16"/>
      <c r="TNL49" s="16"/>
      <c r="TNM49" s="16"/>
      <c r="TNN49" s="16"/>
      <c r="TNO49" s="16"/>
      <c r="TNP49" s="16"/>
      <c r="TNQ49" s="16"/>
      <c r="TNR49" s="16"/>
      <c r="TNS49" s="16"/>
      <c r="TNT49" s="16"/>
      <c r="TNU49" s="16"/>
      <c r="TNV49" s="16"/>
      <c r="TNW49" s="16"/>
      <c r="TNX49" s="16"/>
      <c r="TNY49" s="16"/>
      <c r="TNZ49" s="16"/>
      <c r="TOA49" s="16"/>
      <c r="TOB49" s="16"/>
      <c r="TOC49" s="16"/>
      <c r="TOD49" s="16"/>
      <c r="TOE49" s="16"/>
      <c r="TOF49" s="16"/>
      <c r="TOG49" s="16"/>
      <c r="TOH49" s="16"/>
      <c r="TOI49" s="16"/>
      <c r="TOJ49" s="16"/>
      <c r="TOK49" s="16"/>
      <c r="TOL49" s="16"/>
      <c r="TOM49" s="16"/>
      <c r="TON49" s="16"/>
      <c r="TOO49" s="16"/>
      <c r="TOP49" s="16"/>
      <c r="TOQ49" s="16"/>
      <c r="TOR49" s="16"/>
      <c r="TOS49" s="16"/>
      <c r="TOT49" s="16"/>
      <c r="TOU49" s="16"/>
      <c r="TOV49" s="16"/>
      <c r="TOW49" s="16"/>
      <c r="TOX49" s="16"/>
      <c r="TOY49" s="16"/>
      <c r="TOZ49" s="16"/>
      <c r="TPA49" s="16"/>
      <c r="TPB49" s="16"/>
      <c r="TPC49" s="16"/>
      <c r="TPD49" s="16"/>
      <c r="TPE49" s="16"/>
      <c r="TPF49" s="16"/>
      <c r="TPG49" s="16"/>
      <c r="TPH49" s="16"/>
      <c r="TPI49" s="16"/>
      <c r="TPJ49" s="16"/>
      <c r="TPK49" s="16"/>
      <c r="TPL49" s="16"/>
      <c r="TPM49" s="16"/>
      <c r="TPN49" s="16"/>
      <c r="TPO49" s="16"/>
      <c r="TPP49" s="16"/>
      <c r="TPQ49" s="16"/>
      <c r="TPR49" s="16"/>
      <c r="TPS49" s="16"/>
      <c r="TPT49" s="16"/>
      <c r="TPU49" s="16"/>
      <c r="TPV49" s="16"/>
      <c r="TPW49" s="16"/>
      <c r="TPX49" s="16"/>
      <c r="TPY49" s="16"/>
      <c r="TPZ49" s="16"/>
      <c r="TQA49" s="16"/>
      <c r="TQB49" s="16"/>
      <c r="TQC49" s="16"/>
      <c r="TQD49" s="16"/>
      <c r="TQE49" s="16"/>
      <c r="TQF49" s="16"/>
      <c r="TQG49" s="16"/>
      <c r="TQH49" s="16"/>
      <c r="TQI49" s="16"/>
      <c r="TQJ49" s="16"/>
      <c r="TQK49" s="16"/>
      <c r="TQL49" s="16"/>
      <c r="TQM49" s="16"/>
      <c r="TQN49" s="16"/>
      <c r="TQO49" s="16"/>
      <c r="TQP49" s="16"/>
      <c r="TQQ49" s="16"/>
      <c r="TQR49" s="16"/>
      <c r="TQS49" s="16"/>
      <c r="TQT49" s="16"/>
      <c r="TQU49" s="16"/>
      <c r="TQV49" s="16"/>
      <c r="TQW49" s="16"/>
      <c r="TQX49" s="16"/>
      <c r="TQY49" s="16"/>
      <c r="TQZ49" s="16"/>
      <c r="TRA49" s="16"/>
      <c r="TRB49" s="16"/>
      <c r="TRC49" s="16"/>
      <c r="TRD49" s="16"/>
      <c r="TRE49" s="16"/>
      <c r="TRF49" s="16"/>
      <c r="TRG49" s="16"/>
      <c r="TRH49" s="16"/>
      <c r="TRI49" s="16"/>
      <c r="TRJ49" s="16"/>
      <c r="TRK49" s="16"/>
      <c r="TRL49" s="16"/>
      <c r="TRM49" s="16"/>
      <c r="TRN49" s="16"/>
      <c r="TRO49" s="16"/>
      <c r="TRP49" s="16"/>
      <c r="TRQ49" s="16"/>
      <c r="TRR49" s="16"/>
      <c r="TRS49" s="16"/>
      <c r="TRT49" s="16"/>
      <c r="TRU49" s="16"/>
      <c r="TRV49" s="16"/>
      <c r="TRW49" s="16"/>
      <c r="TRX49" s="16"/>
      <c r="TRY49" s="16"/>
      <c r="TRZ49" s="16"/>
      <c r="TSA49" s="16"/>
      <c r="TSB49" s="16"/>
      <c r="TSC49" s="16"/>
      <c r="TSD49" s="16"/>
      <c r="TSE49" s="16"/>
      <c r="TSF49" s="16"/>
      <c r="TSG49" s="16"/>
      <c r="TSH49" s="16"/>
      <c r="TSI49" s="16"/>
      <c r="TSJ49" s="16"/>
      <c r="TSK49" s="16"/>
      <c r="TSL49" s="16"/>
      <c r="TSM49" s="16"/>
      <c r="TSN49" s="16"/>
      <c r="TSO49" s="16"/>
      <c r="TSP49" s="16"/>
      <c r="TSQ49" s="16"/>
      <c r="TSR49" s="16"/>
      <c r="TSS49" s="16"/>
      <c r="TST49" s="16"/>
      <c r="TSU49" s="16"/>
      <c r="TSV49" s="16"/>
      <c r="TSW49" s="16"/>
      <c r="TSX49" s="16"/>
      <c r="TSY49" s="16"/>
      <c r="TSZ49" s="16"/>
      <c r="TTA49" s="16"/>
      <c r="TTB49" s="16"/>
      <c r="TTC49" s="16"/>
      <c r="TTD49" s="16"/>
      <c r="TTE49" s="16"/>
      <c r="TTF49" s="16"/>
      <c r="TTG49" s="16"/>
      <c r="TTH49" s="16"/>
      <c r="TTI49" s="16"/>
      <c r="TTJ49" s="16"/>
      <c r="TTK49" s="16"/>
      <c r="TTL49" s="16"/>
      <c r="TTM49" s="16"/>
      <c r="TTN49" s="16"/>
      <c r="TTO49" s="16"/>
      <c r="TTP49" s="16"/>
      <c r="TTQ49" s="16"/>
      <c r="TTR49" s="16"/>
      <c r="TTS49" s="16"/>
      <c r="TTT49" s="16"/>
      <c r="TTU49" s="16"/>
      <c r="TTV49" s="16"/>
      <c r="TTW49" s="16"/>
      <c r="TTX49" s="16"/>
      <c r="TTY49" s="16"/>
      <c r="TTZ49" s="16"/>
      <c r="TUA49" s="16"/>
      <c r="TUB49" s="16"/>
      <c r="TUC49" s="16"/>
      <c r="TUD49" s="16"/>
      <c r="TUE49" s="16"/>
      <c r="TUF49" s="16"/>
      <c r="TUG49" s="16"/>
      <c r="TUH49" s="16"/>
      <c r="TUI49" s="16"/>
      <c r="TUJ49" s="16"/>
      <c r="TUK49" s="16"/>
      <c r="TUL49" s="16"/>
      <c r="TUM49" s="16"/>
      <c r="TUN49" s="16"/>
      <c r="TUO49" s="16"/>
      <c r="TUP49" s="16"/>
      <c r="TUQ49" s="16"/>
      <c r="TUR49" s="16"/>
      <c r="TUS49" s="16"/>
      <c r="TUT49" s="16"/>
      <c r="TUU49" s="16"/>
      <c r="TUV49" s="16"/>
      <c r="TUW49" s="16"/>
      <c r="TUX49" s="16"/>
      <c r="TUY49" s="16"/>
      <c r="TUZ49" s="16"/>
      <c r="TVA49" s="16"/>
      <c r="TVB49" s="16"/>
      <c r="TVC49" s="16"/>
      <c r="TVD49" s="16"/>
      <c r="TVE49" s="16"/>
      <c r="TVF49" s="16"/>
      <c r="TVG49" s="16"/>
      <c r="TVH49" s="16"/>
      <c r="TVI49" s="16"/>
      <c r="TVJ49" s="16"/>
      <c r="TVK49" s="16"/>
      <c r="TVL49" s="16"/>
      <c r="TVM49" s="16"/>
      <c r="TVN49" s="16"/>
      <c r="TVO49" s="16"/>
      <c r="TVP49" s="16"/>
      <c r="TVQ49" s="16"/>
      <c r="TVR49" s="16"/>
      <c r="TVS49" s="16"/>
      <c r="TVT49" s="16"/>
      <c r="TVU49" s="16"/>
      <c r="TVV49" s="16"/>
      <c r="TVW49" s="16"/>
      <c r="TVX49" s="16"/>
      <c r="TVY49" s="16"/>
      <c r="TVZ49" s="16"/>
      <c r="TWA49" s="16"/>
      <c r="TWB49" s="16"/>
      <c r="TWC49" s="16"/>
      <c r="TWD49" s="16"/>
      <c r="TWE49" s="16"/>
      <c r="TWF49" s="16"/>
      <c r="TWG49" s="16"/>
      <c r="TWH49" s="16"/>
      <c r="TWI49" s="16"/>
      <c r="TWJ49" s="16"/>
      <c r="TWK49" s="16"/>
      <c r="TWL49" s="16"/>
      <c r="TWM49" s="16"/>
      <c r="TWN49" s="16"/>
      <c r="TWO49" s="16"/>
      <c r="TWP49" s="16"/>
      <c r="TWQ49" s="16"/>
      <c r="TWR49" s="16"/>
      <c r="TWS49" s="16"/>
      <c r="TWT49" s="16"/>
      <c r="TWU49" s="16"/>
      <c r="TWV49" s="16"/>
      <c r="TWW49" s="16"/>
      <c r="TWX49" s="16"/>
      <c r="TWY49" s="16"/>
      <c r="TWZ49" s="16"/>
      <c r="TXA49" s="16"/>
      <c r="TXB49" s="16"/>
      <c r="TXC49" s="16"/>
      <c r="TXD49" s="16"/>
      <c r="TXE49" s="16"/>
      <c r="TXF49" s="16"/>
      <c r="TXG49" s="16"/>
      <c r="TXH49" s="16"/>
      <c r="TXI49" s="16"/>
      <c r="TXJ49" s="16"/>
      <c r="TXK49" s="16"/>
      <c r="TXL49" s="16"/>
      <c r="TXM49" s="16"/>
      <c r="TXN49" s="16"/>
      <c r="TXO49" s="16"/>
      <c r="TXP49" s="16"/>
      <c r="TXQ49" s="16"/>
      <c r="TXR49" s="16"/>
      <c r="TXS49" s="16"/>
      <c r="TXT49" s="16"/>
      <c r="TXU49" s="16"/>
      <c r="TXV49" s="16"/>
      <c r="TXW49" s="16"/>
      <c r="TXX49" s="16"/>
      <c r="TXY49" s="16"/>
      <c r="TXZ49" s="16"/>
      <c r="TYA49" s="16"/>
      <c r="TYB49" s="16"/>
      <c r="TYC49" s="16"/>
      <c r="TYD49" s="16"/>
      <c r="TYE49" s="16"/>
      <c r="TYF49" s="16"/>
      <c r="TYG49" s="16"/>
      <c r="TYH49" s="16"/>
      <c r="TYI49" s="16"/>
      <c r="TYJ49" s="16"/>
      <c r="TYK49" s="16"/>
      <c r="TYL49" s="16"/>
      <c r="TYM49" s="16"/>
      <c r="TYN49" s="16"/>
      <c r="TYO49" s="16"/>
      <c r="TYP49" s="16"/>
      <c r="TYQ49" s="16"/>
      <c r="TYR49" s="16"/>
      <c r="TYS49" s="16"/>
      <c r="TYT49" s="16"/>
      <c r="TYU49" s="16"/>
      <c r="TYV49" s="16"/>
      <c r="TYW49" s="16"/>
      <c r="TYX49" s="16"/>
      <c r="TYY49" s="16"/>
      <c r="TYZ49" s="16"/>
      <c r="TZA49" s="16"/>
      <c r="TZB49" s="16"/>
      <c r="TZC49" s="16"/>
      <c r="TZD49" s="16"/>
      <c r="TZE49" s="16"/>
      <c r="TZF49" s="16"/>
      <c r="TZG49" s="16"/>
      <c r="TZH49" s="16"/>
      <c r="TZI49" s="16"/>
      <c r="TZJ49" s="16"/>
      <c r="TZK49" s="16"/>
      <c r="TZL49" s="16"/>
      <c r="TZM49" s="16"/>
      <c r="TZN49" s="16"/>
      <c r="TZO49" s="16"/>
      <c r="TZP49" s="16"/>
      <c r="TZQ49" s="16"/>
      <c r="TZR49" s="16"/>
      <c r="TZS49" s="16"/>
      <c r="TZT49" s="16"/>
      <c r="TZU49" s="16"/>
      <c r="TZV49" s="16"/>
      <c r="TZW49" s="16"/>
      <c r="TZX49" s="16"/>
      <c r="TZY49" s="16"/>
      <c r="TZZ49" s="16"/>
      <c r="UAA49" s="16"/>
      <c r="UAB49" s="16"/>
      <c r="UAC49" s="16"/>
      <c r="UAD49" s="16"/>
      <c r="UAE49" s="16"/>
      <c r="UAF49" s="16"/>
      <c r="UAG49" s="16"/>
      <c r="UAH49" s="16"/>
      <c r="UAI49" s="16"/>
      <c r="UAJ49" s="16"/>
      <c r="UAK49" s="16"/>
      <c r="UAL49" s="16"/>
      <c r="UAM49" s="16"/>
      <c r="UAN49" s="16"/>
      <c r="UAO49" s="16"/>
      <c r="UAP49" s="16"/>
      <c r="UAQ49" s="16"/>
      <c r="UAR49" s="16"/>
      <c r="UAS49" s="16"/>
      <c r="UAT49" s="16"/>
      <c r="UAU49" s="16"/>
      <c r="UAV49" s="16"/>
      <c r="UAW49" s="16"/>
      <c r="UAX49" s="16"/>
      <c r="UAY49" s="16"/>
      <c r="UAZ49" s="16"/>
      <c r="UBA49" s="16"/>
      <c r="UBB49" s="16"/>
      <c r="UBC49" s="16"/>
      <c r="UBD49" s="16"/>
      <c r="UBE49" s="16"/>
      <c r="UBF49" s="16"/>
      <c r="UBG49" s="16"/>
      <c r="UBH49" s="16"/>
      <c r="UBI49" s="16"/>
      <c r="UBJ49" s="16"/>
      <c r="UBK49" s="16"/>
      <c r="UBL49" s="16"/>
      <c r="UBM49" s="16"/>
      <c r="UBN49" s="16"/>
      <c r="UBO49" s="16"/>
      <c r="UBP49" s="16"/>
      <c r="UBQ49" s="16"/>
      <c r="UBR49" s="16"/>
      <c r="UBS49" s="16"/>
      <c r="UBT49" s="16"/>
      <c r="UBU49" s="16"/>
      <c r="UBV49" s="16"/>
      <c r="UBW49" s="16"/>
      <c r="UBX49" s="16"/>
      <c r="UBY49" s="16"/>
      <c r="UBZ49" s="16"/>
      <c r="UCA49" s="16"/>
      <c r="UCB49" s="16"/>
      <c r="UCC49" s="16"/>
      <c r="UCD49" s="16"/>
      <c r="UCE49" s="16"/>
      <c r="UCF49" s="16"/>
      <c r="UCG49" s="16"/>
      <c r="UCH49" s="16"/>
      <c r="UCI49" s="16"/>
      <c r="UCJ49" s="16"/>
      <c r="UCK49" s="16"/>
      <c r="UCL49" s="16"/>
      <c r="UCM49" s="16"/>
      <c r="UCN49" s="16"/>
      <c r="UCO49" s="16"/>
      <c r="UCP49" s="16"/>
      <c r="UCQ49" s="16"/>
      <c r="UCR49" s="16"/>
      <c r="UCS49" s="16"/>
      <c r="UCT49" s="16"/>
      <c r="UCU49" s="16"/>
      <c r="UCV49" s="16"/>
      <c r="UCW49" s="16"/>
      <c r="UCX49" s="16"/>
      <c r="UCY49" s="16"/>
      <c r="UCZ49" s="16"/>
      <c r="UDA49" s="16"/>
      <c r="UDB49" s="16"/>
      <c r="UDC49" s="16"/>
      <c r="UDD49" s="16"/>
      <c r="UDE49" s="16"/>
      <c r="UDF49" s="16"/>
      <c r="UDG49" s="16"/>
      <c r="UDH49" s="16"/>
      <c r="UDI49" s="16"/>
      <c r="UDJ49" s="16"/>
      <c r="UDK49" s="16"/>
      <c r="UDL49" s="16"/>
      <c r="UDM49" s="16"/>
      <c r="UDN49" s="16"/>
      <c r="UDO49" s="16"/>
      <c r="UDP49" s="16"/>
      <c r="UDQ49" s="16"/>
      <c r="UDR49" s="16"/>
      <c r="UDS49" s="16"/>
      <c r="UDT49" s="16"/>
      <c r="UDU49" s="16"/>
      <c r="UDV49" s="16"/>
      <c r="UDW49" s="16"/>
      <c r="UDX49" s="16"/>
      <c r="UDY49" s="16"/>
      <c r="UDZ49" s="16"/>
      <c r="UEA49" s="16"/>
      <c r="UEB49" s="16"/>
      <c r="UEC49" s="16"/>
      <c r="UED49" s="16"/>
      <c r="UEE49" s="16"/>
      <c r="UEF49" s="16"/>
      <c r="UEG49" s="16"/>
      <c r="UEH49" s="16"/>
      <c r="UEI49" s="16"/>
      <c r="UEJ49" s="16"/>
      <c r="UEK49" s="16"/>
      <c r="UEL49" s="16"/>
      <c r="UEM49" s="16"/>
      <c r="UEN49" s="16"/>
      <c r="UEO49" s="16"/>
      <c r="UEP49" s="16"/>
      <c r="UEQ49" s="16"/>
      <c r="UER49" s="16"/>
      <c r="UES49" s="16"/>
      <c r="UET49" s="16"/>
      <c r="UEU49" s="16"/>
      <c r="UEV49" s="16"/>
      <c r="UEW49" s="16"/>
      <c r="UEX49" s="16"/>
      <c r="UEY49" s="16"/>
      <c r="UEZ49" s="16"/>
      <c r="UFA49" s="16"/>
      <c r="UFB49" s="16"/>
      <c r="UFC49" s="16"/>
      <c r="UFD49" s="16"/>
      <c r="UFE49" s="16"/>
      <c r="UFF49" s="16"/>
      <c r="UFG49" s="16"/>
      <c r="UFH49" s="16"/>
      <c r="UFI49" s="16"/>
      <c r="UFJ49" s="16"/>
      <c r="UFK49" s="16"/>
      <c r="UFL49" s="16"/>
      <c r="UFM49" s="16"/>
      <c r="UFN49" s="16"/>
      <c r="UFO49" s="16"/>
      <c r="UFP49" s="16"/>
      <c r="UFQ49" s="16"/>
      <c r="UFR49" s="16"/>
      <c r="UFS49" s="16"/>
      <c r="UFT49" s="16"/>
      <c r="UFU49" s="16"/>
      <c r="UFV49" s="16"/>
      <c r="UFW49" s="16"/>
      <c r="UFX49" s="16"/>
      <c r="UFY49" s="16"/>
      <c r="UFZ49" s="16"/>
      <c r="UGA49" s="16"/>
      <c r="UGB49" s="16"/>
      <c r="UGC49" s="16"/>
      <c r="UGD49" s="16"/>
      <c r="UGE49" s="16"/>
      <c r="UGF49" s="16"/>
      <c r="UGG49" s="16"/>
      <c r="UGH49" s="16"/>
      <c r="UGI49" s="16"/>
      <c r="UGJ49" s="16"/>
      <c r="UGK49" s="16"/>
      <c r="UGL49" s="16"/>
      <c r="UGM49" s="16"/>
      <c r="UGN49" s="16"/>
      <c r="UGO49" s="16"/>
      <c r="UGP49" s="16"/>
      <c r="UGQ49" s="16"/>
      <c r="UGR49" s="16"/>
      <c r="UGS49" s="16"/>
      <c r="UGT49" s="16"/>
      <c r="UGU49" s="16"/>
      <c r="UGV49" s="16"/>
      <c r="UGW49" s="16"/>
      <c r="UGX49" s="16"/>
      <c r="UGY49" s="16"/>
      <c r="UGZ49" s="16"/>
      <c r="UHA49" s="16"/>
      <c r="UHB49" s="16"/>
      <c r="UHC49" s="16"/>
      <c r="UHD49" s="16"/>
      <c r="UHE49" s="16"/>
      <c r="UHF49" s="16"/>
      <c r="UHG49" s="16"/>
      <c r="UHH49" s="16"/>
      <c r="UHI49" s="16"/>
      <c r="UHJ49" s="16"/>
      <c r="UHK49" s="16"/>
      <c r="UHL49" s="16"/>
      <c r="UHM49" s="16"/>
      <c r="UHN49" s="16"/>
      <c r="UHO49" s="16"/>
      <c r="UHP49" s="16"/>
      <c r="UHQ49" s="16"/>
      <c r="UHR49" s="16"/>
      <c r="UHS49" s="16"/>
      <c r="UHT49" s="16"/>
      <c r="UHU49" s="16"/>
      <c r="UHV49" s="16"/>
      <c r="UHW49" s="16"/>
      <c r="UHX49" s="16"/>
      <c r="UHY49" s="16"/>
      <c r="UHZ49" s="16"/>
      <c r="UIA49" s="16"/>
      <c r="UIB49" s="16"/>
      <c r="UIC49" s="16"/>
      <c r="UID49" s="16"/>
      <c r="UIE49" s="16"/>
      <c r="UIF49" s="16"/>
      <c r="UIG49" s="16"/>
      <c r="UIH49" s="16"/>
      <c r="UII49" s="16"/>
      <c r="UIJ49" s="16"/>
      <c r="UIK49" s="16"/>
      <c r="UIL49" s="16"/>
      <c r="UIM49" s="16"/>
      <c r="UIN49" s="16"/>
      <c r="UIO49" s="16"/>
      <c r="UIP49" s="16"/>
      <c r="UIQ49" s="16"/>
      <c r="UIR49" s="16"/>
      <c r="UIS49" s="16"/>
      <c r="UIT49" s="16"/>
      <c r="UIU49" s="16"/>
      <c r="UIV49" s="16"/>
      <c r="UIW49" s="16"/>
      <c r="UIX49" s="16"/>
      <c r="UIY49" s="16"/>
      <c r="UIZ49" s="16"/>
      <c r="UJA49" s="16"/>
      <c r="UJB49" s="16"/>
      <c r="UJC49" s="16"/>
      <c r="UJD49" s="16"/>
      <c r="UJE49" s="16"/>
      <c r="UJF49" s="16"/>
      <c r="UJG49" s="16"/>
      <c r="UJH49" s="16"/>
      <c r="UJI49" s="16"/>
      <c r="UJJ49" s="16"/>
      <c r="UJK49" s="16"/>
      <c r="UJL49" s="16"/>
      <c r="UJM49" s="16"/>
      <c r="UJN49" s="16"/>
      <c r="UJO49" s="16"/>
      <c r="UJP49" s="16"/>
      <c r="UJQ49" s="16"/>
      <c r="UJR49" s="16"/>
      <c r="UJS49" s="16"/>
      <c r="UJT49" s="16"/>
      <c r="UJU49" s="16"/>
      <c r="UJV49" s="16"/>
      <c r="UJW49" s="16"/>
      <c r="UJX49" s="16"/>
      <c r="UJY49" s="16"/>
      <c r="UJZ49" s="16"/>
      <c r="UKA49" s="16"/>
      <c r="UKB49" s="16"/>
      <c r="UKC49" s="16"/>
      <c r="UKD49" s="16"/>
      <c r="UKE49" s="16"/>
      <c r="UKF49" s="16"/>
      <c r="UKG49" s="16"/>
      <c r="UKH49" s="16"/>
      <c r="UKI49" s="16"/>
      <c r="UKJ49" s="16"/>
      <c r="UKK49" s="16"/>
      <c r="UKL49" s="16"/>
      <c r="UKM49" s="16"/>
      <c r="UKN49" s="16"/>
      <c r="UKO49" s="16"/>
      <c r="UKP49" s="16"/>
      <c r="UKQ49" s="16"/>
      <c r="UKR49" s="16"/>
      <c r="UKS49" s="16"/>
      <c r="UKT49" s="16"/>
      <c r="UKU49" s="16"/>
      <c r="UKV49" s="16"/>
      <c r="UKW49" s="16"/>
      <c r="UKX49" s="16"/>
      <c r="UKY49" s="16"/>
      <c r="UKZ49" s="16"/>
      <c r="ULA49" s="16"/>
      <c r="ULB49" s="16"/>
      <c r="ULC49" s="16"/>
      <c r="ULD49" s="16"/>
      <c r="ULE49" s="16"/>
      <c r="ULF49" s="16"/>
      <c r="ULG49" s="16"/>
      <c r="ULH49" s="16"/>
      <c r="ULI49" s="16"/>
      <c r="ULJ49" s="16"/>
      <c r="ULK49" s="16"/>
      <c r="ULL49" s="16"/>
      <c r="ULM49" s="16"/>
      <c r="ULN49" s="16"/>
      <c r="ULO49" s="16"/>
      <c r="ULP49" s="16"/>
      <c r="ULQ49" s="16"/>
      <c r="ULR49" s="16"/>
      <c r="ULS49" s="16"/>
      <c r="ULT49" s="16"/>
      <c r="ULU49" s="16"/>
      <c r="ULV49" s="16"/>
      <c r="ULW49" s="16"/>
      <c r="ULX49" s="16"/>
      <c r="ULY49" s="16"/>
      <c r="ULZ49" s="16"/>
      <c r="UMA49" s="16"/>
      <c r="UMB49" s="16"/>
      <c r="UMC49" s="16"/>
      <c r="UMD49" s="16"/>
      <c r="UME49" s="16"/>
      <c r="UMF49" s="16"/>
      <c r="UMG49" s="16"/>
      <c r="UMH49" s="16"/>
      <c r="UMI49" s="16"/>
      <c r="UMJ49" s="16"/>
      <c r="UMK49" s="16"/>
      <c r="UML49" s="16"/>
      <c r="UMM49" s="16"/>
      <c r="UMN49" s="16"/>
      <c r="UMO49" s="16"/>
      <c r="UMP49" s="16"/>
      <c r="UMQ49" s="16"/>
      <c r="UMR49" s="16"/>
      <c r="UMS49" s="16"/>
      <c r="UMT49" s="16"/>
      <c r="UMU49" s="16"/>
      <c r="UMV49" s="16"/>
      <c r="UMW49" s="16"/>
      <c r="UMX49" s="16"/>
      <c r="UMY49" s="16"/>
      <c r="UMZ49" s="16"/>
      <c r="UNA49" s="16"/>
      <c r="UNB49" s="16"/>
      <c r="UNC49" s="16"/>
      <c r="UND49" s="16"/>
      <c r="UNE49" s="16"/>
      <c r="UNF49" s="16"/>
      <c r="UNG49" s="16"/>
      <c r="UNH49" s="16"/>
      <c r="UNI49" s="16"/>
      <c r="UNJ49" s="16"/>
      <c r="UNK49" s="16"/>
      <c r="UNL49" s="16"/>
      <c r="UNM49" s="16"/>
      <c r="UNN49" s="16"/>
      <c r="UNO49" s="16"/>
      <c r="UNP49" s="16"/>
      <c r="UNQ49" s="16"/>
      <c r="UNR49" s="16"/>
      <c r="UNS49" s="16"/>
      <c r="UNT49" s="16"/>
      <c r="UNU49" s="16"/>
      <c r="UNV49" s="16"/>
      <c r="UNW49" s="16"/>
      <c r="UNX49" s="16"/>
      <c r="UNY49" s="16"/>
      <c r="UNZ49" s="16"/>
      <c r="UOA49" s="16"/>
      <c r="UOB49" s="16"/>
      <c r="UOC49" s="16"/>
      <c r="UOD49" s="16"/>
      <c r="UOE49" s="16"/>
      <c r="UOF49" s="16"/>
      <c r="UOG49" s="16"/>
      <c r="UOH49" s="16"/>
      <c r="UOI49" s="16"/>
      <c r="UOJ49" s="16"/>
      <c r="UOK49" s="16"/>
      <c r="UOL49" s="16"/>
      <c r="UOM49" s="16"/>
      <c r="UON49" s="16"/>
      <c r="UOO49" s="16"/>
      <c r="UOP49" s="16"/>
      <c r="UOQ49" s="16"/>
      <c r="UOR49" s="16"/>
      <c r="UOS49" s="16"/>
      <c r="UOT49" s="16"/>
      <c r="UOU49" s="16"/>
      <c r="UOV49" s="16"/>
      <c r="UOW49" s="16"/>
      <c r="UOX49" s="16"/>
      <c r="UOY49" s="16"/>
      <c r="UOZ49" s="16"/>
      <c r="UPA49" s="16"/>
      <c r="UPB49" s="16"/>
      <c r="UPC49" s="16"/>
      <c r="UPD49" s="16"/>
      <c r="UPE49" s="16"/>
      <c r="UPF49" s="16"/>
      <c r="UPG49" s="16"/>
      <c r="UPH49" s="16"/>
      <c r="UPI49" s="16"/>
      <c r="UPJ49" s="16"/>
      <c r="UPK49" s="16"/>
      <c r="UPL49" s="16"/>
      <c r="UPM49" s="16"/>
      <c r="UPN49" s="16"/>
      <c r="UPO49" s="16"/>
      <c r="UPP49" s="16"/>
      <c r="UPQ49" s="16"/>
      <c r="UPR49" s="16"/>
      <c r="UPS49" s="16"/>
      <c r="UPT49" s="16"/>
      <c r="UPU49" s="16"/>
      <c r="UPV49" s="16"/>
      <c r="UPW49" s="16"/>
      <c r="UPX49" s="16"/>
      <c r="UPY49" s="16"/>
      <c r="UPZ49" s="16"/>
      <c r="UQA49" s="16"/>
      <c r="UQB49" s="16"/>
      <c r="UQC49" s="16"/>
      <c r="UQD49" s="16"/>
      <c r="UQE49" s="16"/>
      <c r="UQF49" s="16"/>
      <c r="UQG49" s="16"/>
      <c r="UQH49" s="16"/>
      <c r="UQI49" s="16"/>
      <c r="UQJ49" s="16"/>
      <c r="UQK49" s="16"/>
      <c r="UQL49" s="16"/>
      <c r="UQM49" s="16"/>
      <c r="UQN49" s="16"/>
      <c r="UQO49" s="16"/>
      <c r="UQP49" s="16"/>
      <c r="UQQ49" s="16"/>
      <c r="UQR49" s="16"/>
      <c r="UQS49" s="16"/>
      <c r="UQT49" s="16"/>
      <c r="UQU49" s="16"/>
      <c r="UQV49" s="16"/>
      <c r="UQW49" s="16"/>
      <c r="UQX49" s="16"/>
      <c r="UQY49" s="16"/>
      <c r="UQZ49" s="16"/>
      <c r="URA49" s="16"/>
      <c r="URB49" s="16"/>
      <c r="URC49" s="16"/>
      <c r="URD49" s="16"/>
      <c r="URE49" s="16"/>
      <c r="URF49" s="16"/>
      <c r="URG49" s="16"/>
      <c r="URH49" s="16"/>
      <c r="URI49" s="16"/>
      <c r="URJ49" s="16"/>
      <c r="URK49" s="16"/>
      <c r="URL49" s="16"/>
      <c r="URM49" s="16"/>
      <c r="URN49" s="16"/>
      <c r="URO49" s="16"/>
      <c r="URP49" s="16"/>
      <c r="URQ49" s="16"/>
      <c r="URR49" s="16"/>
      <c r="URS49" s="16"/>
      <c r="URT49" s="16"/>
      <c r="URU49" s="16"/>
      <c r="URV49" s="16"/>
      <c r="URW49" s="16"/>
      <c r="URX49" s="16"/>
      <c r="URY49" s="16"/>
      <c r="URZ49" s="16"/>
      <c r="USA49" s="16"/>
      <c r="USB49" s="16"/>
      <c r="USC49" s="16"/>
      <c r="USD49" s="16"/>
      <c r="USE49" s="16"/>
      <c r="USF49" s="16"/>
      <c r="USG49" s="16"/>
      <c r="USH49" s="16"/>
      <c r="USI49" s="16"/>
      <c r="USJ49" s="16"/>
      <c r="USK49" s="16"/>
      <c r="USL49" s="16"/>
      <c r="USM49" s="16"/>
      <c r="USN49" s="16"/>
      <c r="USO49" s="16"/>
      <c r="USP49" s="16"/>
      <c r="USQ49" s="16"/>
      <c r="USR49" s="16"/>
      <c r="USS49" s="16"/>
      <c r="UST49" s="16"/>
      <c r="USU49" s="16"/>
      <c r="USV49" s="16"/>
      <c r="USW49" s="16"/>
      <c r="USX49" s="16"/>
      <c r="USY49" s="16"/>
      <c r="USZ49" s="16"/>
      <c r="UTA49" s="16"/>
      <c r="UTB49" s="16"/>
      <c r="UTC49" s="16"/>
      <c r="UTD49" s="16"/>
      <c r="UTE49" s="16"/>
      <c r="UTF49" s="16"/>
      <c r="UTG49" s="16"/>
      <c r="UTH49" s="16"/>
      <c r="UTI49" s="16"/>
      <c r="UTJ49" s="16"/>
      <c r="UTK49" s="16"/>
      <c r="UTL49" s="16"/>
      <c r="UTM49" s="16"/>
      <c r="UTN49" s="16"/>
      <c r="UTO49" s="16"/>
      <c r="UTP49" s="16"/>
      <c r="UTQ49" s="16"/>
      <c r="UTR49" s="16"/>
      <c r="UTS49" s="16"/>
      <c r="UTT49" s="16"/>
      <c r="UTU49" s="16"/>
      <c r="UTV49" s="16"/>
      <c r="UTW49" s="16"/>
      <c r="UTX49" s="16"/>
      <c r="UTY49" s="16"/>
      <c r="UTZ49" s="16"/>
      <c r="UUA49" s="16"/>
      <c r="UUB49" s="16"/>
      <c r="UUC49" s="16"/>
      <c r="UUD49" s="16"/>
      <c r="UUE49" s="16"/>
      <c r="UUF49" s="16"/>
      <c r="UUG49" s="16"/>
      <c r="UUH49" s="16"/>
      <c r="UUI49" s="16"/>
      <c r="UUJ49" s="16"/>
      <c r="UUK49" s="16"/>
      <c r="UUL49" s="16"/>
      <c r="UUM49" s="16"/>
      <c r="UUN49" s="16"/>
      <c r="UUO49" s="16"/>
      <c r="UUP49" s="16"/>
      <c r="UUQ49" s="16"/>
      <c r="UUR49" s="16"/>
      <c r="UUS49" s="16"/>
      <c r="UUT49" s="16"/>
      <c r="UUU49" s="16"/>
      <c r="UUV49" s="16"/>
      <c r="UUW49" s="16"/>
      <c r="UUX49" s="16"/>
      <c r="UUY49" s="16"/>
      <c r="UUZ49" s="16"/>
      <c r="UVA49" s="16"/>
      <c r="UVB49" s="16"/>
      <c r="UVC49" s="16"/>
      <c r="UVD49" s="16"/>
      <c r="UVE49" s="16"/>
      <c r="UVF49" s="16"/>
      <c r="UVG49" s="16"/>
      <c r="UVH49" s="16"/>
      <c r="UVI49" s="16"/>
      <c r="UVJ49" s="16"/>
      <c r="UVK49" s="16"/>
      <c r="UVL49" s="16"/>
      <c r="UVM49" s="16"/>
      <c r="UVN49" s="16"/>
      <c r="UVO49" s="16"/>
      <c r="UVP49" s="16"/>
      <c r="UVQ49" s="16"/>
      <c r="UVR49" s="16"/>
      <c r="UVS49" s="16"/>
      <c r="UVT49" s="16"/>
      <c r="UVU49" s="16"/>
      <c r="UVV49" s="16"/>
      <c r="UVW49" s="16"/>
      <c r="UVX49" s="16"/>
      <c r="UVY49" s="16"/>
      <c r="UVZ49" s="16"/>
      <c r="UWA49" s="16"/>
      <c r="UWB49" s="16"/>
      <c r="UWC49" s="16"/>
      <c r="UWD49" s="16"/>
      <c r="UWE49" s="16"/>
      <c r="UWF49" s="16"/>
      <c r="UWG49" s="16"/>
      <c r="UWH49" s="16"/>
      <c r="UWI49" s="16"/>
      <c r="UWJ49" s="16"/>
      <c r="UWK49" s="16"/>
      <c r="UWL49" s="16"/>
      <c r="UWM49" s="16"/>
      <c r="UWN49" s="16"/>
      <c r="UWO49" s="16"/>
      <c r="UWP49" s="16"/>
      <c r="UWQ49" s="16"/>
      <c r="UWR49" s="16"/>
      <c r="UWS49" s="16"/>
      <c r="UWT49" s="16"/>
      <c r="UWU49" s="16"/>
      <c r="UWV49" s="16"/>
      <c r="UWW49" s="16"/>
      <c r="UWX49" s="16"/>
      <c r="UWY49" s="16"/>
      <c r="UWZ49" s="16"/>
      <c r="UXA49" s="16"/>
      <c r="UXB49" s="16"/>
      <c r="UXC49" s="16"/>
      <c r="UXD49" s="16"/>
      <c r="UXE49" s="16"/>
      <c r="UXF49" s="16"/>
      <c r="UXG49" s="16"/>
      <c r="UXH49" s="16"/>
      <c r="UXI49" s="16"/>
      <c r="UXJ49" s="16"/>
      <c r="UXK49" s="16"/>
      <c r="UXL49" s="16"/>
      <c r="UXM49" s="16"/>
      <c r="UXN49" s="16"/>
      <c r="UXO49" s="16"/>
      <c r="UXP49" s="16"/>
      <c r="UXQ49" s="16"/>
      <c r="UXR49" s="16"/>
      <c r="UXS49" s="16"/>
      <c r="UXT49" s="16"/>
      <c r="UXU49" s="16"/>
      <c r="UXV49" s="16"/>
      <c r="UXW49" s="16"/>
      <c r="UXX49" s="16"/>
      <c r="UXY49" s="16"/>
      <c r="UXZ49" s="16"/>
      <c r="UYA49" s="16"/>
      <c r="UYB49" s="16"/>
      <c r="UYC49" s="16"/>
      <c r="UYD49" s="16"/>
      <c r="UYE49" s="16"/>
      <c r="UYF49" s="16"/>
      <c r="UYG49" s="16"/>
      <c r="UYH49" s="16"/>
      <c r="UYI49" s="16"/>
      <c r="UYJ49" s="16"/>
      <c r="UYK49" s="16"/>
      <c r="UYL49" s="16"/>
      <c r="UYM49" s="16"/>
      <c r="UYN49" s="16"/>
      <c r="UYO49" s="16"/>
      <c r="UYP49" s="16"/>
      <c r="UYQ49" s="16"/>
      <c r="UYR49" s="16"/>
      <c r="UYS49" s="16"/>
      <c r="UYT49" s="16"/>
      <c r="UYU49" s="16"/>
      <c r="UYV49" s="16"/>
      <c r="UYW49" s="16"/>
      <c r="UYX49" s="16"/>
      <c r="UYY49" s="16"/>
      <c r="UYZ49" s="16"/>
      <c r="UZA49" s="16"/>
      <c r="UZB49" s="16"/>
      <c r="UZC49" s="16"/>
      <c r="UZD49" s="16"/>
      <c r="UZE49" s="16"/>
      <c r="UZF49" s="16"/>
      <c r="UZG49" s="16"/>
      <c r="UZH49" s="16"/>
      <c r="UZI49" s="16"/>
      <c r="UZJ49" s="16"/>
      <c r="UZK49" s="16"/>
      <c r="UZL49" s="16"/>
      <c r="UZM49" s="16"/>
      <c r="UZN49" s="16"/>
      <c r="UZO49" s="16"/>
      <c r="UZP49" s="16"/>
      <c r="UZQ49" s="16"/>
      <c r="UZR49" s="16"/>
      <c r="UZS49" s="16"/>
      <c r="UZT49" s="16"/>
      <c r="UZU49" s="16"/>
      <c r="UZV49" s="16"/>
      <c r="UZW49" s="16"/>
      <c r="UZX49" s="16"/>
      <c r="UZY49" s="16"/>
      <c r="UZZ49" s="16"/>
      <c r="VAA49" s="16"/>
      <c r="VAB49" s="16"/>
      <c r="VAC49" s="16"/>
      <c r="VAD49" s="16"/>
      <c r="VAE49" s="16"/>
      <c r="VAF49" s="16"/>
      <c r="VAG49" s="16"/>
      <c r="VAH49" s="16"/>
      <c r="VAI49" s="16"/>
      <c r="VAJ49" s="16"/>
      <c r="VAK49" s="16"/>
      <c r="VAL49" s="16"/>
      <c r="VAM49" s="16"/>
      <c r="VAN49" s="16"/>
      <c r="VAO49" s="16"/>
      <c r="VAP49" s="16"/>
      <c r="VAQ49" s="16"/>
      <c r="VAR49" s="16"/>
      <c r="VAS49" s="16"/>
      <c r="VAT49" s="16"/>
      <c r="VAU49" s="16"/>
      <c r="VAV49" s="16"/>
      <c r="VAW49" s="16"/>
      <c r="VAX49" s="16"/>
      <c r="VAY49" s="16"/>
      <c r="VAZ49" s="16"/>
      <c r="VBA49" s="16"/>
      <c r="VBB49" s="16"/>
      <c r="VBC49" s="16"/>
      <c r="VBD49" s="16"/>
      <c r="VBE49" s="16"/>
      <c r="VBF49" s="16"/>
      <c r="VBG49" s="16"/>
      <c r="VBH49" s="16"/>
      <c r="VBI49" s="16"/>
      <c r="VBJ49" s="16"/>
      <c r="VBK49" s="16"/>
      <c r="VBL49" s="16"/>
      <c r="VBM49" s="16"/>
      <c r="VBN49" s="16"/>
      <c r="VBO49" s="16"/>
      <c r="VBP49" s="16"/>
      <c r="VBQ49" s="16"/>
      <c r="VBR49" s="16"/>
      <c r="VBS49" s="16"/>
      <c r="VBT49" s="16"/>
      <c r="VBU49" s="16"/>
      <c r="VBV49" s="16"/>
      <c r="VBW49" s="16"/>
      <c r="VBX49" s="16"/>
      <c r="VBY49" s="16"/>
      <c r="VBZ49" s="16"/>
      <c r="VCA49" s="16"/>
      <c r="VCB49" s="16"/>
      <c r="VCC49" s="16"/>
      <c r="VCD49" s="16"/>
      <c r="VCE49" s="16"/>
      <c r="VCF49" s="16"/>
      <c r="VCG49" s="16"/>
      <c r="VCH49" s="16"/>
      <c r="VCI49" s="16"/>
      <c r="VCJ49" s="16"/>
      <c r="VCK49" s="16"/>
      <c r="VCL49" s="16"/>
      <c r="VCM49" s="16"/>
      <c r="VCN49" s="16"/>
      <c r="VCO49" s="16"/>
      <c r="VCP49" s="16"/>
      <c r="VCQ49" s="16"/>
      <c r="VCR49" s="16"/>
      <c r="VCS49" s="16"/>
      <c r="VCT49" s="16"/>
      <c r="VCU49" s="16"/>
      <c r="VCV49" s="16"/>
      <c r="VCW49" s="16"/>
      <c r="VCX49" s="16"/>
      <c r="VCY49" s="16"/>
      <c r="VCZ49" s="16"/>
      <c r="VDA49" s="16"/>
      <c r="VDB49" s="16"/>
      <c r="VDC49" s="16"/>
      <c r="VDD49" s="16"/>
      <c r="VDE49" s="16"/>
      <c r="VDF49" s="16"/>
      <c r="VDG49" s="16"/>
      <c r="VDH49" s="16"/>
      <c r="VDI49" s="16"/>
      <c r="VDJ49" s="16"/>
      <c r="VDK49" s="16"/>
      <c r="VDL49" s="16"/>
      <c r="VDM49" s="16"/>
      <c r="VDN49" s="16"/>
      <c r="VDO49" s="16"/>
      <c r="VDP49" s="16"/>
      <c r="VDQ49" s="16"/>
      <c r="VDR49" s="16"/>
      <c r="VDS49" s="16"/>
      <c r="VDT49" s="16"/>
      <c r="VDU49" s="16"/>
      <c r="VDV49" s="16"/>
      <c r="VDW49" s="16"/>
      <c r="VDX49" s="16"/>
      <c r="VDY49" s="16"/>
      <c r="VDZ49" s="16"/>
      <c r="VEA49" s="16"/>
      <c r="VEB49" s="16"/>
      <c r="VEC49" s="16"/>
      <c r="VED49" s="16"/>
      <c r="VEE49" s="16"/>
      <c r="VEF49" s="16"/>
      <c r="VEG49" s="16"/>
      <c r="VEH49" s="16"/>
      <c r="VEI49" s="16"/>
      <c r="VEJ49" s="16"/>
      <c r="VEK49" s="16"/>
      <c r="VEL49" s="16"/>
      <c r="VEM49" s="16"/>
      <c r="VEN49" s="16"/>
      <c r="VEO49" s="16"/>
      <c r="VEP49" s="16"/>
      <c r="VEQ49" s="16"/>
      <c r="VER49" s="16"/>
      <c r="VES49" s="16"/>
      <c r="VET49" s="16"/>
      <c r="VEU49" s="16"/>
      <c r="VEV49" s="16"/>
      <c r="VEW49" s="16"/>
      <c r="VEX49" s="16"/>
      <c r="VEY49" s="16"/>
      <c r="VEZ49" s="16"/>
      <c r="VFA49" s="16"/>
      <c r="VFB49" s="16"/>
      <c r="VFC49" s="16"/>
      <c r="VFD49" s="16"/>
      <c r="VFE49" s="16"/>
      <c r="VFF49" s="16"/>
      <c r="VFG49" s="16"/>
      <c r="VFH49" s="16"/>
      <c r="VFI49" s="16"/>
      <c r="VFJ49" s="16"/>
      <c r="VFK49" s="16"/>
      <c r="VFL49" s="16"/>
      <c r="VFM49" s="16"/>
      <c r="VFN49" s="16"/>
      <c r="VFO49" s="16"/>
      <c r="VFP49" s="16"/>
      <c r="VFQ49" s="16"/>
      <c r="VFR49" s="16"/>
      <c r="VFS49" s="16"/>
      <c r="VFT49" s="16"/>
      <c r="VFU49" s="16"/>
      <c r="VFV49" s="16"/>
      <c r="VFW49" s="16"/>
      <c r="VFX49" s="16"/>
      <c r="VFY49" s="16"/>
      <c r="VFZ49" s="16"/>
      <c r="VGA49" s="16"/>
      <c r="VGB49" s="16"/>
      <c r="VGC49" s="16"/>
      <c r="VGD49" s="16"/>
      <c r="VGE49" s="16"/>
      <c r="VGF49" s="16"/>
      <c r="VGG49" s="16"/>
      <c r="VGH49" s="16"/>
      <c r="VGI49" s="16"/>
      <c r="VGJ49" s="16"/>
      <c r="VGK49" s="16"/>
      <c r="VGL49" s="16"/>
      <c r="VGM49" s="16"/>
      <c r="VGN49" s="16"/>
      <c r="VGO49" s="16"/>
      <c r="VGP49" s="16"/>
      <c r="VGQ49" s="16"/>
      <c r="VGR49" s="16"/>
      <c r="VGS49" s="16"/>
      <c r="VGT49" s="16"/>
      <c r="VGU49" s="16"/>
      <c r="VGV49" s="16"/>
      <c r="VGW49" s="16"/>
      <c r="VGX49" s="16"/>
      <c r="VGY49" s="16"/>
      <c r="VGZ49" s="16"/>
      <c r="VHA49" s="16"/>
      <c r="VHB49" s="16"/>
      <c r="VHC49" s="16"/>
      <c r="VHD49" s="16"/>
      <c r="VHE49" s="16"/>
      <c r="VHF49" s="16"/>
      <c r="VHG49" s="16"/>
      <c r="VHH49" s="16"/>
      <c r="VHI49" s="16"/>
      <c r="VHJ49" s="16"/>
      <c r="VHK49" s="16"/>
      <c r="VHL49" s="16"/>
      <c r="VHM49" s="16"/>
      <c r="VHN49" s="16"/>
      <c r="VHO49" s="16"/>
      <c r="VHP49" s="16"/>
      <c r="VHQ49" s="16"/>
      <c r="VHR49" s="16"/>
      <c r="VHS49" s="16"/>
      <c r="VHT49" s="16"/>
      <c r="VHU49" s="16"/>
      <c r="VHV49" s="16"/>
      <c r="VHW49" s="16"/>
      <c r="VHX49" s="16"/>
      <c r="VHY49" s="16"/>
      <c r="VHZ49" s="16"/>
      <c r="VIA49" s="16"/>
      <c r="VIB49" s="16"/>
      <c r="VIC49" s="16"/>
      <c r="VID49" s="16"/>
      <c r="VIE49" s="16"/>
      <c r="VIF49" s="16"/>
      <c r="VIG49" s="16"/>
      <c r="VIH49" s="16"/>
      <c r="VII49" s="16"/>
      <c r="VIJ49" s="16"/>
      <c r="VIK49" s="16"/>
      <c r="VIL49" s="16"/>
      <c r="VIM49" s="16"/>
      <c r="VIN49" s="16"/>
      <c r="VIO49" s="16"/>
      <c r="VIP49" s="16"/>
      <c r="VIQ49" s="16"/>
      <c r="VIR49" s="16"/>
      <c r="VIS49" s="16"/>
      <c r="VIT49" s="16"/>
      <c r="VIU49" s="16"/>
      <c r="VIV49" s="16"/>
      <c r="VIW49" s="16"/>
      <c r="VIX49" s="16"/>
      <c r="VIY49" s="16"/>
      <c r="VIZ49" s="16"/>
      <c r="VJA49" s="16"/>
      <c r="VJB49" s="16"/>
      <c r="VJC49" s="16"/>
      <c r="VJD49" s="16"/>
      <c r="VJE49" s="16"/>
      <c r="VJF49" s="16"/>
      <c r="VJG49" s="16"/>
      <c r="VJH49" s="16"/>
      <c r="VJI49" s="16"/>
      <c r="VJJ49" s="16"/>
      <c r="VJK49" s="16"/>
      <c r="VJL49" s="16"/>
      <c r="VJM49" s="16"/>
      <c r="VJN49" s="16"/>
      <c r="VJO49" s="16"/>
      <c r="VJP49" s="16"/>
      <c r="VJQ49" s="16"/>
      <c r="VJR49" s="16"/>
      <c r="VJS49" s="16"/>
      <c r="VJT49" s="16"/>
      <c r="VJU49" s="16"/>
      <c r="VJV49" s="16"/>
      <c r="VJW49" s="16"/>
      <c r="VJX49" s="16"/>
      <c r="VJY49" s="16"/>
      <c r="VJZ49" s="16"/>
      <c r="VKA49" s="16"/>
      <c r="VKB49" s="16"/>
      <c r="VKC49" s="16"/>
      <c r="VKD49" s="16"/>
      <c r="VKE49" s="16"/>
      <c r="VKF49" s="16"/>
      <c r="VKG49" s="16"/>
      <c r="VKH49" s="16"/>
      <c r="VKI49" s="16"/>
      <c r="VKJ49" s="16"/>
      <c r="VKK49" s="16"/>
      <c r="VKL49" s="16"/>
      <c r="VKM49" s="16"/>
      <c r="VKN49" s="16"/>
      <c r="VKO49" s="16"/>
      <c r="VKP49" s="16"/>
      <c r="VKQ49" s="16"/>
      <c r="VKR49" s="16"/>
      <c r="VKS49" s="16"/>
      <c r="VKT49" s="16"/>
      <c r="VKU49" s="16"/>
      <c r="VKV49" s="16"/>
      <c r="VKW49" s="16"/>
      <c r="VKX49" s="16"/>
      <c r="VKY49" s="16"/>
      <c r="VKZ49" s="16"/>
      <c r="VLA49" s="16"/>
      <c r="VLB49" s="16"/>
      <c r="VLC49" s="16"/>
      <c r="VLD49" s="16"/>
      <c r="VLE49" s="16"/>
      <c r="VLF49" s="16"/>
      <c r="VLG49" s="16"/>
      <c r="VLH49" s="16"/>
      <c r="VLI49" s="16"/>
      <c r="VLJ49" s="16"/>
      <c r="VLK49" s="16"/>
      <c r="VLL49" s="16"/>
      <c r="VLM49" s="16"/>
      <c r="VLN49" s="16"/>
      <c r="VLO49" s="16"/>
      <c r="VLP49" s="16"/>
      <c r="VLQ49" s="16"/>
      <c r="VLR49" s="16"/>
      <c r="VLS49" s="16"/>
      <c r="VLT49" s="16"/>
      <c r="VLU49" s="16"/>
      <c r="VLV49" s="16"/>
      <c r="VLW49" s="16"/>
      <c r="VLX49" s="16"/>
      <c r="VLY49" s="16"/>
      <c r="VLZ49" s="16"/>
      <c r="VMA49" s="16"/>
      <c r="VMB49" s="16"/>
      <c r="VMC49" s="16"/>
      <c r="VMD49" s="16"/>
      <c r="VME49" s="16"/>
      <c r="VMF49" s="16"/>
      <c r="VMG49" s="16"/>
      <c r="VMH49" s="16"/>
      <c r="VMI49" s="16"/>
      <c r="VMJ49" s="16"/>
      <c r="VMK49" s="16"/>
      <c r="VML49" s="16"/>
      <c r="VMM49" s="16"/>
      <c r="VMN49" s="16"/>
      <c r="VMO49" s="16"/>
      <c r="VMP49" s="16"/>
      <c r="VMQ49" s="16"/>
      <c r="VMR49" s="16"/>
      <c r="VMS49" s="16"/>
      <c r="VMT49" s="16"/>
      <c r="VMU49" s="16"/>
      <c r="VMV49" s="16"/>
      <c r="VMW49" s="16"/>
      <c r="VMX49" s="16"/>
      <c r="VMY49" s="16"/>
      <c r="VMZ49" s="16"/>
      <c r="VNA49" s="16"/>
      <c r="VNB49" s="16"/>
      <c r="VNC49" s="16"/>
      <c r="VND49" s="16"/>
      <c r="VNE49" s="16"/>
      <c r="VNF49" s="16"/>
      <c r="VNG49" s="16"/>
      <c r="VNH49" s="16"/>
      <c r="VNI49" s="16"/>
      <c r="VNJ49" s="16"/>
      <c r="VNK49" s="16"/>
      <c r="VNL49" s="16"/>
      <c r="VNM49" s="16"/>
      <c r="VNN49" s="16"/>
      <c r="VNO49" s="16"/>
      <c r="VNP49" s="16"/>
      <c r="VNQ49" s="16"/>
      <c r="VNR49" s="16"/>
      <c r="VNS49" s="16"/>
      <c r="VNT49" s="16"/>
      <c r="VNU49" s="16"/>
      <c r="VNV49" s="16"/>
      <c r="VNW49" s="16"/>
      <c r="VNX49" s="16"/>
      <c r="VNY49" s="16"/>
      <c r="VNZ49" s="16"/>
      <c r="VOA49" s="16"/>
      <c r="VOB49" s="16"/>
      <c r="VOC49" s="16"/>
      <c r="VOD49" s="16"/>
      <c r="VOE49" s="16"/>
      <c r="VOF49" s="16"/>
      <c r="VOG49" s="16"/>
      <c r="VOH49" s="16"/>
      <c r="VOI49" s="16"/>
      <c r="VOJ49" s="16"/>
      <c r="VOK49" s="16"/>
      <c r="VOL49" s="16"/>
      <c r="VOM49" s="16"/>
      <c r="VON49" s="16"/>
      <c r="VOO49" s="16"/>
      <c r="VOP49" s="16"/>
      <c r="VOQ49" s="16"/>
      <c r="VOR49" s="16"/>
      <c r="VOS49" s="16"/>
      <c r="VOT49" s="16"/>
      <c r="VOU49" s="16"/>
      <c r="VOV49" s="16"/>
      <c r="VOW49" s="16"/>
      <c r="VOX49" s="16"/>
      <c r="VOY49" s="16"/>
      <c r="VOZ49" s="16"/>
      <c r="VPA49" s="16"/>
      <c r="VPB49" s="16"/>
      <c r="VPC49" s="16"/>
      <c r="VPD49" s="16"/>
      <c r="VPE49" s="16"/>
      <c r="VPF49" s="16"/>
      <c r="VPG49" s="16"/>
      <c r="VPH49" s="16"/>
      <c r="VPI49" s="16"/>
      <c r="VPJ49" s="16"/>
      <c r="VPK49" s="16"/>
      <c r="VPL49" s="16"/>
      <c r="VPM49" s="16"/>
      <c r="VPN49" s="16"/>
      <c r="VPO49" s="16"/>
      <c r="VPP49" s="16"/>
      <c r="VPQ49" s="16"/>
      <c r="VPR49" s="16"/>
      <c r="VPS49" s="16"/>
      <c r="VPT49" s="16"/>
      <c r="VPU49" s="16"/>
      <c r="VPV49" s="16"/>
      <c r="VPW49" s="16"/>
      <c r="VPX49" s="16"/>
      <c r="VPY49" s="16"/>
      <c r="VPZ49" s="16"/>
      <c r="VQA49" s="16"/>
      <c r="VQB49" s="16"/>
      <c r="VQC49" s="16"/>
      <c r="VQD49" s="16"/>
      <c r="VQE49" s="16"/>
      <c r="VQF49" s="16"/>
      <c r="VQG49" s="16"/>
      <c r="VQH49" s="16"/>
      <c r="VQI49" s="16"/>
      <c r="VQJ49" s="16"/>
      <c r="VQK49" s="16"/>
      <c r="VQL49" s="16"/>
      <c r="VQM49" s="16"/>
      <c r="VQN49" s="16"/>
      <c r="VQO49" s="16"/>
      <c r="VQP49" s="16"/>
      <c r="VQQ49" s="16"/>
      <c r="VQR49" s="16"/>
      <c r="VQS49" s="16"/>
      <c r="VQT49" s="16"/>
      <c r="VQU49" s="16"/>
      <c r="VQV49" s="16"/>
      <c r="VQW49" s="16"/>
      <c r="VQX49" s="16"/>
      <c r="VQY49" s="16"/>
      <c r="VQZ49" s="16"/>
      <c r="VRA49" s="16"/>
      <c r="VRB49" s="16"/>
      <c r="VRC49" s="16"/>
      <c r="VRD49" s="16"/>
      <c r="VRE49" s="16"/>
      <c r="VRF49" s="16"/>
      <c r="VRG49" s="16"/>
      <c r="VRH49" s="16"/>
      <c r="VRI49" s="16"/>
      <c r="VRJ49" s="16"/>
      <c r="VRK49" s="16"/>
      <c r="VRL49" s="16"/>
      <c r="VRM49" s="16"/>
      <c r="VRN49" s="16"/>
      <c r="VRO49" s="16"/>
      <c r="VRP49" s="16"/>
      <c r="VRQ49" s="16"/>
      <c r="VRR49" s="16"/>
      <c r="VRS49" s="16"/>
      <c r="VRT49" s="16"/>
      <c r="VRU49" s="16"/>
      <c r="VRV49" s="16"/>
      <c r="VRW49" s="16"/>
      <c r="VRX49" s="16"/>
      <c r="VRY49" s="16"/>
      <c r="VRZ49" s="16"/>
      <c r="VSA49" s="16"/>
      <c r="VSB49" s="16"/>
      <c r="VSC49" s="16"/>
      <c r="VSD49" s="16"/>
      <c r="VSE49" s="16"/>
      <c r="VSF49" s="16"/>
      <c r="VSG49" s="16"/>
      <c r="VSH49" s="16"/>
      <c r="VSI49" s="16"/>
      <c r="VSJ49" s="16"/>
      <c r="VSK49" s="16"/>
      <c r="VSL49" s="16"/>
      <c r="VSM49" s="16"/>
      <c r="VSN49" s="16"/>
      <c r="VSO49" s="16"/>
      <c r="VSP49" s="16"/>
      <c r="VSQ49" s="16"/>
      <c r="VSR49" s="16"/>
      <c r="VSS49" s="16"/>
      <c r="VST49" s="16"/>
      <c r="VSU49" s="16"/>
      <c r="VSV49" s="16"/>
      <c r="VSW49" s="16"/>
      <c r="VSX49" s="16"/>
      <c r="VSY49" s="16"/>
      <c r="VSZ49" s="16"/>
      <c r="VTA49" s="16"/>
      <c r="VTB49" s="16"/>
      <c r="VTC49" s="16"/>
      <c r="VTD49" s="16"/>
      <c r="VTE49" s="16"/>
      <c r="VTF49" s="16"/>
      <c r="VTG49" s="16"/>
      <c r="VTH49" s="16"/>
      <c r="VTI49" s="16"/>
      <c r="VTJ49" s="16"/>
      <c r="VTK49" s="16"/>
      <c r="VTL49" s="16"/>
      <c r="VTM49" s="16"/>
      <c r="VTN49" s="16"/>
      <c r="VTO49" s="16"/>
      <c r="VTP49" s="16"/>
      <c r="VTQ49" s="16"/>
      <c r="VTR49" s="16"/>
      <c r="VTS49" s="16"/>
      <c r="VTT49" s="16"/>
      <c r="VTU49" s="16"/>
      <c r="VTV49" s="16"/>
      <c r="VTW49" s="16"/>
      <c r="VTX49" s="16"/>
      <c r="VTY49" s="16"/>
      <c r="VTZ49" s="16"/>
      <c r="VUA49" s="16"/>
      <c r="VUB49" s="16"/>
      <c r="VUC49" s="16"/>
      <c r="VUD49" s="16"/>
      <c r="VUE49" s="16"/>
      <c r="VUF49" s="16"/>
      <c r="VUG49" s="16"/>
      <c r="VUH49" s="16"/>
      <c r="VUI49" s="16"/>
      <c r="VUJ49" s="16"/>
      <c r="VUK49" s="16"/>
      <c r="VUL49" s="16"/>
      <c r="VUM49" s="16"/>
      <c r="VUN49" s="16"/>
      <c r="VUO49" s="16"/>
      <c r="VUP49" s="16"/>
      <c r="VUQ49" s="16"/>
      <c r="VUR49" s="16"/>
      <c r="VUS49" s="16"/>
      <c r="VUT49" s="16"/>
      <c r="VUU49" s="16"/>
      <c r="VUV49" s="16"/>
      <c r="VUW49" s="16"/>
      <c r="VUX49" s="16"/>
      <c r="VUY49" s="16"/>
      <c r="VUZ49" s="16"/>
      <c r="VVA49" s="16"/>
      <c r="VVB49" s="16"/>
      <c r="VVC49" s="16"/>
      <c r="VVD49" s="16"/>
      <c r="VVE49" s="16"/>
      <c r="VVF49" s="16"/>
      <c r="VVG49" s="16"/>
      <c r="VVH49" s="16"/>
      <c r="VVI49" s="16"/>
      <c r="VVJ49" s="16"/>
      <c r="VVK49" s="16"/>
      <c r="VVL49" s="16"/>
      <c r="VVM49" s="16"/>
      <c r="VVN49" s="16"/>
      <c r="VVO49" s="16"/>
      <c r="VVP49" s="16"/>
      <c r="VVQ49" s="16"/>
      <c r="VVR49" s="16"/>
      <c r="VVS49" s="16"/>
      <c r="VVT49" s="16"/>
      <c r="VVU49" s="16"/>
      <c r="VVV49" s="16"/>
      <c r="VVW49" s="16"/>
      <c r="VVX49" s="16"/>
      <c r="VVY49" s="16"/>
      <c r="VVZ49" s="16"/>
      <c r="VWA49" s="16"/>
      <c r="VWB49" s="16"/>
      <c r="VWC49" s="16"/>
      <c r="VWD49" s="16"/>
      <c r="VWE49" s="16"/>
      <c r="VWF49" s="16"/>
      <c r="VWG49" s="16"/>
      <c r="VWH49" s="16"/>
      <c r="VWI49" s="16"/>
      <c r="VWJ49" s="16"/>
      <c r="VWK49" s="16"/>
      <c r="VWL49" s="16"/>
      <c r="VWM49" s="16"/>
      <c r="VWN49" s="16"/>
      <c r="VWO49" s="16"/>
      <c r="VWP49" s="16"/>
      <c r="VWQ49" s="16"/>
      <c r="VWR49" s="16"/>
      <c r="VWS49" s="16"/>
      <c r="VWT49" s="16"/>
      <c r="VWU49" s="16"/>
      <c r="VWV49" s="16"/>
      <c r="VWW49" s="16"/>
      <c r="VWX49" s="16"/>
      <c r="VWY49" s="16"/>
      <c r="VWZ49" s="16"/>
      <c r="VXA49" s="16"/>
      <c r="VXB49" s="16"/>
      <c r="VXC49" s="16"/>
      <c r="VXD49" s="16"/>
      <c r="VXE49" s="16"/>
      <c r="VXF49" s="16"/>
      <c r="VXG49" s="16"/>
      <c r="VXH49" s="16"/>
      <c r="VXI49" s="16"/>
      <c r="VXJ49" s="16"/>
      <c r="VXK49" s="16"/>
      <c r="VXL49" s="16"/>
      <c r="VXM49" s="16"/>
      <c r="VXN49" s="16"/>
      <c r="VXO49" s="16"/>
      <c r="VXP49" s="16"/>
      <c r="VXQ49" s="16"/>
      <c r="VXR49" s="16"/>
      <c r="VXS49" s="16"/>
      <c r="VXT49" s="16"/>
      <c r="VXU49" s="16"/>
      <c r="VXV49" s="16"/>
      <c r="VXW49" s="16"/>
      <c r="VXX49" s="16"/>
      <c r="VXY49" s="16"/>
      <c r="VXZ49" s="16"/>
      <c r="VYA49" s="16"/>
      <c r="VYB49" s="16"/>
      <c r="VYC49" s="16"/>
      <c r="VYD49" s="16"/>
      <c r="VYE49" s="16"/>
      <c r="VYF49" s="16"/>
      <c r="VYG49" s="16"/>
      <c r="VYH49" s="16"/>
      <c r="VYI49" s="16"/>
      <c r="VYJ49" s="16"/>
      <c r="VYK49" s="16"/>
      <c r="VYL49" s="16"/>
      <c r="VYM49" s="16"/>
      <c r="VYN49" s="16"/>
      <c r="VYO49" s="16"/>
      <c r="VYP49" s="16"/>
      <c r="VYQ49" s="16"/>
      <c r="VYR49" s="16"/>
      <c r="VYS49" s="16"/>
      <c r="VYT49" s="16"/>
      <c r="VYU49" s="16"/>
      <c r="VYV49" s="16"/>
      <c r="VYW49" s="16"/>
      <c r="VYX49" s="16"/>
      <c r="VYY49" s="16"/>
      <c r="VYZ49" s="16"/>
      <c r="VZA49" s="16"/>
      <c r="VZB49" s="16"/>
      <c r="VZC49" s="16"/>
      <c r="VZD49" s="16"/>
      <c r="VZE49" s="16"/>
      <c r="VZF49" s="16"/>
      <c r="VZG49" s="16"/>
      <c r="VZH49" s="16"/>
      <c r="VZI49" s="16"/>
      <c r="VZJ49" s="16"/>
      <c r="VZK49" s="16"/>
      <c r="VZL49" s="16"/>
      <c r="VZM49" s="16"/>
      <c r="VZN49" s="16"/>
      <c r="VZO49" s="16"/>
      <c r="VZP49" s="16"/>
      <c r="VZQ49" s="16"/>
      <c r="VZR49" s="16"/>
      <c r="VZS49" s="16"/>
      <c r="VZT49" s="16"/>
      <c r="VZU49" s="16"/>
      <c r="VZV49" s="16"/>
      <c r="VZW49" s="16"/>
      <c r="VZX49" s="16"/>
      <c r="VZY49" s="16"/>
      <c r="VZZ49" s="16"/>
      <c r="WAA49" s="16"/>
      <c r="WAB49" s="16"/>
      <c r="WAC49" s="16"/>
      <c r="WAD49" s="16"/>
      <c r="WAE49" s="16"/>
      <c r="WAF49" s="16"/>
      <c r="WAG49" s="16"/>
      <c r="WAH49" s="16"/>
      <c r="WAI49" s="16"/>
      <c r="WAJ49" s="16"/>
      <c r="WAK49" s="16"/>
      <c r="WAL49" s="16"/>
      <c r="WAM49" s="16"/>
      <c r="WAN49" s="16"/>
      <c r="WAO49" s="16"/>
      <c r="WAP49" s="16"/>
      <c r="WAQ49" s="16"/>
      <c r="WAR49" s="16"/>
      <c r="WAS49" s="16"/>
      <c r="WAT49" s="16"/>
      <c r="WAU49" s="16"/>
      <c r="WAV49" s="16"/>
      <c r="WAW49" s="16"/>
      <c r="WAX49" s="16"/>
      <c r="WAY49" s="16"/>
      <c r="WAZ49" s="16"/>
      <c r="WBA49" s="16"/>
      <c r="WBB49" s="16"/>
      <c r="WBC49" s="16"/>
      <c r="WBD49" s="16"/>
      <c r="WBE49" s="16"/>
      <c r="WBF49" s="16"/>
      <c r="WBG49" s="16"/>
      <c r="WBH49" s="16"/>
      <c r="WBI49" s="16"/>
      <c r="WBJ49" s="16"/>
      <c r="WBK49" s="16"/>
      <c r="WBL49" s="16"/>
      <c r="WBM49" s="16"/>
      <c r="WBN49" s="16"/>
      <c r="WBO49" s="16"/>
      <c r="WBP49" s="16"/>
      <c r="WBQ49" s="16"/>
      <c r="WBR49" s="16"/>
      <c r="WBS49" s="16"/>
      <c r="WBT49" s="16"/>
      <c r="WBU49" s="16"/>
      <c r="WBV49" s="16"/>
      <c r="WBW49" s="16"/>
      <c r="WBX49" s="16"/>
      <c r="WBY49" s="16"/>
      <c r="WBZ49" s="16"/>
      <c r="WCA49" s="16"/>
      <c r="WCB49" s="16"/>
      <c r="WCC49" s="16"/>
      <c r="WCD49" s="16"/>
      <c r="WCE49" s="16"/>
      <c r="WCF49" s="16"/>
      <c r="WCG49" s="16"/>
      <c r="WCH49" s="16"/>
      <c r="WCI49" s="16"/>
      <c r="WCJ49" s="16"/>
      <c r="WCK49" s="16"/>
      <c r="WCL49" s="16"/>
      <c r="WCM49" s="16"/>
      <c r="WCN49" s="16"/>
      <c r="WCO49" s="16"/>
      <c r="WCP49" s="16"/>
      <c r="WCQ49" s="16"/>
      <c r="WCR49" s="16"/>
      <c r="WCS49" s="16"/>
      <c r="WCT49" s="16"/>
      <c r="WCU49" s="16"/>
      <c r="WCV49" s="16"/>
      <c r="WCW49" s="16"/>
      <c r="WCX49" s="16"/>
      <c r="WCY49" s="16"/>
      <c r="WCZ49" s="16"/>
      <c r="WDA49" s="16"/>
      <c r="WDB49" s="16"/>
      <c r="WDC49" s="16"/>
      <c r="WDD49" s="16"/>
      <c r="WDE49" s="16"/>
      <c r="WDF49" s="16"/>
      <c r="WDG49" s="16"/>
      <c r="WDH49" s="16"/>
      <c r="WDI49" s="16"/>
      <c r="WDJ49" s="16"/>
      <c r="WDK49" s="16"/>
      <c r="WDL49" s="16"/>
      <c r="WDM49" s="16"/>
      <c r="WDN49" s="16"/>
      <c r="WDO49" s="16"/>
      <c r="WDP49" s="16"/>
      <c r="WDQ49" s="16"/>
      <c r="WDR49" s="16"/>
      <c r="WDS49" s="16"/>
      <c r="WDT49" s="16"/>
      <c r="WDU49" s="16"/>
      <c r="WDV49" s="16"/>
      <c r="WDW49" s="16"/>
      <c r="WDX49" s="16"/>
      <c r="WDY49" s="16"/>
      <c r="WDZ49" s="16"/>
      <c r="WEA49" s="16"/>
      <c r="WEB49" s="16"/>
      <c r="WEC49" s="16"/>
      <c r="WED49" s="16"/>
      <c r="WEE49" s="16"/>
      <c r="WEF49" s="16"/>
      <c r="WEG49" s="16"/>
      <c r="WEH49" s="16"/>
      <c r="WEI49" s="16"/>
      <c r="WEJ49" s="16"/>
      <c r="WEK49" s="16"/>
      <c r="WEL49" s="16"/>
      <c r="WEM49" s="16"/>
      <c r="WEN49" s="16"/>
      <c r="WEO49" s="16"/>
      <c r="WEP49" s="16"/>
      <c r="WEQ49" s="16"/>
      <c r="WER49" s="16"/>
      <c r="WES49" s="16"/>
      <c r="WET49" s="16"/>
      <c r="WEU49" s="16"/>
      <c r="WEV49" s="16"/>
      <c r="WEW49" s="16"/>
      <c r="WEX49" s="16"/>
      <c r="WEY49" s="16"/>
      <c r="WEZ49" s="16"/>
      <c r="WFA49" s="16"/>
      <c r="WFB49" s="16"/>
      <c r="WFC49" s="16"/>
      <c r="WFD49" s="16"/>
      <c r="WFE49" s="16"/>
      <c r="WFF49" s="16"/>
      <c r="WFG49" s="16"/>
      <c r="WFH49" s="16"/>
      <c r="WFI49" s="16"/>
      <c r="WFJ49" s="16"/>
      <c r="WFK49" s="16"/>
      <c r="WFL49" s="16"/>
      <c r="WFM49" s="16"/>
      <c r="WFN49" s="16"/>
      <c r="WFO49" s="16"/>
      <c r="WFP49" s="16"/>
      <c r="WFQ49" s="16"/>
      <c r="WFR49" s="16"/>
      <c r="WFS49" s="16"/>
      <c r="WFT49" s="16"/>
      <c r="WFU49" s="16"/>
      <c r="WFV49" s="16"/>
      <c r="WFW49" s="16"/>
      <c r="WFX49" s="16"/>
      <c r="WFY49" s="16"/>
      <c r="WFZ49" s="16"/>
      <c r="WGA49" s="16"/>
      <c r="WGB49" s="16"/>
      <c r="WGC49" s="16"/>
      <c r="WGD49" s="16"/>
      <c r="WGE49" s="16"/>
      <c r="WGF49" s="16"/>
      <c r="WGG49" s="16"/>
      <c r="WGH49" s="16"/>
      <c r="WGI49" s="16"/>
      <c r="WGJ49" s="16"/>
      <c r="WGK49" s="16"/>
      <c r="WGL49" s="16"/>
      <c r="WGM49" s="16"/>
      <c r="WGN49" s="16"/>
      <c r="WGO49" s="16"/>
      <c r="WGP49" s="16"/>
      <c r="WGQ49" s="16"/>
      <c r="WGR49" s="16"/>
      <c r="WGS49" s="16"/>
      <c r="WGT49" s="16"/>
      <c r="WGU49" s="16"/>
      <c r="WGV49" s="16"/>
      <c r="WGW49" s="16"/>
      <c r="WGX49" s="16"/>
      <c r="WGY49" s="16"/>
      <c r="WGZ49" s="16"/>
      <c r="WHA49" s="16"/>
      <c r="WHB49" s="16"/>
      <c r="WHC49" s="16"/>
      <c r="WHD49" s="16"/>
      <c r="WHE49" s="16"/>
      <c r="WHF49" s="16"/>
      <c r="WHG49" s="16"/>
      <c r="WHH49" s="16"/>
      <c r="WHI49" s="16"/>
      <c r="WHJ49" s="16"/>
      <c r="WHK49" s="16"/>
      <c r="WHL49" s="16"/>
      <c r="WHM49" s="16"/>
      <c r="WHN49" s="16"/>
      <c r="WHO49" s="16"/>
      <c r="WHP49" s="16"/>
      <c r="WHQ49" s="16"/>
      <c r="WHR49" s="16"/>
      <c r="WHS49" s="16"/>
      <c r="WHT49" s="16"/>
      <c r="WHU49" s="16"/>
      <c r="WHV49" s="16"/>
      <c r="WHW49" s="16"/>
      <c r="WHX49" s="16"/>
      <c r="WHY49" s="16"/>
      <c r="WHZ49" s="16"/>
      <c r="WIA49" s="16"/>
      <c r="WIB49" s="16"/>
      <c r="WIC49" s="16"/>
      <c r="WID49" s="16"/>
      <c r="WIE49" s="16"/>
      <c r="WIF49" s="16"/>
      <c r="WIG49" s="16"/>
      <c r="WIH49" s="16"/>
      <c r="WII49" s="16"/>
      <c r="WIJ49" s="16"/>
      <c r="WIK49" s="16"/>
      <c r="WIL49" s="16"/>
      <c r="WIM49" s="16"/>
      <c r="WIN49" s="16"/>
      <c r="WIO49" s="16"/>
      <c r="WIP49" s="16"/>
      <c r="WIQ49" s="16"/>
      <c r="WIR49" s="16"/>
      <c r="WIS49" s="16"/>
      <c r="WIT49" s="16"/>
      <c r="WIU49" s="16"/>
      <c r="WIV49" s="16"/>
      <c r="WIW49" s="16"/>
      <c r="WIX49" s="16"/>
      <c r="WIY49" s="16"/>
      <c r="WIZ49" s="16"/>
      <c r="WJA49" s="16"/>
      <c r="WJB49" s="16"/>
      <c r="WJC49" s="16"/>
      <c r="WJD49" s="16"/>
      <c r="WJE49" s="16"/>
      <c r="WJF49" s="16"/>
      <c r="WJG49" s="16"/>
      <c r="WJH49" s="16"/>
      <c r="WJI49" s="16"/>
      <c r="WJJ49" s="16"/>
      <c r="WJK49" s="16"/>
      <c r="WJL49" s="16"/>
      <c r="WJM49" s="16"/>
      <c r="WJN49" s="16"/>
      <c r="WJO49" s="16"/>
      <c r="WJP49" s="16"/>
      <c r="WJQ49" s="16"/>
      <c r="WJR49" s="16"/>
      <c r="WJS49" s="16"/>
      <c r="WJT49" s="16"/>
      <c r="WJU49" s="16"/>
      <c r="WJV49" s="16"/>
      <c r="WJW49" s="16"/>
      <c r="WJX49" s="16"/>
      <c r="WJY49" s="16"/>
      <c r="WJZ49" s="16"/>
      <c r="WKA49" s="16"/>
      <c r="WKB49" s="16"/>
      <c r="WKC49" s="16"/>
      <c r="WKD49" s="16"/>
      <c r="WKE49" s="16"/>
      <c r="WKF49" s="16"/>
      <c r="WKG49" s="16"/>
      <c r="WKH49" s="16"/>
      <c r="WKI49" s="16"/>
      <c r="WKJ49" s="16"/>
      <c r="WKK49" s="16"/>
      <c r="WKL49" s="16"/>
      <c r="WKM49" s="16"/>
      <c r="WKN49" s="16"/>
      <c r="WKO49" s="16"/>
      <c r="WKP49" s="16"/>
      <c r="WKQ49" s="16"/>
      <c r="WKR49" s="16"/>
      <c r="WKS49" s="16"/>
      <c r="WKT49" s="16"/>
      <c r="WKU49" s="16"/>
      <c r="WKV49" s="16"/>
      <c r="WKW49" s="16"/>
      <c r="WKX49" s="16"/>
      <c r="WKY49" s="16"/>
      <c r="WKZ49" s="16"/>
      <c r="WLA49" s="16"/>
      <c r="WLB49" s="16"/>
      <c r="WLC49" s="16"/>
      <c r="WLD49" s="16"/>
      <c r="WLE49" s="16"/>
      <c r="WLF49" s="16"/>
      <c r="WLG49" s="16"/>
      <c r="WLH49" s="16"/>
      <c r="WLI49" s="16"/>
      <c r="WLJ49" s="16"/>
      <c r="WLK49" s="16"/>
      <c r="WLL49" s="16"/>
      <c r="WLM49" s="16"/>
      <c r="WLN49" s="16"/>
      <c r="WLO49" s="16"/>
      <c r="WLP49" s="16"/>
      <c r="WLQ49" s="16"/>
      <c r="WLR49" s="16"/>
      <c r="WLS49" s="16"/>
      <c r="WLT49" s="16"/>
      <c r="WLU49" s="16"/>
      <c r="WLV49" s="16"/>
      <c r="WLW49" s="16"/>
      <c r="WLX49" s="16"/>
      <c r="WLY49" s="16"/>
      <c r="WLZ49" s="16"/>
      <c r="WMA49" s="16"/>
      <c r="WMB49" s="16"/>
      <c r="WMC49" s="16"/>
      <c r="WMD49" s="16"/>
      <c r="WME49" s="16"/>
      <c r="WMF49" s="16"/>
      <c r="WMG49" s="16"/>
      <c r="WMH49" s="16"/>
      <c r="WMI49" s="16"/>
      <c r="WMJ49" s="16"/>
      <c r="WMK49" s="16"/>
      <c r="WML49" s="16"/>
      <c r="WMM49" s="16"/>
      <c r="WMN49" s="16"/>
      <c r="WMO49" s="16"/>
      <c r="WMP49" s="16"/>
      <c r="WMQ49" s="16"/>
      <c r="WMR49" s="16"/>
      <c r="WMS49" s="16"/>
      <c r="WMT49" s="16"/>
      <c r="WMU49" s="16"/>
      <c r="WMV49" s="16"/>
      <c r="WMW49" s="16"/>
      <c r="WMX49" s="16"/>
      <c r="WMY49" s="16"/>
      <c r="WMZ49" s="16"/>
      <c r="WNA49" s="16"/>
      <c r="WNB49" s="16"/>
      <c r="WNC49" s="16"/>
      <c r="WND49" s="16"/>
      <c r="WNE49" s="16"/>
      <c r="WNF49" s="16"/>
      <c r="WNG49" s="16"/>
      <c r="WNH49" s="16"/>
      <c r="WNI49" s="16"/>
      <c r="WNJ49" s="16"/>
      <c r="WNK49" s="16"/>
      <c r="WNL49" s="16"/>
      <c r="WNM49" s="16"/>
      <c r="WNN49" s="16"/>
      <c r="WNO49" s="16"/>
      <c r="WNP49" s="16"/>
      <c r="WNQ49" s="16"/>
      <c r="WNR49" s="16"/>
      <c r="WNS49" s="16"/>
      <c r="WNT49" s="16"/>
      <c r="WNU49" s="16"/>
      <c r="WNV49" s="16"/>
      <c r="WNW49" s="16"/>
      <c r="WNX49" s="16"/>
      <c r="WNY49" s="16"/>
      <c r="WNZ49" s="16"/>
      <c r="WOA49" s="16"/>
      <c r="WOB49" s="16"/>
      <c r="WOC49" s="16"/>
      <c r="WOD49" s="16"/>
      <c r="WOE49" s="16"/>
      <c r="WOF49" s="16"/>
      <c r="WOG49" s="16"/>
      <c r="WOH49" s="16"/>
      <c r="WOI49" s="16"/>
      <c r="WOJ49" s="16"/>
      <c r="WOK49" s="16"/>
      <c r="WOL49" s="16"/>
      <c r="WOM49" s="16"/>
      <c r="WON49" s="16"/>
      <c r="WOO49" s="16"/>
      <c r="WOP49" s="16"/>
      <c r="WOQ49" s="16"/>
      <c r="WOR49" s="16"/>
      <c r="WOS49" s="16"/>
      <c r="WOT49" s="16"/>
      <c r="WOU49" s="16"/>
      <c r="WOV49" s="16"/>
      <c r="WOW49" s="16"/>
      <c r="WOX49" s="16"/>
      <c r="WOY49" s="16"/>
      <c r="WOZ49" s="16"/>
      <c r="WPA49" s="16"/>
      <c r="WPB49" s="16"/>
      <c r="WPC49" s="16"/>
      <c r="WPD49" s="16"/>
      <c r="WPE49" s="16"/>
      <c r="WPF49" s="16"/>
      <c r="WPG49" s="16"/>
      <c r="WPH49" s="16"/>
      <c r="WPI49" s="16"/>
      <c r="WPJ49" s="16"/>
      <c r="WPK49" s="16"/>
      <c r="WPL49" s="16"/>
      <c r="WPM49" s="16"/>
      <c r="WPN49" s="16"/>
      <c r="WPO49" s="16"/>
      <c r="WPP49" s="16"/>
      <c r="WPQ49" s="16"/>
      <c r="WPR49" s="16"/>
      <c r="WPS49" s="16"/>
      <c r="WPT49" s="16"/>
      <c r="WPU49" s="16"/>
      <c r="WPV49" s="16"/>
      <c r="WPW49" s="16"/>
      <c r="WPX49" s="16"/>
      <c r="WPY49" s="16"/>
      <c r="WPZ49" s="16"/>
      <c r="WQA49" s="16"/>
      <c r="WQB49" s="16"/>
      <c r="WQC49" s="16"/>
      <c r="WQD49" s="16"/>
      <c r="WQE49" s="16"/>
      <c r="WQF49" s="16"/>
      <c r="WQG49" s="16"/>
      <c r="WQH49" s="16"/>
      <c r="WQI49" s="16"/>
      <c r="WQJ49" s="16"/>
      <c r="WQK49" s="16"/>
      <c r="WQL49" s="16"/>
      <c r="WQM49" s="16"/>
      <c r="WQN49" s="16"/>
      <c r="WQO49" s="16"/>
      <c r="WQP49" s="16"/>
      <c r="WQQ49" s="16"/>
      <c r="WQR49" s="16"/>
      <c r="WQS49" s="16"/>
      <c r="WQT49" s="16"/>
      <c r="WQU49" s="16"/>
      <c r="WQV49" s="16"/>
      <c r="WQW49" s="16"/>
      <c r="WQX49" s="16"/>
      <c r="WQY49" s="16"/>
      <c r="WQZ49" s="16"/>
      <c r="WRA49" s="16"/>
      <c r="WRB49" s="16"/>
      <c r="WRC49" s="16"/>
      <c r="WRD49" s="16"/>
      <c r="WRE49" s="16"/>
      <c r="WRF49" s="16"/>
      <c r="WRG49" s="16"/>
      <c r="WRH49" s="16"/>
      <c r="WRI49" s="16"/>
      <c r="WRJ49" s="16"/>
      <c r="WRK49" s="16"/>
      <c r="WRL49" s="16"/>
      <c r="WRM49" s="16"/>
      <c r="WRN49" s="16"/>
      <c r="WRO49" s="16"/>
      <c r="WRP49" s="16"/>
      <c r="WRQ49" s="16"/>
      <c r="WRR49" s="16"/>
      <c r="WRS49" s="16"/>
      <c r="WRT49" s="16"/>
      <c r="WRU49" s="16"/>
      <c r="WRV49" s="16"/>
      <c r="WRW49" s="16"/>
      <c r="WRX49" s="16"/>
      <c r="WRY49" s="16"/>
      <c r="WRZ49" s="16"/>
      <c r="WSA49" s="16"/>
      <c r="WSB49" s="16"/>
      <c r="WSC49" s="16"/>
      <c r="WSD49" s="16"/>
      <c r="WSE49" s="16"/>
      <c r="WSF49" s="16"/>
      <c r="WSG49" s="16"/>
      <c r="WSH49" s="16"/>
      <c r="WSI49" s="16"/>
      <c r="WSJ49" s="16"/>
      <c r="WSK49" s="16"/>
      <c r="WSL49" s="16"/>
      <c r="WSM49" s="16"/>
      <c r="WSN49" s="16"/>
      <c r="WSO49" s="16"/>
      <c r="WSP49" s="16"/>
      <c r="WSQ49" s="16"/>
      <c r="WSR49" s="16"/>
      <c r="WSS49" s="16"/>
      <c r="WST49" s="16"/>
      <c r="WSU49" s="16"/>
      <c r="WSV49" s="16"/>
      <c r="WSW49" s="16"/>
      <c r="WSX49" s="16"/>
      <c r="WSY49" s="16"/>
      <c r="WSZ49" s="16"/>
      <c r="WTA49" s="16"/>
      <c r="WTB49" s="16"/>
      <c r="WTC49" s="16"/>
      <c r="WTD49" s="16"/>
      <c r="WTE49" s="16"/>
      <c r="WTF49" s="16"/>
      <c r="WTG49" s="16"/>
      <c r="WTH49" s="16"/>
      <c r="WTI49" s="16"/>
      <c r="WTJ49" s="16"/>
      <c r="WTK49" s="16"/>
      <c r="WTL49" s="16"/>
      <c r="WTM49" s="16"/>
      <c r="WTN49" s="16"/>
      <c r="WTO49" s="16"/>
      <c r="WTP49" s="16"/>
      <c r="WTQ49" s="16"/>
      <c r="WTR49" s="16"/>
      <c r="WTS49" s="16"/>
      <c r="WTT49" s="16"/>
      <c r="WTU49" s="16"/>
      <c r="WTV49" s="16"/>
      <c r="WTW49" s="16"/>
      <c r="WTX49" s="16"/>
      <c r="WTY49" s="16"/>
      <c r="WTZ49" s="16"/>
      <c r="WUA49" s="16"/>
      <c r="WUB49" s="16"/>
      <c r="WUC49" s="16"/>
      <c r="WUD49" s="16"/>
      <c r="WUE49" s="16"/>
      <c r="WUF49" s="16"/>
      <c r="WUG49" s="16"/>
      <c r="WUH49" s="16"/>
      <c r="WUI49" s="16"/>
      <c r="WUJ49" s="16"/>
      <c r="WUK49" s="16"/>
      <c r="WUL49" s="16"/>
      <c r="WUM49" s="16"/>
      <c r="WUN49" s="16"/>
      <c r="WUO49" s="16"/>
      <c r="WUP49" s="16"/>
      <c r="WUQ49" s="16"/>
      <c r="WUR49" s="16"/>
      <c r="WUS49" s="16"/>
      <c r="WUT49" s="16"/>
      <c r="WUU49" s="16"/>
      <c r="WUV49" s="16"/>
      <c r="WUW49" s="16"/>
      <c r="WUX49" s="16"/>
      <c r="WUY49" s="16"/>
      <c r="WUZ49" s="16"/>
      <c r="WVA49" s="16"/>
      <c r="WVB49" s="16"/>
      <c r="WVC49" s="16"/>
      <c r="WVD49" s="16"/>
      <c r="WVE49" s="16"/>
      <c r="WVF49" s="16"/>
      <c r="WVG49" s="16"/>
      <c r="WVH49" s="16"/>
      <c r="WVI49" s="16"/>
      <c r="WVJ49" s="16"/>
      <c r="WVK49" s="16"/>
      <c r="WVL49" s="16"/>
      <c r="WVM49" s="16"/>
      <c r="WVN49" s="16"/>
      <c r="WVO49" s="16"/>
      <c r="WVP49" s="16"/>
      <c r="WVQ49" s="16"/>
      <c r="WVR49" s="16"/>
      <c r="WVS49" s="16"/>
      <c r="WVT49" s="16"/>
      <c r="WVU49" s="16"/>
      <c r="WVV49" s="16"/>
      <c r="WVW49" s="16"/>
      <c r="WVX49" s="16"/>
      <c r="WVY49" s="16"/>
      <c r="WVZ49" s="16"/>
      <c r="WWA49" s="16"/>
      <c r="WWB49" s="16"/>
      <c r="WWC49" s="16"/>
      <c r="WWD49" s="16"/>
      <c r="WWE49" s="16"/>
      <c r="WWF49" s="16"/>
      <c r="WWG49" s="16"/>
      <c r="WWH49" s="16"/>
      <c r="WWI49" s="16"/>
      <c r="WWJ49" s="16"/>
    </row>
    <row r="50" spans="3:16156" s="20" customFormat="1" ht="13.5" customHeight="1" x14ac:dyDescent="0.2"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83"/>
      <c r="Z50" s="29"/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6"/>
      <c r="AL50" s="16"/>
      <c r="AM50" s="16"/>
      <c r="AN50" s="16"/>
      <c r="AO50" s="16"/>
      <c r="AP50" s="16"/>
      <c r="AQ50" s="16"/>
      <c r="AR50" s="16"/>
      <c r="AS50" s="16"/>
      <c r="AT50" s="16"/>
      <c r="AU50" s="16"/>
      <c r="AV50" s="16"/>
      <c r="AW50" s="16"/>
      <c r="AX50" s="16"/>
      <c r="AY50" s="16"/>
      <c r="AZ50" s="16"/>
      <c r="BA50" s="16"/>
      <c r="BB50" s="16"/>
      <c r="BC50" s="16"/>
      <c r="BD50" s="16"/>
      <c r="BE50" s="16"/>
      <c r="BF50" s="16"/>
      <c r="BG50" s="16"/>
      <c r="BH50" s="16"/>
      <c r="BI50" s="16"/>
      <c r="BJ50" s="16"/>
      <c r="BK50" s="16"/>
      <c r="BL50" s="16"/>
      <c r="BM50" s="16"/>
      <c r="BN50" s="16"/>
      <c r="BO50" s="16"/>
      <c r="BP50" s="16"/>
      <c r="BQ50" s="16"/>
      <c r="BR50" s="16"/>
      <c r="BS50" s="16"/>
      <c r="BT50" s="16"/>
      <c r="BU50" s="16"/>
      <c r="BV50" s="16"/>
      <c r="BW50" s="16"/>
      <c r="BX50" s="16"/>
      <c r="BY50" s="16"/>
      <c r="BZ50" s="16"/>
      <c r="CA50" s="16"/>
      <c r="CB50" s="16"/>
      <c r="CC50" s="16"/>
      <c r="CD50" s="16"/>
      <c r="CE50" s="16"/>
      <c r="CF50" s="16"/>
      <c r="CG50" s="16"/>
      <c r="CH50" s="16"/>
      <c r="CI50" s="16"/>
      <c r="CJ50" s="16"/>
      <c r="CK50" s="16"/>
      <c r="CL50" s="16"/>
      <c r="CM50" s="16"/>
      <c r="CN50" s="16"/>
      <c r="CO50" s="16"/>
      <c r="CP50" s="16"/>
      <c r="CQ50" s="16"/>
      <c r="CR50" s="16"/>
      <c r="CS50" s="16"/>
      <c r="CT50" s="16"/>
      <c r="CU50" s="16"/>
      <c r="CV50" s="16"/>
      <c r="CW50" s="16"/>
      <c r="CX50" s="16"/>
      <c r="CY50" s="16"/>
      <c r="CZ50" s="16"/>
      <c r="DA50" s="16"/>
      <c r="DB50" s="16"/>
      <c r="DC50" s="16"/>
      <c r="DD50" s="16"/>
      <c r="DE50" s="16"/>
      <c r="DF50" s="16"/>
      <c r="DG50" s="16"/>
      <c r="DH50" s="16"/>
      <c r="DI50" s="16"/>
      <c r="DJ50" s="16"/>
      <c r="DK50" s="16"/>
      <c r="DL50" s="16"/>
      <c r="DM50" s="16"/>
      <c r="DN50" s="16"/>
      <c r="DO50" s="16"/>
      <c r="DP50" s="16"/>
      <c r="DQ50" s="16"/>
      <c r="DR50" s="16"/>
      <c r="DS50" s="16"/>
      <c r="DT50" s="16"/>
      <c r="DU50" s="16"/>
      <c r="DV50" s="16"/>
      <c r="DW50" s="16"/>
      <c r="DX50" s="16"/>
      <c r="DY50" s="16"/>
      <c r="DZ50" s="16"/>
      <c r="EA50" s="16"/>
      <c r="EB50" s="16"/>
      <c r="EC50" s="16"/>
      <c r="ED50" s="16"/>
      <c r="EE50" s="16"/>
      <c r="EF50" s="16"/>
      <c r="EG50" s="16"/>
      <c r="EH50" s="16"/>
      <c r="EI50" s="16"/>
      <c r="EJ50" s="16"/>
      <c r="EK50" s="16"/>
      <c r="EL50" s="16"/>
      <c r="EM50" s="16"/>
      <c r="EN50" s="16"/>
      <c r="EO50" s="16"/>
      <c r="EP50" s="16"/>
      <c r="EQ50" s="16"/>
      <c r="ER50" s="16"/>
      <c r="ES50" s="16"/>
      <c r="ET50" s="16"/>
      <c r="EU50" s="16"/>
      <c r="EV50" s="16"/>
      <c r="EW50" s="16"/>
      <c r="EX50" s="16"/>
      <c r="EY50" s="16"/>
      <c r="EZ50" s="16"/>
      <c r="FA50" s="16"/>
      <c r="FB50" s="16"/>
      <c r="FC50" s="16"/>
      <c r="FD50" s="16"/>
      <c r="FE50" s="16"/>
      <c r="FF50" s="16"/>
      <c r="FG50" s="16"/>
      <c r="FH50" s="16"/>
      <c r="FI50" s="16"/>
      <c r="FJ50" s="16"/>
      <c r="FK50" s="16"/>
      <c r="FL50" s="16"/>
      <c r="FM50" s="16"/>
      <c r="FN50" s="16"/>
      <c r="FO50" s="16"/>
      <c r="FP50" s="16"/>
      <c r="FQ50" s="16"/>
      <c r="FR50" s="16"/>
      <c r="FS50" s="16"/>
      <c r="FT50" s="16"/>
      <c r="FU50" s="16"/>
      <c r="FV50" s="16"/>
      <c r="FW50" s="16"/>
      <c r="FX50" s="16"/>
      <c r="FY50" s="16"/>
      <c r="FZ50" s="16"/>
      <c r="GA50" s="16"/>
      <c r="GB50" s="16"/>
      <c r="GC50" s="16"/>
      <c r="GD50" s="16"/>
      <c r="GE50" s="16"/>
      <c r="GF50" s="16"/>
      <c r="GG50" s="16"/>
      <c r="GH50" s="16"/>
      <c r="GI50" s="16"/>
      <c r="GJ50" s="16"/>
      <c r="GK50" s="16"/>
      <c r="GL50" s="16"/>
      <c r="GM50" s="16"/>
      <c r="GN50" s="16"/>
      <c r="GO50" s="16"/>
      <c r="GP50" s="16"/>
      <c r="GQ50" s="16"/>
      <c r="GR50" s="16"/>
      <c r="GS50" s="16"/>
      <c r="GT50" s="16"/>
      <c r="GU50" s="16"/>
      <c r="GV50" s="16"/>
      <c r="GW50" s="16"/>
      <c r="GX50" s="16"/>
      <c r="GY50" s="16"/>
      <c r="GZ50" s="16"/>
      <c r="HA50" s="16"/>
      <c r="HB50" s="16"/>
      <c r="HC50" s="16"/>
      <c r="HD50" s="16"/>
      <c r="HE50" s="16"/>
      <c r="HF50" s="16"/>
      <c r="HG50" s="16"/>
      <c r="HH50" s="16"/>
      <c r="HI50" s="16"/>
      <c r="HJ50" s="16"/>
      <c r="HK50" s="16"/>
      <c r="HL50" s="16"/>
      <c r="HM50" s="16"/>
      <c r="HN50" s="16"/>
      <c r="HO50" s="16"/>
      <c r="HP50" s="16"/>
      <c r="HQ50" s="16"/>
      <c r="HR50" s="16"/>
      <c r="HS50" s="16"/>
      <c r="HT50" s="16"/>
      <c r="HU50" s="16"/>
      <c r="HV50" s="16"/>
      <c r="HW50" s="16"/>
      <c r="HX50" s="16"/>
      <c r="HY50" s="16"/>
      <c r="HZ50" s="16"/>
      <c r="IA50" s="16"/>
      <c r="IB50" s="16"/>
      <c r="IC50" s="16"/>
      <c r="ID50" s="16"/>
      <c r="IE50" s="16"/>
      <c r="IF50" s="16"/>
      <c r="IG50" s="16"/>
      <c r="IH50" s="16"/>
      <c r="II50" s="16"/>
      <c r="IJ50" s="16"/>
      <c r="IK50" s="16"/>
      <c r="IL50" s="16"/>
      <c r="IM50" s="16"/>
      <c r="IN50" s="16"/>
      <c r="IO50" s="16"/>
      <c r="IP50" s="16"/>
      <c r="IQ50" s="16"/>
      <c r="IR50" s="16"/>
      <c r="IS50" s="16"/>
      <c r="IT50" s="16"/>
      <c r="IU50" s="16"/>
      <c r="IV50" s="16"/>
      <c r="IW50" s="16"/>
      <c r="IX50" s="16"/>
      <c r="IY50" s="16"/>
      <c r="IZ50" s="16"/>
      <c r="JA50" s="16"/>
      <c r="JB50" s="16"/>
      <c r="JC50" s="16"/>
      <c r="JD50" s="16"/>
      <c r="JE50" s="16"/>
      <c r="JF50" s="16"/>
      <c r="JG50" s="16"/>
      <c r="JH50" s="16"/>
      <c r="JI50" s="16"/>
      <c r="JJ50" s="16"/>
      <c r="JK50" s="16"/>
      <c r="JL50" s="16"/>
      <c r="JM50" s="16"/>
      <c r="JN50" s="16"/>
      <c r="JO50" s="16"/>
      <c r="JP50" s="16"/>
      <c r="JQ50" s="16"/>
      <c r="JR50" s="16"/>
      <c r="JS50" s="16"/>
      <c r="JT50" s="16"/>
      <c r="JU50" s="16"/>
      <c r="JV50" s="16"/>
      <c r="JW50" s="16"/>
      <c r="JX50" s="16"/>
      <c r="JY50" s="16"/>
      <c r="JZ50" s="16"/>
      <c r="KA50" s="16"/>
      <c r="KB50" s="16"/>
      <c r="KC50" s="16"/>
      <c r="KD50" s="16"/>
      <c r="KE50" s="16"/>
      <c r="KF50" s="16"/>
      <c r="KG50" s="16"/>
      <c r="KH50" s="16"/>
      <c r="KI50" s="16"/>
      <c r="KJ50" s="16"/>
      <c r="KK50" s="16"/>
      <c r="KL50" s="16"/>
      <c r="KM50" s="16"/>
      <c r="KN50" s="16"/>
      <c r="KO50" s="16"/>
      <c r="KP50" s="16"/>
      <c r="KQ50" s="16"/>
      <c r="KR50" s="16"/>
      <c r="KS50" s="16"/>
      <c r="KT50" s="16"/>
      <c r="KU50" s="16"/>
      <c r="KV50" s="16"/>
      <c r="KW50" s="16"/>
      <c r="KX50" s="16"/>
      <c r="KY50" s="16"/>
      <c r="KZ50" s="16"/>
      <c r="LA50" s="16"/>
      <c r="LB50" s="16"/>
      <c r="LC50" s="16"/>
      <c r="LD50" s="16"/>
      <c r="LE50" s="16"/>
      <c r="LF50" s="16"/>
      <c r="LG50" s="16"/>
      <c r="LH50" s="16"/>
      <c r="LI50" s="16"/>
      <c r="LJ50" s="16"/>
      <c r="LK50" s="16"/>
      <c r="LL50" s="16"/>
      <c r="LM50" s="16"/>
      <c r="LN50" s="16"/>
      <c r="LO50" s="16"/>
      <c r="LP50" s="16"/>
      <c r="LQ50" s="16"/>
      <c r="LR50" s="16"/>
      <c r="LS50" s="16"/>
      <c r="LT50" s="16"/>
      <c r="LU50" s="16"/>
      <c r="LV50" s="16"/>
      <c r="LW50" s="16"/>
      <c r="LX50" s="16"/>
      <c r="LY50" s="16"/>
      <c r="LZ50" s="16"/>
      <c r="MA50" s="16"/>
      <c r="MB50" s="16"/>
      <c r="MC50" s="16"/>
      <c r="MD50" s="16"/>
      <c r="ME50" s="16"/>
      <c r="MF50" s="16"/>
      <c r="MG50" s="16"/>
      <c r="MH50" s="16"/>
      <c r="MI50" s="16"/>
      <c r="MJ50" s="16"/>
      <c r="MK50" s="16"/>
      <c r="ML50" s="16"/>
      <c r="MM50" s="16"/>
      <c r="MN50" s="16"/>
      <c r="MO50" s="16"/>
      <c r="MP50" s="16"/>
      <c r="MQ50" s="16"/>
      <c r="MR50" s="16"/>
      <c r="MS50" s="16"/>
      <c r="MT50" s="16"/>
      <c r="MU50" s="16"/>
      <c r="MV50" s="16"/>
      <c r="MW50" s="16"/>
      <c r="MX50" s="16"/>
      <c r="MY50" s="16"/>
      <c r="MZ50" s="16"/>
      <c r="NA50" s="16"/>
      <c r="NB50" s="16"/>
      <c r="NC50" s="16"/>
      <c r="ND50" s="16"/>
      <c r="NE50" s="16"/>
      <c r="NF50" s="16"/>
      <c r="NG50" s="16"/>
      <c r="NH50" s="16"/>
      <c r="NI50" s="16"/>
      <c r="NJ50" s="16"/>
      <c r="NK50" s="16"/>
      <c r="NL50" s="16"/>
      <c r="NM50" s="16"/>
      <c r="NN50" s="16"/>
      <c r="NO50" s="16"/>
      <c r="NP50" s="16"/>
      <c r="NQ50" s="16"/>
      <c r="NR50" s="16"/>
      <c r="NS50" s="16"/>
      <c r="NT50" s="16"/>
      <c r="NU50" s="16"/>
      <c r="NV50" s="16"/>
      <c r="NW50" s="16"/>
      <c r="NX50" s="16"/>
      <c r="NY50" s="16"/>
      <c r="NZ50" s="16"/>
      <c r="OA50" s="16"/>
      <c r="OB50" s="16"/>
      <c r="OC50" s="16"/>
      <c r="OD50" s="16"/>
      <c r="OE50" s="16"/>
      <c r="OF50" s="16"/>
      <c r="OG50" s="16"/>
      <c r="OH50" s="16"/>
      <c r="OI50" s="16"/>
      <c r="OJ50" s="16"/>
      <c r="OK50" s="16"/>
      <c r="OL50" s="16"/>
      <c r="OM50" s="16"/>
      <c r="ON50" s="16"/>
      <c r="OO50" s="16"/>
      <c r="OP50" s="16"/>
      <c r="OQ50" s="16"/>
      <c r="OR50" s="16"/>
      <c r="OS50" s="16"/>
      <c r="OT50" s="16"/>
      <c r="OU50" s="16"/>
      <c r="OV50" s="16"/>
      <c r="OW50" s="16"/>
      <c r="OX50" s="16"/>
      <c r="OY50" s="16"/>
      <c r="OZ50" s="16"/>
      <c r="PA50" s="16"/>
      <c r="PB50" s="16"/>
      <c r="PC50" s="16"/>
      <c r="PD50" s="16"/>
      <c r="PE50" s="16"/>
      <c r="PF50" s="16"/>
      <c r="PG50" s="16"/>
      <c r="PH50" s="16"/>
      <c r="PI50" s="16"/>
      <c r="PJ50" s="16"/>
      <c r="PK50" s="16"/>
      <c r="PL50" s="16"/>
      <c r="PM50" s="16"/>
      <c r="PN50" s="16"/>
      <c r="PO50" s="16"/>
      <c r="PP50" s="16"/>
      <c r="PQ50" s="16"/>
      <c r="PR50" s="16"/>
      <c r="PS50" s="16"/>
      <c r="PT50" s="16"/>
      <c r="PU50" s="16"/>
      <c r="PV50" s="16"/>
      <c r="PW50" s="16"/>
      <c r="PX50" s="16"/>
      <c r="PY50" s="16"/>
      <c r="PZ50" s="16"/>
      <c r="QA50" s="16"/>
      <c r="QB50" s="16"/>
      <c r="QC50" s="16"/>
      <c r="QD50" s="16"/>
      <c r="QE50" s="16"/>
      <c r="QF50" s="16"/>
      <c r="QG50" s="16"/>
      <c r="QH50" s="16"/>
      <c r="QI50" s="16"/>
      <c r="QJ50" s="16"/>
      <c r="QK50" s="16"/>
      <c r="QL50" s="16"/>
      <c r="QM50" s="16"/>
      <c r="QN50" s="16"/>
      <c r="QO50" s="16"/>
      <c r="QP50" s="16"/>
      <c r="QQ50" s="16"/>
      <c r="QR50" s="16"/>
      <c r="QS50" s="16"/>
      <c r="QT50" s="16"/>
      <c r="QU50" s="16"/>
      <c r="QV50" s="16"/>
      <c r="QW50" s="16"/>
      <c r="QX50" s="16"/>
      <c r="QY50" s="16"/>
      <c r="QZ50" s="16"/>
      <c r="RA50" s="16"/>
      <c r="RB50" s="16"/>
      <c r="RC50" s="16"/>
      <c r="RD50" s="16"/>
      <c r="RE50" s="16"/>
      <c r="RF50" s="16"/>
      <c r="RG50" s="16"/>
      <c r="RH50" s="16"/>
      <c r="RI50" s="16"/>
      <c r="RJ50" s="16"/>
      <c r="RK50" s="16"/>
      <c r="RL50" s="16"/>
      <c r="RM50" s="16"/>
      <c r="RN50" s="16"/>
      <c r="RO50" s="16"/>
      <c r="RP50" s="16"/>
      <c r="RQ50" s="16"/>
      <c r="RR50" s="16"/>
      <c r="RS50" s="16"/>
      <c r="RT50" s="16"/>
      <c r="RU50" s="16"/>
      <c r="RV50" s="16"/>
      <c r="RW50" s="16"/>
      <c r="RX50" s="16"/>
      <c r="RY50" s="16"/>
      <c r="RZ50" s="16"/>
      <c r="SA50" s="16"/>
      <c r="SB50" s="16"/>
      <c r="SC50" s="16"/>
      <c r="SD50" s="16"/>
      <c r="SE50" s="16"/>
      <c r="SF50" s="16"/>
      <c r="SG50" s="16"/>
      <c r="SH50" s="16"/>
      <c r="SI50" s="16"/>
      <c r="SJ50" s="16"/>
      <c r="SK50" s="16"/>
      <c r="SL50" s="16"/>
      <c r="SM50" s="16"/>
      <c r="SN50" s="16"/>
      <c r="SO50" s="16"/>
      <c r="SP50" s="16"/>
      <c r="SQ50" s="16"/>
      <c r="SR50" s="16"/>
      <c r="SS50" s="16"/>
      <c r="ST50" s="16"/>
      <c r="SU50" s="16"/>
      <c r="SV50" s="16"/>
      <c r="SW50" s="16"/>
      <c r="SX50" s="16"/>
      <c r="SY50" s="16"/>
      <c r="SZ50" s="16"/>
      <c r="TA50" s="16"/>
      <c r="TB50" s="16"/>
      <c r="TC50" s="16"/>
      <c r="TD50" s="16"/>
      <c r="TE50" s="16"/>
      <c r="TF50" s="16"/>
      <c r="TG50" s="16"/>
      <c r="TH50" s="16"/>
      <c r="TI50" s="16"/>
      <c r="TJ50" s="16"/>
      <c r="TK50" s="16"/>
      <c r="TL50" s="16"/>
      <c r="TM50" s="16"/>
      <c r="TN50" s="16"/>
      <c r="TO50" s="16"/>
      <c r="TP50" s="16"/>
      <c r="TQ50" s="16"/>
      <c r="TR50" s="16"/>
      <c r="TS50" s="16"/>
      <c r="TT50" s="16"/>
      <c r="TU50" s="16"/>
      <c r="TV50" s="16"/>
      <c r="TW50" s="16"/>
      <c r="TX50" s="16"/>
      <c r="TY50" s="16"/>
      <c r="TZ50" s="16"/>
      <c r="UA50" s="16"/>
      <c r="UB50" s="16"/>
      <c r="UC50" s="16"/>
      <c r="UD50" s="16"/>
      <c r="UE50" s="16"/>
      <c r="UF50" s="16"/>
      <c r="UG50" s="16"/>
      <c r="UH50" s="16"/>
      <c r="UI50" s="16"/>
      <c r="UJ50" s="16"/>
      <c r="UK50" s="16"/>
      <c r="UL50" s="16"/>
      <c r="UM50" s="16"/>
      <c r="UN50" s="16"/>
      <c r="UO50" s="16"/>
      <c r="UP50" s="16"/>
      <c r="UQ50" s="16"/>
      <c r="UR50" s="16"/>
      <c r="US50" s="16"/>
      <c r="UT50" s="16"/>
      <c r="UU50" s="16"/>
      <c r="UV50" s="16"/>
      <c r="UW50" s="16"/>
      <c r="UX50" s="16"/>
      <c r="UY50" s="16"/>
      <c r="UZ50" s="16"/>
      <c r="VA50" s="16"/>
      <c r="VB50" s="16"/>
      <c r="VC50" s="16"/>
      <c r="VD50" s="16"/>
      <c r="VE50" s="16"/>
      <c r="VF50" s="16"/>
      <c r="VG50" s="16"/>
      <c r="VH50" s="16"/>
      <c r="VI50" s="16"/>
      <c r="VJ50" s="16"/>
      <c r="VK50" s="16"/>
      <c r="VL50" s="16"/>
      <c r="VM50" s="16"/>
      <c r="VN50" s="16"/>
      <c r="VO50" s="16"/>
      <c r="VP50" s="16"/>
      <c r="VQ50" s="16"/>
      <c r="VR50" s="16"/>
      <c r="VS50" s="16"/>
      <c r="VT50" s="16"/>
      <c r="VU50" s="16"/>
      <c r="VV50" s="16"/>
      <c r="VW50" s="16"/>
      <c r="VX50" s="16"/>
      <c r="VY50" s="16"/>
      <c r="VZ50" s="16"/>
      <c r="WA50" s="16"/>
      <c r="WB50" s="16"/>
      <c r="WC50" s="16"/>
      <c r="WD50" s="16"/>
      <c r="WE50" s="16"/>
      <c r="WF50" s="16"/>
      <c r="WG50" s="16"/>
      <c r="WH50" s="16"/>
      <c r="WI50" s="16"/>
      <c r="WJ50" s="16"/>
      <c r="WK50" s="16"/>
      <c r="WL50" s="16"/>
      <c r="WM50" s="16"/>
      <c r="WN50" s="16"/>
      <c r="WO50" s="16"/>
      <c r="WP50" s="16"/>
      <c r="WQ50" s="16"/>
      <c r="WR50" s="16"/>
      <c r="WS50" s="16"/>
      <c r="WT50" s="16"/>
      <c r="WU50" s="16"/>
      <c r="WV50" s="16"/>
      <c r="WW50" s="16"/>
      <c r="WX50" s="16"/>
      <c r="WY50" s="16"/>
      <c r="WZ50" s="16"/>
      <c r="XA50" s="16"/>
      <c r="XB50" s="16"/>
      <c r="XC50" s="16"/>
      <c r="XD50" s="16"/>
      <c r="XE50" s="16"/>
      <c r="XF50" s="16"/>
      <c r="XG50" s="16"/>
      <c r="XH50" s="16"/>
      <c r="XI50" s="16"/>
      <c r="XJ50" s="16"/>
      <c r="XK50" s="16"/>
      <c r="XL50" s="16"/>
      <c r="XM50" s="16"/>
      <c r="XN50" s="16"/>
      <c r="XO50" s="16"/>
      <c r="XP50" s="16"/>
      <c r="XQ50" s="16"/>
      <c r="XR50" s="16"/>
      <c r="XS50" s="16"/>
      <c r="XT50" s="16"/>
      <c r="XU50" s="16"/>
      <c r="XV50" s="16"/>
      <c r="XW50" s="16"/>
      <c r="XX50" s="16"/>
      <c r="XY50" s="16"/>
      <c r="XZ50" s="16"/>
      <c r="YA50" s="16"/>
      <c r="YB50" s="16"/>
      <c r="YC50" s="16"/>
      <c r="YD50" s="16"/>
      <c r="YE50" s="16"/>
      <c r="YF50" s="16"/>
      <c r="YG50" s="16"/>
      <c r="YH50" s="16"/>
      <c r="YI50" s="16"/>
      <c r="YJ50" s="16"/>
      <c r="YK50" s="16"/>
      <c r="YL50" s="16"/>
      <c r="YM50" s="16"/>
      <c r="YN50" s="16"/>
      <c r="YO50" s="16"/>
      <c r="YP50" s="16"/>
      <c r="YQ50" s="16"/>
      <c r="YR50" s="16"/>
      <c r="YS50" s="16"/>
      <c r="YT50" s="16"/>
      <c r="YU50" s="16"/>
      <c r="YV50" s="16"/>
      <c r="YW50" s="16"/>
      <c r="YX50" s="16"/>
      <c r="YY50" s="16"/>
      <c r="YZ50" s="16"/>
      <c r="ZA50" s="16"/>
      <c r="ZB50" s="16"/>
      <c r="ZC50" s="16"/>
      <c r="ZD50" s="16"/>
      <c r="ZE50" s="16"/>
      <c r="ZF50" s="16"/>
      <c r="ZG50" s="16"/>
      <c r="ZH50" s="16"/>
      <c r="ZI50" s="16"/>
      <c r="ZJ50" s="16"/>
      <c r="ZK50" s="16"/>
      <c r="ZL50" s="16"/>
      <c r="ZM50" s="16"/>
      <c r="ZN50" s="16"/>
      <c r="ZO50" s="16"/>
      <c r="ZP50" s="16"/>
      <c r="ZQ50" s="16"/>
      <c r="ZR50" s="16"/>
      <c r="ZS50" s="16"/>
      <c r="ZT50" s="16"/>
      <c r="ZU50" s="16"/>
      <c r="ZV50" s="16"/>
      <c r="ZW50" s="16"/>
      <c r="ZX50" s="16"/>
      <c r="ZY50" s="16"/>
      <c r="ZZ50" s="16"/>
      <c r="AAA50" s="16"/>
      <c r="AAB50" s="16"/>
      <c r="AAC50" s="16"/>
      <c r="AAD50" s="16"/>
      <c r="AAE50" s="16"/>
      <c r="AAF50" s="16"/>
      <c r="AAG50" s="16"/>
      <c r="AAH50" s="16"/>
      <c r="AAI50" s="16"/>
      <c r="AAJ50" s="16"/>
      <c r="AAK50" s="16"/>
      <c r="AAL50" s="16"/>
      <c r="AAM50" s="16"/>
      <c r="AAN50" s="16"/>
      <c r="AAO50" s="16"/>
      <c r="AAP50" s="16"/>
      <c r="AAQ50" s="16"/>
      <c r="AAR50" s="16"/>
      <c r="AAS50" s="16"/>
      <c r="AAT50" s="16"/>
      <c r="AAU50" s="16"/>
      <c r="AAV50" s="16"/>
      <c r="AAW50" s="16"/>
      <c r="AAX50" s="16"/>
      <c r="AAY50" s="16"/>
      <c r="AAZ50" s="16"/>
      <c r="ABA50" s="16"/>
      <c r="ABB50" s="16"/>
      <c r="ABC50" s="16"/>
      <c r="ABD50" s="16"/>
      <c r="ABE50" s="16"/>
      <c r="ABF50" s="16"/>
      <c r="ABG50" s="16"/>
      <c r="ABH50" s="16"/>
      <c r="ABI50" s="16"/>
      <c r="ABJ50" s="16"/>
      <c r="ABK50" s="16"/>
      <c r="ABL50" s="16"/>
      <c r="ABM50" s="16"/>
      <c r="ABN50" s="16"/>
      <c r="ABO50" s="16"/>
      <c r="ABP50" s="16"/>
      <c r="ABQ50" s="16"/>
      <c r="ABR50" s="16"/>
      <c r="ABS50" s="16"/>
      <c r="ABT50" s="16"/>
      <c r="ABU50" s="16"/>
      <c r="ABV50" s="16"/>
      <c r="ABW50" s="16"/>
      <c r="ABX50" s="16"/>
      <c r="ABY50" s="16"/>
      <c r="ABZ50" s="16"/>
      <c r="ACA50" s="16"/>
      <c r="ACB50" s="16"/>
      <c r="ACC50" s="16"/>
      <c r="ACD50" s="16"/>
      <c r="ACE50" s="16"/>
      <c r="ACF50" s="16"/>
      <c r="ACG50" s="16"/>
      <c r="ACH50" s="16"/>
      <c r="ACI50" s="16"/>
      <c r="ACJ50" s="16"/>
      <c r="ACK50" s="16"/>
      <c r="ACL50" s="16"/>
      <c r="ACM50" s="16"/>
      <c r="ACN50" s="16"/>
      <c r="ACO50" s="16"/>
      <c r="ACP50" s="16"/>
      <c r="ACQ50" s="16"/>
      <c r="ACR50" s="16"/>
      <c r="ACS50" s="16"/>
      <c r="ACT50" s="16"/>
      <c r="ACU50" s="16"/>
      <c r="ACV50" s="16"/>
      <c r="ACW50" s="16"/>
      <c r="ACX50" s="16"/>
      <c r="ACY50" s="16"/>
      <c r="ACZ50" s="16"/>
      <c r="ADA50" s="16"/>
      <c r="ADB50" s="16"/>
      <c r="ADC50" s="16"/>
      <c r="ADD50" s="16"/>
      <c r="ADE50" s="16"/>
      <c r="ADF50" s="16"/>
      <c r="ADG50" s="16"/>
      <c r="ADH50" s="16"/>
      <c r="ADI50" s="16"/>
      <c r="ADJ50" s="16"/>
      <c r="ADK50" s="16"/>
      <c r="ADL50" s="16"/>
      <c r="ADM50" s="16"/>
      <c r="ADN50" s="16"/>
      <c r="ADO50" s="16"/>
      <c r="ADP50" s="16"/>
      <c r="ADQ50" s="16"/>
      <c r="ADR50" s="16"/>
      <c r="ADS50" s="16"/>
      <c r="ADT50" s="16"/>
      <c r="ADU50" s="16"/>
      <c r="ADV50" s="16"/>
      <c r="ADW50" s="16"/>
      <c r="ADX50" s="16"/>
      <c r="ADY50" s="16"/>
      <c r="ADZ50" s="16"/>
      <c r="AEA50" s="16"/>
      <c r="AEB50" s="16"/>
      <c r="AEC50" s="16"/>
      <c r="AED50" s="16"/>
      <c r="AEE50" s="16"/>
      <c r="AEF50" s="16"/>
      <c r="AEG50" s="16"/>
      <c r="AEH50" s="16"/>
      <c r="AEI50" s="16"/>
      <c r="AEJ50" s="16"/>
      <c r="AEK50" s="16"/>
      <c r="AEL50" s="16"/>
      <c r="AEM50" s="16"/>
      <c r="AEN50" s="16"/>
      <c r="AEO50" s="16"/>
      <c r="AEP50" s="16"/>
      <c r="AEQ50" s="16"/>
      <c r="AER50" s="16"/>
      <c r="AES50" s="16"/>
      <c r="AET50" s="16"/>
      <c r="AEU50" s="16"/>
      <c r="AEV50" s="16"/>
      <c r="AEW50" s="16"/>
      <c r="AEX50" s="16"/>
      <c r="AEY50" s="16"/>
      <c r="AEZ50" s="16"/>
      <c r="AFA50" s="16"/>
      <c r="AFB50" s="16"/>
      <c r="AFC50" s="16"/>
      <c r="AFD50" s="16"/>
      <c r="AFE50" s="16"/>
      <c r="AFF50" s="16"/>
      <c r="AFG50" s="16"/>
      <c r="AFH50" s="16"/>
      <c r="AFI50" s="16"/>
      <c r="AFJ50" s="16"/>
      <c r="AFK50" s="16"/>
      <c r="AFL50" s="16"/>
      <c r="AFM50" s="16"/>
      <c r="AFN50" s="16"/>
      <c r="AFO50" s="16"/>
      <c r="AFP50" s="16"/>
      <c r="AFQ50" s="16"/>
      <c r="AFR50" s="16"/>
      <c r="AFS50" s="16"/>
      <c r="AFT50" s="16"/>
      <c r="AFU50" s="16"/>
      <c r="AFV50" s="16"/>
      <c r="AFW50" s="16"/>
      <c r="AFX50" s="16"/>
      <c r="AFY50" s="16"/>
      <c r="AFZ50" s="16"/>
      <c r="AGA50" s="16"/>
      <c r="AGB50" s="16"/>
      <c r="AGC50" s="16"/>
      <c r="AGD50" s="16"/>
      <c r="AGE50" s="16"/>
      <c r="AGF50" s="16"/>
      <c r="AGG50" s="16"/>
      <c r="AGH50" s="16"/>
      <c r="AGI50" s="16"/>
      <c r="AGJ50" s="16"/>
      <c r="AGK50" s="16"/>
      <c r="AGL50" s="16"/>
      <c r="AGM50" s="16"/>
      <c r="AGN50" s="16"/>
      <c r="AGO50" s="16"/>
      <c r="AGP50" s="16"/>
      <c r="AGQ50" s="16"/>
      <c r="AGR50" s="16"/>
      <c r="AGS50" s="16"/>
      <c r="AGT50" s="16"/>
      <c r="AGU50" s="16"/>
      <c r="AGV50" s="16"/>
      <c r="AGW50" s="16"/>
      <c r="AGX50" s="16"/>
      <c r="AGY50" s="16"/>
      <c r="AGZ50" s="16"/>
      <c r="AHA50" s="16"/>
      <c r="AHB50" s="16"/>
      <c r="AHC50" s="16"/>
      <c r="AHD50" s="16"/>
      <c r="AHE50" s="16"/>
      <c r="AHF50" s="16"/>
      <c r="AHG50" s="16"/>
      <c r="AHH50" s="16"/>
      <c r="AHI50" s="16"/>
      <c r="AHJ50" s="16"/>
      <c r="AHK50" s="16"/>
      <c r="AHL50" s="16"/>
      <c r="AHM50" s="16"/>
      <c r="AHN50" s="16"/>
      <c r="AHO50" s="16"/>
      <c r="AHP50" s="16"/>
      <c r="AHQ50" s="16"/>
      <c r="AHR50" s="16"/>
      <c r="AHS50" s="16"/>
      <c r="AHT50" s="16"/>
      <c r="AHU50" s="16"/>
      <c r="AHV50" s="16"/>
      <c r="AHW50" s="16"/>
      <c r="AHX50" s="16"/>
      <c r="AHY50" s="16"/>
      <c r="AHZ50" s="16"/>
      <c r="AIA50" s="16"/>
      <c r="AIB50" s="16"/>
      <c r="AIC50" s="16"/>
      <c r="AID50" s="16"/>
      <c r="AIE50" s="16"/>
      <c r="AIF50" s="16"/>
      <c r="AIG50" s="16"/>
      <c r="AIH50" s="16"/>
      <c r="AII50" s="16"/>
      <c r="AIJ50" s="16"/>
      <c r="AIK50" s="16"/>
      <c r="AIL50" s="16"/>
      <c r="AIM50" s="16"/>
      <c r="AIN50" s="16"/>
      <c r="AIO50" s="16"/>
      <c r="AIP50" s="16"/>
      <c r="AIQ50" s="16"/>
      <c r="AIR50" s="16"/>
      <c r="AIS50" s="16"/>
      <c r="AIT50" s="16"/>
      <c r="AIU50" s="16"/>
      <c r="AIV50" s="16"/>
      <c r="AIW50" s="16"/>
      <c r="AIX50" s="16"/>
      <c r="AIY50" s="16"/>
      <c r="AIZ50" s="16"/>
      <c r="AJA50" s="16"/>
      <c r="AJB50" s="16"/>
      <c r="AJC50" s="16"/>
      <c r="AJD50" s="16"/>
      <c r="AJE50" s="16"/>
      <c r="AJF50" s="16"/>
      <c r="AJG50" s="16"/>
      <c r="AJH50" s="16"/>
      <c r="AJI50" s="16"/>
      <c r="AJJ50" s="16"/>
      <c r="AJK50" s="16"/>
      <c r="AJL50" s="16"/>
      <c r="AJM50" s="16"/>
      <c r="AJN50" s="16"/>
      <c r="AJO50" s="16"/>
      <c r="AJP50" s="16"/>
      <c r="AJQ50" s="16"/>
      <c r="AJR50" s="16"/>
      <c r="AJS50" s="16"/>
      <c r="AJT50" s="16"/>
      <c r="AJU50" s="16"/>
      <c r="AJV50" s="16"/>
      <c r="AJW50" s="16"/>
      <c r="AJX50" s="16"/>
      <c r="AJY50" s="16"/>
      <c r="AJZ50" s="16"/>
      <c r="AKA50" s="16"/>
      <c r="AKB50" s="16"/>
      <c r="AKC50" s="16"/>
      <c r="AKD50" s="16"/>
      <c r="AKE50" s="16"/>
      <c r="AKF50" s="16"/>
      <c r="AKG50" s="16"/>
      <c r="AKH50" s="16"/>
      <c r="AKI50" s="16"/>
      <c r="AKJ50" s="16"/>
      <c r="AKK50" s="16"/>
      <c r="AKL50" s="16"/>
      <c r="AKM50" s="16"/>
      <c r="AKN50" s="16"/>
      <c r="AKO50" s="16"/>
      <c r="AKP50" s="16"/>
      <c r="AKQ50" s="16"/>
      <c r="AKR50" s="16"/>
      <c r="AKS50" s="16"/>
      <c r="AKT50" s="16"/>
      <c r="AKU50" s="16"/>
      <c r="AKV50" s="16"/>
      <c r="AKW50" s="16"/>
      <c r="AKX50" s="16"/>
      <c r="AKY50" s="16"/>
      <c r="AKZ50" s="16"/>
      <c r="ALA50" s="16"/>
      <c r="ALB50" s="16"/>
      <c r="ALC50" s="16"/>
      <c r="ALD50" s="16"/>
      <c r="ALE50" s="16"/>
      <c r="ALF50" s="16"/>
      <c r="ALG50" s="16"/>
      <c r="ALH50" s="16"/>
      <c r="ALI50" s="16"/>
      <c r="ALJ50" s="16"/>
      <c r="ALK50" s="16"/>
      <c r="ALL50" s="16"/>
      <c r="ALM50" s="16"/>
      <c r="ALN50" s="16"/>
      <c r="ALO50" s="16"/>
      <c r="ALP50" s="16"/>
      <c r="ALQ50" s="16"/>
      <c r="ALR50" s="16"/>
      <c r="ALS50" s="16"/>
      <c r="ALT50" s="16"/>
      <c r="ALU50" s="16"/>
      <c r="ALV50" s="16"/>
      <c r="ALW50" s="16"/>
      <c r="ALX50" s="16"/>
      <c r="ALY50" s="16"/>
      <c r="ALZ50" s="16"/>
      <c r="AMA50" s="16"/>
      <c r="AMB50" s="16"/>
      <c r="AMC50" s="16"/>
      <c r="AMD50" s="16"/>
      <c r="AME50" s="16"/>
      <c r="AMF50" s="16"/>
      <c r="AMG50" s="16"/>
      <c r="AMH50" s="16"/>
      <c r="AMI50" s="16"/>
      <c r="AMJ50" s="16"/>
      <c r="AMK50" s="16"/>
      <c r="AML50" s="16"/>
      <c r="AMM50" s="16"/>
      <c r="AMN50" s="16"/>
      <c r="AMO50" s="16"/>
      <c r="AMP50" s="16"/>
      <c r="AMQ50" s="16"/>
      <c r="AMR50" s="16"/>
      <c r="AMS50" s="16"/>
      <c r="AMT50" s="16"/>
      <c r="AMU50" s="16"/>
      <c r="AMV50" s="16"/>
      <c r="AMW50" s="16"/>
      <c r="AMX50" s="16"/>
      <c r="AMY50" s="16"/>
      <c r="AMZ50" s="16"/>
      <c r="ANA50" s="16"/>
      <c r="ANB50" s="16"/>
      <c r="ANC50" s="16"/>
      <c r="AND50" s="16"/>
      <c r="ANE50" s="16"/>
      <c r="ANF50" s="16"/>
      <c r="ANG50" s="16"/>
      <c r="ANH50" s="16"/>
      <c r="ANI50" s="16"/>
      <c r="ANJ50" s="16"/>
      <c r="ANK50" s="16"/>
      <c r="ANL50" s="16"/>
      <c r="ANM50" s="16"/>
      <c r="ANN50" s="16"/>
      <c r="ANO50" s="16"/>
      <c r="ANP50" s="16"/>
      <c r="ANQ50" s="16"/>
      <c r="ANR50" s="16"/>
      <c r="ANS50" s="16"/>
      <c r="ANT50" s="16"/>
      <c r="ANU50" s="16"/>
      <c r="ANV50" s="16"/>
      <c r="ANW50" s="16"/>
      <c r="ANX50" s="16"/>
      <c r="ANY50" s="16"/>
      <c r="ANZ50" s="16"/>
      <c r="AOA50" s="16"/>
      <c r="AOB50" s="16"/>
      <c r="AOC50" s="16"/>
      <c r="AOD50" s="16"/>
      <c r="AOE50" s="16"/>
      <c r="AOF50" s="16"/>
      <c r="AOG50" s="16"/>
      <c r="AOH50" s="16"/>
      <c r="AOI50" s="16"/>
      <c r="AOJ50" s="16"/>
      <c r="AOK50" s="16"/>
      <c r="AOL50" s="16"/>
      <c r="AOM50" s="16"/>
      <c r="AON50" s="16"/>
      <c r="AOO50" s="16"/>
      <c r="AOP50" s="16"/>
      <c r="AOQ50" s="16"/>
      <c r="AOR50" s="16"/>
      <c r="AOS50" s="16"/>
      <c r="AOT50" s="16"/>
      <c r="AOU50" s="16"/>
      <c r="AOV50" s="16"/>
      <c r="AOW50" s="16"/>
      <c r="AOX50" s="16"/>
      <c r="AOY50" s="16"/>
      <c r="AOZ50" s="16"/>
      <c r="APA50" s="16"/>
      <c r="APB50" s="16"/>
      <c r="APC50" s="16"/>
      <c r="APD50" s="16"/>
      <c r="APE50" s="16"/>
      <c r="APF50" s="16"/>
      <c r="APG50" s="16"/>
      <c r="APH50" s="16"/>
      <c r="API50" s="16"/>
      <c r="APJ50" s="16"/>
      <c r="APK50" s="16"/>
      <c r="APL50" s="16"/>
      <c r="APM50" s="16"/>
      <c r="APN50" s="16"/>
      <c r="APO50" s="16"/>
      <c r="APP50" s="16"/>
      <c r="APQ50" s="16"/>
      <c r="APR50" s="16"/>
      <c r="APS50" s="16"/>
      <c r="APT50" s="16"/>
      <c r="APU50" s="16"/>
      <c r="APV50" s="16"/>
      <c r="APW50" s="16"/>
      <c r="APX50" s="16"/>
      <c r="APY50" s="16"/>
      <c r="APZ50" s="16"/>
      <c r="AQA50" s="16"/>
      <c r="AQB50" s="16"/>
      <c r="AQC50" s="16"/>
      <c r="AQD50" s="16"/>
      <c r="AQE50" s="16"/>
      <c r="AQF50" s="16"/>
      <c r="AQG50" s="16"/>
      <c r="AQH50" s="16"/>
      <c r="AQI50" s="16"/>
      <c r="AQJ50" s="16"/>
      <c r="AQK50" s="16"/>
      <c r="AQL50" s="16"/>
      <c r="AQM50" s="16"/>
      <c r="AQN50" s="16"/>
      <c r="AQO50" s="16"/>
      <c r="AQP50" s="16"/>
      <c r="AQQ50" s="16"/>
      <c r="AQR50" s="16"/>
      <c r="AQS50" s="16"/>
      <c r="AQT50" s="16"/>
      <c r="AQU50" s="16"/>
      <c r="AQV50" s="16"/>
      <c r="AQW50" s="16"/>
      <c r="AQX50" s="16"/>
      <c r="AQY50" s="16"/>
      <c r="AQZ50" s="16"/>
      <c r="ARA50" s="16"/>
      <c r="ARB50" s="16"/>
      <c r="ARC50" s="16"/>
      <c r="ARD50" s="16"/>
      <c r="ARE50" s="16"/>
      <c r="ARF50" s="16"/>
      <c r="ARG50" s="16"/>
      <c r="ARH50" s="16"/>
      <c r="ARI50" s="16"/>
      <c r="ARJ50" s="16"/>
      <c r="ARK50" s="16"/>
      <c r="ARL50" s="16"/>
      <c r="ARM50" s="16"/>
      <c r="ARN50" s="16"/>
      <c r="ARO50" s="16"/>
      <c r="ARP50" s="16"/>
      <c r="ARQ50" s="16"/>
      <c r="ARR50" s="16"/>
      <c r="ARS50" s="16"/>
      <c r="ART50" s="16"/>
      <c r="ARU50" s="16"/>
      <c r="ARV50" s="16"/>
      <c r="ARW50" s="16"/>
      <c r="ARX50" s="16"/>
      <c r="ARY50" s="16"/>
      <c r="ARZ50" s="16"/>
      <c r="ASA50" s="16"/>
      <c r="ASB50" s="16"/>
      <c r="ASC50" s="16"/>
      <c r="ASD50" s="16"/>
      <c r="ASE50" s="16"/>
      <c r="ASF50" s="16"/>
      <c r="ASG50" s="16"/>
      <c r="ASH50" s="16"/>
      <c r="ASI50" s="16"/>
      <c r="ASJ50" s="16"/>
      <c r="ASK50" s="16"/>
      <c r="ASL50" s="16"/>
      <c r="ASM50" s="16"/>
      <c r="ASN50" s="16"/>
      <c r="ASO50" s="16"/>
      <c r="ASP50" s="16"/>
      <c r="ASQ50" s="16"/>
      <c r="ASR50" s="16"/>
      <c r="ASS50" s="16"/>
      <c r="AST50" s="16"/>
      <c r="ASU50" s="16"/>
      <c r="ASV50" s="16"/>
      <c r="ASW50" s="16"/>
      <c r="ASX50" s="16"/>
      <c r="ASY50" s="16"/>
      <c r="ASZ50" s="16"/>
      <c r="ATA50" s="16"/>
      <c r="ATB50" s="16"/>
      <c r="ATC50" s="16"/>
      <c r="ATD50" s="16"/>
      <c r="ATE50" s="16"/>
      <c r="ATF50" s="16"/>
      <c r="ATG50" s="16"/>
      <c r="ATH50" s="16"/>
      <c r="ATI50" s="16"/>
      <c r="ATJ50" s="16"/>
      <c r="ATK50" s="16"/>
      <c r="ATL50" s="16"/>
      <c r="ATM50" s="16"/>
      <c r="ATN50" s="16"/>
      <c r="ATO50" s="16"/>
      <c r="ATP50" s="16"/>
      <c r="ATQ50" s="16"/>
      <c r="ATR50" s="16"/>
      <c r="ATS50" s="16"/>
      <c r="ATT50" s="16"/>
      <c r="ATU50" s="16"/>
      <c r="ATV50" s="16"/>
      <c r="ATW50" s="16"/>
      <c r="ATX50" s="16"/>
      <c r="ATY50" s="16"/>
      <c r="ATZ50" s="16"/>
      <c r="AUA50" s="16"/>
      <c r="AUB50" s="16"/>
      <c r="AUC50" s="16"/>
      <c r="AUD50" s="16"/>
      <c r="AUE50" s="16"/>
      <c r="AUF50" s="16"/>
      <c r="AUG50" s="16"/>
      <c r="AUH50" s="16"/>
      <c r="AUI50" s="16"/>
      <c r="AUJ50" s="16"/>
      <c r="AUK50" s="16"/>
      <c r="AUL50" s="16"/>
      <c r="AUM50" s="16"/>
      <c r="AUN50" s="16"/>
      <c r="AUO50" s="16"/>
      <c r="AUP50" s="16"/>
      <c r="AUQ50" s="16"/>
      <c r="AUR50" s="16"/>
      <c r="AUS50" s="16"/>
      <c r="AUT50" s="16"/>
      <c r="AUU50" s="16"/>
      <c r="AUV50" s="16"/>
      <c r="AUW50" s="16"/>
      <c r="AUX50" s="16"/>
      <c r="AUY50" s="16"/>
      <c r="AUZ50" s="16"/>
      <c r="AVA50" s="16"/>
      <c r="AVB50" s="16"/>
      <c r="AVC50" s="16"/>
      <c r="AVD50" s="16"/>
      <c r="AVE50" s="16"/>
      <c r="AVF50" s="16"/>
      <c r="AVG50" s="16"/>
      <c r="AVH50" s="16"/>
      <c r="AVI50" s="16"/>
      <c r="AVJ50" s="16"/>
      <c r="AVK50" s="16"/>
      <c r="AVL50" s="16"/>
      <c r="AVM50" s="16"/>
      <c r="AVN50" s="16"/>
      <c r="AVO50" s="16"/>
      <c r="AVP50" s="16"/>
      <c r="AVQ50" s="16"/>
      <c r="AVR50" s="16"/>
      <c r="AVS50" s="16"/>
      <c r="AVT50" s="16"/>
      <c r="AVU50" s="16"/>
      <c r="AVV50" s="16"/>
      <c r="AVW50" s="16"/>
      <c r="AVX50" s="16"/>
      <c r="AVY50" s="16"/>
      <c r="AVZ50" s="16"/>
      <c r="AWA50" s="16"/>
      <c r="AWB50" s="16"/>
      <c r="AWC50" s="16"/>
      <c r="AWD50" s="16"/>
      <c r="AWE50" s="16"/>
      <c r="AWF50" s="16"/>
      <c r="AWG50" s="16"/>
      <c r="AWH50" s="16"/>
      <c r="AWI50" s="16"/>
      <c r="AWJ50" s="16"/>
      <c r="AWK50" s="16"/>
      <c r="AWL50" s="16"/>
      <c r="AWM50" s="16"/>
      <c r="AWN50" s="16"/>
      <c r="AWO50" s="16"/>
      <c r="AWP50" s="16"/>
      <c r="AWQ50" s="16"/>
      <c r="AWR50" s="16"/>
      <c r="AWS50" s="16"/>
      <c r="AWT50" s="16"/>
      <c r="AWU50" s="16"/>
      <c r="AWV50" s="16"/>
      <c r="AWW50" s="16"/>
      <c r="AWX50" s="16"/>
      <c r="AWY50" s="16"/>
      <c r="AWZ50" s="16"/>
      <c r="AXA50" s="16"/>
      <c r="AXB50" s="16"/>
      <c r="AXC50" s="16"/>
      <c r="AXD50" s="16"/>
      <c r="AXE50" s="16"/>
      <c r="AXF50" s="16"/>
      <c r="AXG50" s="16"/>
      <c r="AXH50" s="16"/>
      <c r="AXI50" s="16"/>
      <c r="AXJ50" s="16"/>
      <c r="AXK50" s="16"/>
      <c r="AXL50" s="16"/>
      <c r="AXM50" s="16"/>
      <c r="AXN50" s="16"/>
      <c r="AXO50" s="16"/>
      <c r="AXP50" s="16"/>
      <c r="AXQ50" s="16"/>
      <c r="AXR50" s="16"/>
      <c r="AXS50" s="16"/>
      <c r="AXT50" s="16"/>
      <c r="AXU50" s="16"/>
      <c r="AXV50" s="16"/>
      <c r="AXW50" s="16"/>
      <c r="AXX50" s="16"/>
      <c r="AXY50" s="16"/>
      <c r="AXZ50" s="16"/>
      <c r="AYA50" s="16"/>
      <c r="AYB50" s="16"/>
      <c r="AYC50" s="16"/>
      <c r="AYD50" s="16"/>
      <c r="AYE50" s="16"/>
      <c r="AYF50" s="16"/>
      <c r="AYG50" s="16"/>
      <c r="AYH50" s="16"/>
      <c r="AYI50" s="16"/>
      <c r="AYJ50" s="16"/>
      <c r="AYK50" s="16"/>
      <c r="AYL50" s="16"/>
      <c r="AYM50" s="16"/>
      <c r="AYN50" s="16"/>
      <c r="AYO50" s="16"/>
      <c r="AYP50" s="16"/>
      <c r="AYQ50" s="16"/>
      <c r="AYR50" s="16"/>
      <c r="AYS50" s="16"/>
      <c r="AYT50" s="16"/>
      <c r="AYU50" s="16"/>
      <c r="AYV50" s="16"/>
      <c r="AYW50" s="16"/>
      <c r="AYX50" s="16"/>
      <c r="AYY50" s="16"/>
      <c r="AYZ50" s="16"/>
      <c r="AZA50" s="16"/>
      <c r="AZB50" s="16"/>
      <c r="AZC50" s="16"/>
      <c r="AZD50" s="16"/>
      <c r="AZE50" s="16"/>
      <c r="AZF50" s="16"/>
      <c r="AZG50" s="16"/>
      <c r="AZH50" s="16"/>
      <c r="AZI50" s="16"/>
      <c r="AZJ50" s="16"/>
      <c r="AZK50" s="16"/>
      <c r="AZL50" s="16"/>
      <c r="AZM50" s="16"/>
      <c r="AZN50" s="16"/>
      <c r="AZO50" s="16"/>
      <c r="AZP50" s="16"/>
      <c r="AZQ50" s="16"/>
      <c r="AZR50" s="16"/>
      <c r="AZS50" s="16"/>
      <c r="AZT50" s="16"/>
      <c r="AZU50" s="16"/>
      <c r="AZV50" s="16"/>
      <c r="AZW50" s="16"/>
      <c r="AZX50" s="16"/>
      <c r="AZY50" s="16"/>
      <c r="AZZ50" s="16"/>
      <c r="BAA50" s="16"/>
      <c r="BAB50" s="16"/>
      <c r="BAC50" s="16"/>
      <c r="BAD50" s="16"/>
      <c r="BAE50" s="16"/>
      <c r="BAF50" s="16"/>
      <c r="BAG50" s="16"/>
      <c r="BAH50" s="16"/>
      <c r="BAI50" s="16"/>
      <c r="BAJ50" s="16"/>
      <c r="BAK50" s="16"/>
      <c r="BAL50" s="16"/>
      <c r="BAM50" s="16"/>
      <c r="BAN50" s="16"/>
      <c r="BAO50" s="16"/>
      <c r="BAP50" s="16"/>
      <c r="BAQ50" s="16"/>
      <c r="BAR50" s="16"/>
      <c r="BAS50" s="16"/>
      <c r="BAT50" s="16"/>
      <c r="BAU50" s="16"/>
      <c r="BAV50" s="16"/>
      <c r="BAW50" s="16"/>
      <c r="BAX50" s="16"/>
      <c r="BAY50" s="16"/>
      <c r="BAZ50" s="16"/>
      <c r="BBA50" s="16"/>
      <c r="BBB50" s="16"/>
      <c r="BBC50" s="16"/>
      <c r="BBD50" s="16"/>
      <c r="BBE50" s="16"/>
      <c r="BBF50" s="16"/>
      <c r="BBG50" s="16"/>
      <c r="BBH50" s="16"/>
      <c r="BBI50" s="16"/>
      <c r="BBJ50" s="16"/>
      <c r="BBK50" s="16"/>
      <c r="BBL50" s="16"/>
      <c r="BBM50" s="16"/>
      <c r="BBN50" s="16"/>
      <c r="BBO50" s="16"/>
      <c r="BBP50" s="16"/>
      <c r="BBQ50" s="16"/>
      <c r="BBR50" s="16"/>
      <c r="BBS50" s="16"/>
      <c r="BBT50" s="16"/>
      <c r="BBU50" s="16"/>
      <c r="BBV50" s="16"/>
      <c r="BBW50" s="16"/>
      <c r="BBX50" s="16"/>
      <c r="BBY50" s="16"/>
      <c r="BBZ50" s="16"/>
      <c r="BCA50" s="16"/>
      <c r="BCB50" s="16"/>
      <c r="BCC50" s="16"/>
      <c r="BCD50" s="16"/>
      <c r="BCE50" s="16"/>
      <c r="BCF50" s="16"/>
      <c r="BCG50" s="16"/>
      <c r="BCH50" s="16"/>
      <c r="BCI50" s="16"/>
      <c r="BCJ50" s="16"/>
      <c r="BCK50" s="16"/>
      <c r="BCL50" s="16"/>
      <c r="BCM50" s="16"/>
      <c r="BCN50" s="16"/>
      <c r="BCO50" s="16"/>
      <c r="BCP50" s="16"/>
      <c r="BCQ50" s="16"/>
      <c r="BCR50" s="16"/>
      <c r="BCS50" s="16"/>
      <c r="BCT50" s="16"/>
      <c r="BCU50" s="16"/>
      <c r="BCV50" s="16"/>
      <c r="BCW50" s="16"/>
      <c r="BCX50" s="16"/>
      <c r="BCY50" s="16"/>
      <c r="BCZ50" s="16"/>
      <c r="BDA50" s="16"/>
      <c r="BDB50" s="16"/>
      <c r="BDC50" s="16"/>
      <c r="BDD50" s="16"/>
      <c r="BDE50" s="16"/>
      <c r="BDF50" s="16"/>
      <c r="BDG50" s="16"/>
      <c r="BDH50" s="16"/>
      <c r="BDI50" s="16"/>
      <c r="BDJ50" s="16"/>
      <c r="BDK50" s="16"/>
      <c r="BDL50" s="16"/>
      <c r="BDM50" s="16"/>
      <c r="BDN50" s="16"/>
      <c r="BDO50" s="16"/>
      <c r="BDP50" s="16"/>
      <c r="BDQ50" s="16"/>
      <c r="BDR50" s="16"/>
      <c r="BDS50" s="16"/>
      <c r="BDT50" s="16"/>
      <c r="BDU50" s="16"/>
      <c r="BDV50" s="16"/>
      <c r="BDW50" s="16"/>
      <c r="BDX50" s="16"/>
      <c r="BDY50" s="16"/>
      <c r="BDZ50" s="16"/>
      <c r="BEA50" s="16"/>
      <c r="BEB50" s="16"/>
      <c r="BEC50" s="16"/>
      <c r="BED50" s="16"/>
      <c r="BEE50" s="16"/>
      <c r="BEF50" s="16"/>
      <c r="BEG50" s="16"/>
      <c r="BEH50" s="16"/>
      <c r="BEI50" s="16"/>
      <c r="BEJ50" s="16"/>
      <c r="BEK50" s="16"/>
      <c r="BEL50" s="16"/>
      <c r="BEM50" s="16"/>
      <c r="BEN50" s="16"/>
      <c r="BEO50" s="16"/>
      <c r="BEP50" s="16"/>
      <c r="BEQ50" s="16"/>
      <c r="BER50" s="16"/>
      <c r="BES50" s="16"/>
      <c r="BET50" s="16"/>
      <c r="BEU50" s="16"/>
      <c r="BEV50" s="16"/>
      <c r="BEW50" s="16"/>
      <c r="BEX50" s="16"/>
      <c r="BEY50" s="16"/>
      <c r="BEZ50" s="16"/>
      <c r="BFA50" s="16"/>
      <c r="BFB50" s="16"/>
      <c r="BFC50" s="16"/>
      <c r="BFD50" s="16"/>
      <c r="BFE50" s="16"/>
      <c r="BFF50" s="16"/>
      <c r="BFG50" s="16"/>
      <c r="BFH50" s="16"/>
      <c r="BFI50" s="16"/>
      <c r="BFJ50" s="16"/>
      <c r="BFK50" s="16"/>
      <c r="BFL50" s="16"/>
      <c r="BFM50" s="16"/>
      <c r="BFN50" s="16"/>
      <c r="BFO50" s="16"/>
      <c r="BFP50" s="16"/>
      <c r="BFQ50" s="16"/>
      <c r="BFR50" s="16"/>
      <c r="BFS50" s="16"/>
      <c r="BFT50" s="16"/>
      <c r="BFU50" s="16"/>
      <c r="BFV50" s="16"/>
      <c r="BFW50" s="16"/>
      <c r="BFX50" s="16"/>
      <c r="BFY50" s="16"/>
      <c r="BFZ50" s="16"/>
      <c r="BGA50" s="16"/>
      <c r="BGB50" s="16"/>
      <c r="BGC50" s="16"/>
      <c r="BGD50" s="16"/>
      <c r="BGE50" s="16"/>
      <c r="BGF50" s="16"/>
      <c r="BGG50" s="16"/>
      <c r="BGH50" s="16"/>
      <c r="BGI50" s="16"/>
      <c r="BGJ50" s="16"/>
      <c r="BGK50" s="16"/>
      <c r="BGL50" s="16"/>
      <c r="BGM50" s="16"/>
      <c r="BGN50" s="16"/>
      <c r="BGO50" s="16"/>
      <c r="BGP50" s="16"/>
      <c r="BGQ50" s="16"/>
      <c r="BGR50" s="16"/>
      <c r="BGS50" s="16"/>
      <c r="BGT50" s="16"/>
      <c r="BGU50" s="16"/>
      <c r="BGV50" s="16"/>
      <c r="BGW50" s="16"/>
      <c r="BGX50" s="16"/>
      <c r="BGY50" s="16"/>
      <c r="BGZ50" s="16"/>
      <c r="BHA50" s="16"/>
      <c r="BHB50" s="16"/>
      <c r="BHC50" s="16"/>
      <c r="BHD50" s="16"/>
      <c r="BHE50" s="16"/>
      <c r="BHF50" s="16"/>
      <c r="BHG50" s="16"/>
      <c r="BHH50" s="16"/>
      <c r="BHI50" s="16"/>
      <c r="BHJ50" s="16"/>
      <c r="BHK50" s="16"/>
      <c r="BHL50" s="16"/>
      <c r="BHM50" s="16"/>
      <c r="BHN50" s="16"/>
      <c r="BHO50" s="16"/>
      <c r="BHP50" s="16"/>
      <c r="BHQ50" s="16"/>
      <c r="BHR50" s="16"/>
      <c r="BHS50" s="16"/>
      <c r="BHT50" s="16"/>
      <c r="BHU50" s="16"/>
      <c r="BHV50" s="16"/>
      <c r="BHW50" s="16"/>
      <c r="BHX50" s="16"/>
      <c r="BHY50" s="16"/>
      <c r="BHZ50" s="16"/>
      <c r="BIA50" s="16"/>
      <c r="BIB50" s="16"/>
      <c r="BIC50" s="16"/>
      <c r="BID50" s="16"/>
      <c r="BIE50" s="16"/>
      <c r="BIF50" s="16"/>
      <c r="BIG50" s="16"/>
      <c r="BIH50" s="16"/>
      <c r="BII50" s="16"/>
      <c r="BIJ50" s="16"/>
      <c r="BIK50" s="16"/>
      <c r="BIL50" s="16"/>
      <c r="BIM50" s="16"/>
      <c r="BIN50" s="16"/>
      <c r="BIO50" s="16"/>
      <c r="BIP50" s="16"/>
      <c r="BIQ50" s="16"/>
      <c r="BIR50" s="16"/>
      <c r="BIS50" s="16"/>
      <c r="BIT50" s="16"/>
      <c r="BIU50" s="16"/>
      <c r="BIV50" s="16"/>
      <c r="BIW50" s="16"/>
      <c r="BIX50" s="16"/>
      <c r="BIY50" s="16"/>
      <c r="BIZ50" s="16"/>
      <c r="BJA50" s="16"/>
      <c r="BJB50" s="16"/>
      <c r="BJC50" s="16"/>
      <c r="BJD50" s="16"/>
      <c r="BJE50" s="16"/>
      <c r="BJF50" s="16"/>
      <c r="BJG50" s="16"/>
      <c r="BJH50" s="16"/>
      <c r="BJI50" s="16"/>
      <c r="BJJ50" s="16"/>
      <c r="BJK50" s="16"/>
      <c r="BJL50" s="16"/>
      <c r="BJM50" s="16"/>
      <c r="BJN50" s="16"/>
      <c r="BJO50" s="16"/>
      <c r="BJP50" s="16"/>
      <c r="BJQ50" s="16"/>
      <c r="BJR50" s="16"/>
      <c r="BJS50" s="16"/>
      <c r="BJT50" s="16"/>
      <c r="BJU50" s="16"/>
      <c r="BJV50" s="16"/>
      <c r="BJW50" s="16"/>
      <c r="BJX50" s="16"/>
      <c r="BJY50" s="16"/>
      <c r="BJZ50" s="16"/>
      <c r="BKA50" s="16"/>
      <c r="BKB50" s="16"/>
      <c r="BKC50" s="16"/>
      <c r="BKD50" s="16"/>
      <c r="BKE50" s="16"/>
      <c r="BKF50" s="16"/>
      <c r="BKG50" s="16"/>
      <c r="BKH50" s="16"/>
      <c r="BKI50" s="16"/>
      <c r="BKJ50" s="16"/>
      <c r="BKK50" s="16"/>
      <c r="BKL50" s="16"/>
      <c r="BKM50" s="16"/>
      <c r="BKN50" s="16"/>
      <c r="BKO50" s="16"/>
      <c r="BKP50" s="16"/>
      <c r="BKQ50" s="16"/>
      <c r="BKR50" s="16"/>
      <c r="BKS50" s="16"/>
      <c r="BKT50" s="16"/>
      <c r="BKU50" s="16"/>
      <c r="BKV50" s="16"/>
      <c r="BKW50" s="16"/>
      <c r="BKX50" s="16"/>
      <c r="BKY50" s="16"/>
      <c r="BKZ50" s="16"/>
      <c r="BLA50" s="16"/>
      <c r="BLB50" s="16"/>
      <c r="BLC50" s="16"/>
      <c r="BLD50" s="16"/>
      <c r="BLE50" s="16"/>
      <c r="BLF50" s="16"/>
      <c r="BLG50" s="16"/>
      <c r="BLH50" s="16"/>
      <c r="BLI50" s="16"/>
      <c r="BLJ50" s="16"/>
      <c r="BLK50" s="16"/>
      <c r="BLL50" s="16"/>
      <c r="BLM50" s="16"/>
      <c r="BLN50" s="16"/>
      <c r="BLO50" s="16"/>
      <c r="BLP50" s="16"/>
      <c r="BLQ50" s="16"/>
      <c r="BLR50" s="16"/>
      <c r="BLS50" s="16"/>
      <c r="BLT50" s="16"/>
      <c r="BLU50" s="16"/>
      <c r="BLV50" s="16"/>
      <c r="BLW50" s="16"/>
      <c r="BLX50" s="16"/>
      <c r="BLY50" s="16"/>
      <c r="BLZ50" s="16"/>
      <c r="BMA50" s="16"/>
      <c r="BMB50" s="16"/>
      <c r="BMC50" s="16"/>
      <c r="BMD50" s="16"/>
      <c r="BME50" s="16"/>
      <c r="BMF50" s="16"/>
      <c r="BMG50" s="16"/>
      <c r="BMH50" s="16"/>
      <c r="BMI50" s="16"/>
      <c r="BMJ50" s="16"/>
      <c r="BMK50" s="16"/>
      <c r="BML50" s="16"/>
      <c r="BMM50" s="16"/>
      <c r="BMN50" s="16"/>
      <c r="BMO50" s="16"/>
      <c r="BMP50" s="16"/>
      <c r="BMQ50" s="16"/>
      <c r="BMR50" s="16"/>
      <c r="BMS50" s="16"/>
      <c r="BMT50" s="16"/>
      <c r="BMU50" s="16"/>
      <c r="BMV50" s="16"/>
      <c r="BMW50" s="16"/>
      <c r="BMX50" s="16"/>
      <c r="BMY50" s="16"/>
      <c r="BMZ50" s="16"/>
      <c r="BNA50" s="16"/>
      <c r="BNB50" s="16"/>
      <c r="BNC50" s="16"/>
      <c r="BND50" s="16"/>
      <c r="BNE50" s="16"/>
      <c r="BNF50" s="16"/>
      <c r="BNG50" s="16"/>
      <c r="BNH50" s="16"/>
      <c r="BNI50" s="16"/>
      <c r="BNJ50" s="16"/>
      <c r="BNK50" s="16"/>
      <c r="BNL50" s="16"/>
      <c r="BNM50" s="16"/>
      <c r="BNN50" s="16"/>
      <c r="BNO50" s="16"/>
      <c r="BNP50" s="16"/>
      <c r="BNQ50" s="16"/>
      <c r="BNR50" s="16"/>
      <c r="BNS50" s="16"/>
      <c r="BNT50" s="16"/>
      <c r="BNU50" s="16"/>
      <c r="BNV50" s="16"/>
      <c r="BNW50" s="16"/>
      <c r="BNX50" s="16"/>
      <c r="BNY50" s="16"/>
      <c r="BNZ50" s="16"/>
      <c r="BOA50" s="16"/>
      <c r="BOB50" s="16"/>
      <c r="BOC50" s="16"/>
      <c r="BOD50" s="16"/>
      <c r="BOE50" s="16"/>
      <c r="BOF50" s="16"/>
      <c r="BOG50" s="16"/>
      <c r="BOH50" s="16"/>
      <c r="BOI50" s="16"/>
      <c r="BOJ50" s="16"/>
      <c r="BOK50" s="16"/>
      <c r="BOL50" s="16"/>
      <c r="BOM50" s="16"/>
      <c r="BON50" s="16"/>
      <c r="BOO50" s="16"/>
      <c r="BOP50" s="16"/>
      <c r="BOQ50" s="16"/>
      <c r="BOR50" s="16"/>
      <c r="BOS50" s="16"/>
      <c r="BOT50" s="16"/>
      <c r="BOU50" s="16"/>
      <c r="BOV50" s="16"/>
      <c r="BOW50" s="16"/>
      <c r="BOX50" s="16"/>
      <c r="BOY50" s="16"/>
      <c r="BOZ50" s="16"/>
      <c r="BPA50" s="16"/>
      <c r="BPB50" s="16"/>
      <c r="BPC50" s="16"/>
      <c r="BPD50" s="16"/>
      <c r="BPE50" s="16"/>
      <c r="BPF50" s="16"/>
      <c r="BPG50" s="16"/>
      <c r="BPH50" s="16"/>
      <c r="BPI50" s="16"/>
      <c r="BPJ50" s="16"/>
      <c r="BPK50" s="16"/>
      <c r="BPL50" s="16"/>
      <c r="BPM50" s="16"/>
      <c r="BPN50" s="16"/>
      <c r="BPO50" s="16"/>
      <c r="BPP50" s="16"/>
      <c r="BPQ50" s="16"/>
      <c r="BPR50" s="16"/>
      <c r="BPS50" s="16"/>
      <c r="BPT50" s="16"/>
      <c r="BPU50" s="16"/>
      <c r="BPV50" s="16"/>
      <c r="BPW50" s="16"/>
      <c r="BPX50" s="16"/>
      <c r="BPY50" s="16"/>
      <c r="BPZ50" s="16"/>
      <c r="BQA50" s="16"/>
      <c r="BQB50" s="16"/>
      <c r="BQC50" s="16"/>
      <c r="BQD50" s="16"/>
      <c r="BQE50" s="16"/>
      <c r="BQF50" s="16"/>
      <c r="BQG50" s="16"/>
      <c r="BQH50" s="16"/>
      <c r="BQI50" s="16"/>
      <c r="BQJ50" s="16"/>
      <c r="BQK50" s="16"/>
      <c r="BQL50" s="16"/>
      <c r="BQM50" s="16"/>
      <c r="BQN50" s="16"/>
      <c r="BQO50" s="16"/>
      <c r="BQP50" s="16"/>
      <c r="BQQ50" s="16"/>
      <c r="BQR50" s="16"/>
      <c r="BQS50" s="16"/>
      <c r="BQT50" s="16"/>
      <c r="BQU50" s="16"/>
      <c r="BQV50" s="16"/>
      <c r="BQW50" s="16"/>
      <c r="BQX50" s="16"/>
      <c r="BQY50" s="16"/>
      <c r="BQZ50" s="16"/>
      <c r="BRA50" s="16"/>
      <c r="BRB50" s="16"/>
      <c r="BRC50" s="16"/>
      <c r="BRD50" s="16"/>
      <c r="BRE50" s="16"/>
      <c r="BRF50" s="16"/>
      <c r="BRG50" s="16"/>
      <c r="BRH50" s="16"/>
      <c r="BRI50" s="16"/>
      <c r="BRJ50" s="16"/>
      <c r="BRK50" s="16"/>
      <c r="BRL50" s="16"/>
      <c r="BRM50" s="16"/>
      <c r="BRN50" s="16"/>
      <c r="BRO50" s="16"/>
      <c r="BRP50" s="16"/>
      <c r="BRQ50" s="16"/>
      <c r="BRR50" s="16"/>
      <c r="BRS50" s="16"/>
      <c r="BRT50" s="16"/>
      <c r="BRU50" s="16"/>
      <c r="BRV50" s="16"/>
      <c r="BRW50" s="16"/>
      <c r="BRX50" s="16"/>
      <c r="BRY50" s="16"/>
      <c r="BRZ50" s="16"/>
      <c r="BSA50" s="16"/>
      <c r="BSB50" s="16"/>
      <c r="BSC50" s="16"/>
      <c r="BSD50" s="16"/>
      <c r="BSE50" s="16"/>
      <c r="BSF50" s="16"/>
      <c r="BSG50" s="16"/>
      <c r="BSH50" s="16"/>
      <c r="BSI50" s="16"/>
      <c r="BSJ50" s="16"/>
      <c r="BSK50" s="16"/>
      <c r="BSL50" s="16"/>
      <c r="BSM50" s="16"/>
      <c r="BSN50" s="16"/>
      <c r="BSO50" s="16"/>
      <c r="BSP50" s="16"/>
      <c r="BSQ50" s="16"/>
      <c r="BSR50" s="16"/>
      <c r="BSS50" s="16"/>
      <c r="BST50" s="16"/>
      <c r="BSU50" s="16"/>
      <c r="BSV50" s="16"/>
      <c r="BSW50" s="16"/>
      <c r="BSX50" s="16"/>
      <c r="BSY50" s="16"/>
      <c r="BSZ50" s="16"/>
      <c r="BTA50" s="16"/>
      <c r="BTB50" s="16"/>
      <c r="BTC50" s="16"/>
      <c r="BTD50" s="16"/>
      <c r="BTE50" s="16"/>
      <c r="BTF50" s="16"/>
      <c r="BTG50" s="16"/>
      <c r="BTH50" s="16"/>
      <c r="BTI50" s="16"/>
      <c r="BTJ50" s="16"/>
      <c r="BTK50" s="16"/>
      <c r="BTL50" s="16"/>
      <c r="BTM50" s="16"/>
      <c r="BTN50" s="16"/>
      <c r="BTO50" s="16"/>
      <c r="BTP50" s="16"/>
      <c r="BTQ50" s="16"/>
      <c r="BTR50" s="16"/>
      <c r="BTS50" s="16"/>
      <c r="BTT50" s="16"/>
      <c r="BTU50" s="16"/>
      <c r="BTV50" s="16"/>
      <c r="BTW50" s="16"/>
      <c r="BTX50" s="16"/>
      <c r="BTY50" s="16"/>
      <c r="BTZ50" s="16"/>
      <c r="BUA50" s="16"/>
      <c r="BUB50" s="16"/>
      <c r="BUC50" s="16"/>
      <c r="BUD50" s="16"/>
      <c r="BUE50" s="16"/>
      <c r="BUF50" s="16"/>
      <c r="BUG50" s="16"/>
      <c r="BUH50" s="16"/>
      <c r="BUI50" s="16"/>
      <c r="BUJ50" s="16"/>
      <c r="BUK50" s="16"/>
      <c r="BUL50" s="16"/>
      <c r="BUM50" s="16"/>
      <c r="BUN50" s="16"/>
      <c r="BUO50" s="16"/>
      <c r="BUP50" s="16"/>
      <c r="BUQ50" s="16"/>
      <c r="BUR50" s="16"/>
      <c r="BUS50" s="16"/>
      <c r="BUT50" s="16"/>
      <c r="BUU50" s="16"/>
      <c r="BUV50" s="16"/>
      <c r="BUW50" s="16"/>
      <c r="BUX50" s="16"/>
      <c r="BUY50" s="16"/>
      <c r="BUZ50" s="16"/>
      <c r="BVA50" s="16"/>
      <c r="BVB50" s="16"/>
      <c r="BVC50" s="16"/>
      <c r="BVD50" s="16"/>
      <c r="BVE50" s="16"/>
      <c r="BVF50" s="16"/>
      <c r="BVG50" s="16"/>
      <c r="BVH50" s="16"/>
      <c r="BVI50" s="16"/>
      <c r="BVJ50" s="16"/>
      <c r="BVK50" s="16"/>
      <c r="BVL50" s="16"/>
      <c r="BVM50" s="16"/>
      <c r="BVN50" s="16"/>
      <c r="BVO50" s="16"/>
      <c r="BVP50" s="16"/>
      <c r="BVQ50" s="16"/>
      <c r="BVR50" s="16"/>
      <c r="BVS50" s="16"/>
      <c r="BVT50" s="16"/>
      <c r="BVU50" s="16"/>
      <c r="BVV50" s="16"/>
      <c r="BVW50" s="16"/>
      <c r="BVX50" s="16"/>
      <c r="BVY50" s="16"/>
      <c r="BVZ50" s="16"/>
      <c r="BWA50" s="16"/>
      <c r="BWB50" s="16"/>
      <c r="BWC50" s="16"/>
      <c r="BWD50" s="16"/>
      <c r="BWE50" s="16"/>
      <c r="BWF50" s="16"/>
      <c r="BWG50" s="16"/>
      <c r="BWH50" s="16"/>
      <c r="BWI50" s="16"/>
      <c r="BWJ50" s="16"/>
      <c r="BWK50" s="16"/>
      <c r="BWL50" s="16"/>
      <c r="BWM50" s="16"/>
      <c r="BWN50" s="16"/>
      <c r="BWO50" s="16"/>
      <c r="BWP50" s="16"/>
      <c r="BWQ50" s="16"/>
      <c r="BWR50" s="16"/>
      <c r="BWS50" s="16"/>
      <c r="BWT50" s="16"/>
      <c r="BWU50" s="16"/>
      <c r="BWV50" s="16"/>
      <c r="BWW50" s="16"/>
      <c r="BWX50" s="16"/>
      <c r="BWY50" s="16"/>
      <c r="BWZ50" s="16"/>
      <c r="BXA50" s="16"/>
      <c r="BXB50" s="16"/>
      <c r="BXC50" s="16"/>
      <c r="BXD50" s="16"/>
      <c r="BXE50" s="16"/>
      <c r="BXF50" s="16"/>
      <c r="BXG50" s="16"/>
      <c r="BXH50" s="16"/>
      <c r="BXI50" s="16"/>
      <c r="BXJ50" s="16"/>
      <c r="BXK50" s="16"/>
      <c r="BXL50" s="16"/>
      <c r="BXM50" s="16"/>
      <c r="BXN50" s="16"/>
      <c r="BXO50" s="16"/>
      <c r="BXP50" s="16"/>
      <c r="BXQ50" s="16"/>
      <c r="BXR50" s="16"/>
      <c r="BXS50" s="16"/>
      <c r="BXT50" s="16"/>
      <c r="BXU50" s="16"/>
      <c r="BXV50" s="16"/>
      <c r="BXW50" s="16"/>
      <c r="BXX50" s="16"/>
      <c r="BXY50" s="16"/>
      <c r="BXZ50" s="16"/>
      <c r="BYA50" s="16"/>
      <c r="BYB50" s="16"/>
      <c r="BYC50" s="16"/>
      <c r="BYD50" s="16"/>
      <c r="BYE50" s="16"/>
      <c r="BYF50" s="16"/>
      <c r="BYG50" s="16"/>
      <c r="BYH50" s="16"/>
      <c r="BYI50" s="16"/>
      <c r="BYJ50" s="16"/>
      <c r="BYK50" s="16"/>
      <c r="BYL50" s="16"/>
      <c r="BYM50" s="16"/>
      <c r="BYN50" s="16"/>
      <c r="BYO50" s="16"/>
      <c r="BYP50" s="16"/>
      <c r="BYQ50" s="16"/>
      <c r="BYR50" s="16"/>
      <c r="BYS50" s="16"/>
      <c r="BYT50" s="16"/>
      <c r="BYU50" s="16"/>
      <c r="BYV50" s="16"/>
      <c r="BYW50" s="16"/>
      <c r="BYX50" s="16"/>
      <c r="BYY50" s="16"/>
      <c r="BYZ50" s="16"/>
      <c r="BZA50" s="16"/>
      <c r="BZB50" s="16"/>
      <c r="BZC50" s="16"/>
      <c r="BZD50" s="16"/>
      <c r="BZE50" s="16"/>
      <c r="BZF50" s="16"/>
      <c r="BZG50" s="16"/>
      <c r="BZH50" s="16"/>
      <c r="BZI50" s="16"/>
      <c r="BZJ50" s="16"/>
      <c r="BZK50" s="16"/>
      <c r="BZL50" s="16"/>
      <c r="BZM50" s="16"/>
      <c r="BZN50" s="16"/>
      <c r="BZO50" s="16"/>
      <c r="BZP50" s="16"/>
      <c r="BZQ50" s="16"/>
      <c r="BZR50" s="16"/>
      <c r="BZS50" s="16"/>
      <c r="BZT50" s="16"/>
      <c r="BZU50" s="16"/>
      <c r="BZV50" s="16"/>
      <c r="BZW50" s="16"/>
      <c r="BZX50" s="16"/>
      <c r="BZY50" s="16"/>
      <c r="BZZ50" s="16"/>
      <c r="CAA50" s="16"/>
      <c r="CAB50" s="16"/>
      <c r="CAC50" s="16"/>
      <c r="CAD50" s="16"/>
      <c r="CAE50" s="16"/>
      <c r="CAF50" s="16"/>
      <c r="CAG50" s="16"/>
      <c r="CAH50" s="16"/>
      <c r="CAI50" s="16"/>
      <c r="CAJ50" s="16"/>
      <c r="CAK50" s="16"/>
      <c r="CAL50" s="16"/>
      <c r="CAM50" s="16"/>
      <c r="CAN50" s="16"/>
      <c r="CAO50" s="16"/>
      <c r="CAP50" s="16"/>
      <c r="CAQ50" s="16"/>
      <c r="CAR50" s="16"/>
      <c r="CAS50" s="16"/>
      <c r="CAT50" s="16"/>
      <c r="CAU50" s="16"/>
      <c r="CAV50" s="16"/>
      <c r="CAW50" s="16"/>
      <c r="CAX50" s="16"/>
      <c r="CAY50" s="16"/>
      <c r="CAZ50" s="16"/>
      <c r="CBA50" s="16"/>
      <c r="CBB50" s="16"/>
      <c r="CBC50" s="16"/>
      <c r="CBD50" s="16"/>
      <c r="CBE50" s="16"/>
      <c r="CBF50" s="16"/>
      <c r="CBG50" s="16"/>
      <c r="CBH50" s="16"/>
      <c r="CBI50" s="16"/>
      <c r="CBJ50" s="16"/>
      <c r="CBK50" s="16"/>
      <c r="CBL50" s="16"/>
      <c r="CBM50" s="16"/>
      <c r="CBN50" s="16"/>
      <c r="CBO50" s="16"/>
      <c r="CBP50" s="16"/>
      <c r="CBQ50" s="16"/>
      <c r="CBR50" s="16"/>
      <c r="CBS50" s="16"/>
      <c r="CBT50" s="16"/>
      <c r="CBU50" s="16"/>
      <c r="CBV50" s="16"/>
      <c r="CBW50" s="16"/>
      <c r="CBX50" s="16"/>
      <c r="CBY50" s="16"/>
      <c r="CBZ50" s="16"/>
      <c r="CCA50" s="16"/>
      <c r="CCB50" s="16"/>
      <c r="CCC50" s="16"/>
      <c r="CCD50" s="16"/>
      <c r="CCE50" s="16"/>
      <c r="CCF50" s="16"/>
      <c r="CCG50" s="16"/>
      <c r="CCH50" s="16"/>
      <c r="CCI50" s="16"/>
      <c r="CCJ50" s="16"/>
      <c r="CCK50" s="16"/>
      <c r="CCL50" s="16"/>
      <c r="CCM50" s="16"/>
      <c r="CCN50" s="16"/>
      <c r="CCO50" s="16"/>
      <c r="CCP50" s="16"/>
      <c r="CCQ50" s="16"/>
      <c r="CCR50" s="16"/>
      <c r="CCS50" s="16"/>
      <c r="CCT50" s="16"/>
      <c r="CCU50" s="16"/>
      <c r="CCV50" s="16"/>
      <c r="CCW50" s="16"/>
      <c r="CCX50" s="16"/>
      <c r="CCY50" s="16"/>
      <c r="CCZ50" s="16"/>
      <c r="CDA50" s="16"/>
      <c r="CDB50" s="16"/>
      <c r="CDC50" s="16"/>
      <c r="CDD50" s="16"/>
      <c r="CDE50" s="16"/>
      <c r="CDF50" s="16"/>
      <c r="CDG50" s="16"/>
      <c r="CDH50" s="16"/>
      <c r="CDI50" s="16"/>
      <c r="CDJ50" s="16"/>
      <c r="CDK50" s="16"/>
      <c r="CDL50" s="16"/>
      <c r="CDM50" s="16"/>
      <c r="CDN50" s="16"/>
      <c r="CDO50" s="16"/>
      <c r="CDP50" s="16"/>
      <c r="CDQ50" s="16"/>
      <c r="CDR50" s="16"/>
      <c r="CDS50" s="16"/>
      <c r="CDT50" s="16"/>
      <c r="CDU50" s="16"/>
      <c r="CDV50" s="16"/>
      <c r="CDW50" s="16"/>
      <c r="CDX50" s="16"/>
      <c r="CDY50" s="16"/>
      <c r="CDZ50" s="16"/>
      <c r="CEA50" s="16"/>
      <c r="CEB50" s="16"/>
      <c r="CEC50" s="16"/>
      <c r="CED50" s="16"/>
      <c r="CEE50" s="16"/>
      <c r="CEF50" s="16"/>
      <c r="CEG50" s="16"/>
      <c r="CEH50" s="16"/>
      <c r="CEI50" s="16"/>
      <c r="CEJ50" s="16"/>
      <c r="CEK50" s="16"/>
      <c r="CEL50" s="16"/>
      <c r="CEM50" s="16"/>
      <c r="CEN50" s="16"/>
      <c r="CEO50" s="16"/>
      <c r="CEP50" s="16"/>
      <c r="CEQ50" s="16"/>
      <c r="CER50" s="16"/>
      <c r="CES50" s="16"/>
      <c r="CET50" s="16"/>
      <c r="CEU50" s="16"/>
      <c r="CEV50" s="16"/>
      <c r="CEW50" s="16"/>
      <c r="CEX50" s="16"/>
      <c r="CEY50" s="16"/>
      <c r="CEZ50" s="16"/>
      <c r="CFA50" s="16"/>
      <c r="CFB50" s="16"/>
      <c r="CFC50" s="16"/>
      <c r="CFD50" s="16"/>
      <c r="CFE50" s="16"/>
      <c r="CFF50" s="16"/>
      <c r="CFG50" s="16"/>
      <c r="CFH50" s="16"/>
      <c r="CFI50" s="16"/>
      <c r="CFJ50" s="16"/>
      <c r="CFK50" s="16"/>
      <c r="CFL50" s="16"/>
      <c r="CFM50" s="16"/>
      <c r="CFN50" s="16"/>
      <c r="CFO50" s="16"/>
      <c r="CFP50" s="16"/>
      <c r="CFQ50" s="16"/>
      <c r="CFR50" s="16"/>
      <c r="CFS50" s="16"/>
      <c r="CFT50" s="16"/>
      <c r="CFU50" s="16"/>
      <c r="CFV50" s="16"/>
      <c r="CFW50" s="16"/>
      <c r="CFX50" s="16"/>
      <c r="CFY50" s="16"/>
      <c r="CFZ50" s="16"/>
      <c r="CGA50" s="16"/>
      <c r="CGB50" s="16"/>
      <c r="CGC50" s="16"/>
      <c r="CGD50" s="16"/>
      <c r="CGE50" s="16"/>
      <c r="CGF50" s="16"/>
      <c r="CGG50" s="16"/>
      <c r="CGH50" s="16"/>
      <c r="CGI50" s="16"/>
      <c r="CGJ50" s="16"/>
      <c r="CGK50" s="16"/>
      <c r="CGL50" s="16"/>
      <c r="CGM50" s="16"/>
      <c r="CGN50" s="16"/>
      <c r="CGO50" s="16"/>
      <c r="CGP50" s="16"/>
      <c r="CGQ50" s="16"/>
      <c r="CGR50" s="16"/>
      <c r="CGS50" s="16"/>
      <c r="CGT50" s="16"/>
      <c r="CGU50" s="16"/>
      <c r="CGV50" s="16"/>
      <c r="CGW50" s="16"/>
      <c r="CGX50" s="16"/>
      <c r="CGY50" s="16"/>
      <c r="CGZ50" s="16"/>
      <c r="CHA50" s="16"/>
      <c r="CHB50" s="16"/>
      <c r="CHC50" s="16"/>
      <c r="CHD50" s="16"/>
      <c r="CHE50" s="16"/>
      <c r="CHF50" s="16"/>
      <c r="CHG50" s="16"/>
      <c r="CHH50" s="16"/>
      <c r="CHI50" s="16"/>
      <c r="CHJ50" s="16"/>
      <c r="CHK50" s="16"/>
      <c r="CHL50" s="16"/>
      <c r="CHM50" s="16"/>
      <c r="CHN50" s="16"/>
      <c r="CHO50" s="16"/>
      <c r="CHP50" s="16"/>
      <c r="CHQ50" s="16"/>
      <c r="CHR50" s="16"/>
      <c r="CHS50" s="16"/>
      <c r="CHT50" s="16"/>
      <c r="CHU50" s="16"/>
      <c r="CHV50" s="16"/>
      <c r="CHW50" s="16"/>
      <c r="CHX50" s="16"/>
      <c r="CHY50" s="16"/>
      <c r="CHZ50" s="16"/>
      <c r="CIA50" s="16"/>
      <c r="CIB50" s="16"/>
      <c r="CIC50" s="16"/>
      <c r="CID50" s="16"/>
      <c r="CIE50" s="16"/>
      <c r="CIF50" s="16"/>
      <c r="CIG50" s="16"/>
      <c r="CIH50" s="16"/>
      <c r="CII50" s="16"/>
      <c r="CIJ50" s="16"/>
      <c r="CIK50" s="16"/>
      <c r="CIL50" s="16"/>
      <c r="CIM50" s="16"/>
      <c r="CIN50" s="16"/>
      <c r="CIO50" s="16"/>
      <c r="CIP50" s="16"/>
      <c r="CIQ50" s="16"/>
      <c r="CIR50" s="16"/>
      <c r="CIS50" s="16"/>
      <c r="CIT50" s="16"/>
      <c r="CIU50" s="16"/>
      <c r="CIV50" s="16"/>
      <c r="CIW50" s="16"/>
      <c r="CIX50" s="16"/>
      <c r="CIY50" s="16"/>
      <c r="CIZ50" s="16"/>
      <c r="CJA50" s="16"/>
      <c r="CJB50" s="16"/>
      <c r="CJC50" s="16"/>
      <c r="CJD50" s="16"/>
      <c r="CJE50" s="16"/>
      <c r="CJF50" s="16"/>
      <c r="CJG50" s="16"/>
      <c r="CJH50" s="16"/>
      <c r="CJI50" s="16"/>
      <c r="CJJ50" s="16"/>
      <c r="CJK50" s="16"/>
      <c r="CJL50" s="16"/>
      <c r="CJM50" s="16"/>
      <c r="CJN50" s="16"/>
      <c r="CJO50" s="16"/>
      <c r="CJP50" s="16"/>
      <c r="CJQ50" s="16"/>
      <c r="CJR50" s="16"/>
      <c r="CJS50" s="16"/>
      <c r="CJT50" s="16"/>
      <c r="CJU50" s="16"/>
      <c r="CJV50" s="16"/>
      <c r="CJW50" s="16"/>
      <c r="CJX50" s="16"/>
      <c r="CJY50" s="16"/>
      <c r="CJZ50" s="16"/>
      <c r="CKA50" s="16"/>
      <c r="CKB50" s="16"/>
      <c r="CKC50" s="16"/>
      <c r="CKD50" s="16"/>
      <c r="CKE50" s="16"/>
      <c r="CKF50" s="16"/>
      <c r="CKG50" s="16"/>
      <c r="CKH50" s="16"/>
      <c r="CKI50" s="16"/>
      <c r="CKJ50" s="16"/>
      <c r="CKK50" s="16"/>
      <c r="CKL50" s="16"/>
      <c r="CKM50" s="16"/>
      <c r="CKN50" s="16"/>
      <c r="CKO50" s="16"/>
      <c r="CKP50" s="16"/>
      <c r="CKQ50" s="16"/>
      <c r="CKR50" s="16"/>
      <c r="CKS50" s="16"/>
      <c r="CKT50" s="16"/>
      <c r="CKU50" s="16"/>
      <c r="CKV50" s="16"/>
      <c r="CKW50" s="16"/>
      <c r="CKX50" s="16"/>
      <c r="CKY50" s="16"/>
      <c r="CKZ50" s="16"/>
      <c r="CLA50" s="16"/>
      <c r="CLB50" s="16"/>
      <c r="CLC50" s="16"/>
      <c r="CLD50" s="16"/>
      <c r="CLE50" s="16"/>
      <c r="CLF50" s="16"/>
      <c r="CLG50" s="16"/>
      <c r="CLH50" s="16"/>
      <c r="CLI50" s="16"/>
      <c r="CLJ50" s="16"/>
      <c r="CLK50" s="16"/>
      <c r="CLL50" s="16"/>
      <c r="CLM50" s="16"/>
      <c r="CLN50" s="16"/>
      <c r="CLO50" s="16"/>
      <c r="CLP50" s="16"/>
      <c r="CLQ50" s="16"/>
      <c r="CLR50" s="16"/>
      <c r="CLS50" s="16"/>
      <c r="CLT50" s="16"/>
      <c r="CLU50" s="16"/>
      <c r="CLV50" s="16"/>
      <c r="CLW50" s="16"/>
      <c r="CLX50" s="16"/>
      <c r="CLY50" s="16"/>
      <c r="CLZ50" s="16"/>
      <c r="CMA50" s="16"/>
      <c r="CMB50" s="16"/>
      <c r="CMC50" s="16"/>
      <c r="CMD50" s="16"/>
      <c r="CME50" s="16"/>
      <c r="CMF50" s="16"/>
      <c r="CMG50" s="16"/>
      <c r="CMH50" s="16"/>
      <c r="CMI50" s="16"/>
      <c r="CMJ50" s="16"/>
      <c r="CMK50" s="16"/>
      <c r="CML50" s="16"/>
      <c r="CMM50" s="16"/>
      <c r="CMN50" s="16"/>
      <c r="CMO50" s="16"/>
      <c r="CMP50" s="16"/>
      <c r="CMQ50" s="16"/>
      <c r="CMR50" s="16"/>
      <c r="CMS50" s="16"/>
      <c r="CMT50" s="16"/>
      <c r="CMU50" s="16"/>
      <c r="CMV50" s="16"/>
      <c r="CMW50" s="16"/>
      <c r="CMX50" s="16"/>
      <c r="CMY50" s="16"/>
      <c r="CMZ50" s="16"/>
      <c r="CNA50" s="16"/>
      <c r="CNB50" s="16"/>
      <c r="CNC50" s="16"/>
      <c r="CND50" s="16"/>
      <c r="CNE50" s="16"/>
      <c r="CNF50" s="16"/>
      <c r="CNG50" s="16"/>
      <c r="CNH50" s="16"/>
      <c r="CNI50" s="16"/>
      <c r="CNJ50" s="16"/>
      <c r="CNK50" s="16"/>
      <c r="CNL50" s="16"/>
      <c r="CNM50" s="16"/>
      <c r="CNN50" s="16"/>
      <c r="CNO50" s="16"/>
      <c r="CNP50" s="16"/>
      <c r="CNQ50" s="16"/>
      <c r="CNR50" s="16"/>
      <c r="CNS50" s="16"/>
      <c r="CNT50" s="16"/>
      <c r="CNU50" s="16"/>
      <c r="CNV50" s="16"/>
      <c r="CNW50" s="16"/>
      <c r="CNX50" s="16"/>
      <c r="CNY50" s="16"/>
      <c r="CNZ50" s="16"/>
      <c r="COA50" s="16"/>
      <c r="COB50" s="16"/>
      <c r="COC50" s="16"/>
      <c r="COD50" s="16"/>
      <c r="COE50" s="16"/>
      <c r="COF50" s="16"/>
      <c r="COG50" s="16"/>
      <c r="COH50" s="16"/>
      <c r="COI50" s="16"/>
      <c r="COJ50" s="16"/>
      <c r="COK50" s="16"/>
      <c r="COL50" s="16"/>
      <c r="COM50" s="16"/>
      <c r="CON50" s="16"/>
      <c r="COO50" s="16"/>
      <c r="COP50" s="16"/>
      <c r="COQ50" s="16"/>
      <c r="COR50" s="16"/>
      <c r="COS50" s="16"/>
      <c r="COT50" s="16"/>
      <c r="COU50" s="16"/>
      <c r="COV50" s="16"/>
      <c r="COW50" s="16"/>
      <c r="COX50" s="16"/>
      <c r="COY50" s="16"/>
      <c r="COZ50" s="16"/>
      <c r="CPA50" s="16"/>
      <c r="CPB50" s="16"/>
      <c r="CPC50" s="16"/>
      <c r="CPD50" s="16"/>
      <c r="CPE50" s="16"/>
      <c r="CPF50" s="16"/>
      <c r="CPG50" s="16"/>
      <c r="CPH50" s="16"/>
      <c r="CPI50" s="16"/>
      <c r="CPJ50" s="16"/>
      <c r="CPK50" s="16"/>
      <c r="CPL50" s="16"/>
      <c r="CPM50" s="16"/>
      <c r="CPN50" s="16"/>
      <c r="CPO50" s="16"/>
      <c r="CPP50" s="16"/>
      <c r="CPQ50" s="16"/>
      <c r="CPR50" s="16"/>
      <c r="CPS50" s="16"/>
      <c r="CPT50" s="16"/>
      <c r="CPU50" s="16"/>
      <c r="CPV50" s="16"/>
      <c r="CPW50" s="16"/>
      <c r="CPX50" s="16"/>
      <c r="CPY50" s="16"/>
      <c r="CPZ50" s="16"/>
      <c r="CQA50" s="16"/>
      <c r="CQB50" s="16"/>
      <c r="CQC50" s="16"/>
      <c r="CQD50" s="16"/>
      <c r="CQE50" s="16"/>
      <c r="CQF50" s="16"/>
      <c r="CQG50" s="16"/>
      <c r="CQH50" s="16"/>
      <c r="CQI50" s="16"/>
      <c r="CQJ50" s="16"/>
      <c r="CQK50" s="16"/>
      <c r="CQL50" s="16"/>
      <c r="CQM50" s="16"/>
      <c r="CQN50" s="16"/>
      <c r="CQO50" s="16"/>
      <c r="CQP50" s="16"/>
      <c r="CQQ50" s="16"/>
      <c r="CQR50" s="16"/>
      <c r="CQS50" s="16"/>
      <c r="CQT50" s="16"/>
      <c r="CQU50" s="16"/>
      <c r="CQV50" s="16"/>
      <c r="CQW50" s="16"/>
      <c r="CQX50" s="16"/>
      <c r="CQY50" s="16"/>
      <c r="CQZ50" s="16"/>
      <c r="CRA50" s="16"/>
      <c r="CRB50" s="16"/>
      <c r="CRC50" s="16"/>
      <c r="CRD50" s="16"/>
      <c r="CRE50" s="16"/>
      <c r="CRF50" s="16"/>
      <c r="CRG50" s="16"/>
      <c r="CRH50" s="16"/>
      <c r="CRI50" s="16"/>
      <c r="CRJ50" s="16"/>
      <c r="CRK50" s="16"/>
      <c r="CRL50" s="16"/>
      <c r="CRM50" s="16"/>
      <c r="CRN50" s="16"/>
      <c r="CRO50" s="16"/>
      <c r="CRP50" s="16"/>
      <c r="CRQ50" s="16"/>
      <c r="CRR50" s="16"/>
      <c r="CRS50" s="16"/>
      <c r="CRT50" s="16"/>
      <c r="CRU50" s="16"/>
      <c r="CRV50" s="16"/>
      <c r="CRW50" s="16"/>
      <c r="CRX50" s="16"/>
      <c r="CRY50" s="16"/>
      <c r="CRZ50" s="16"/>
      <c r="CSA50" s="16"/>
      <c r="CSB50" s="16"/>
      <c r="CSC50" s="16"/>
      <c r="CSD50" s="16"/>
      <c r="CSE50" s="16"/>
      <c r="CSF50" s="16"/>
      <c r="CSG50" s="16"/>
      <c r="CSH50" s="16"/>
      <c r="CSI50" s="16"/>
      <c r="CSJ50" s="16"/>
      <c r="CSK50" s="16"/>
      <c r="CSL50" s="16"/>
      <c r="CSM50" s="16"/>
      <c r="CSN50" s="16"/>
      <c r="CSO50" s="16"/>
      <c r="CSP50" s="16"/>
      <c r="CSQ50" s="16"/>
      <c r="CSR50" s="16"/>
      <c r="CSS50" s="16"/>
      <c r="CST50" s="16"/>
      <c r="CSU50" s="16"/>
      <c r="CSV50" s="16"/>
      <c r="CSW50" s="16"/>
      <c r="CSX50" s="16"/>
      <c r="CSY50" s="16"/>
      <c r="CSZ50" s="16"/>
      <c r="CTA50" s="16"/>
      <c r="CTB50" s="16"/>
      <c r="CTC50" s="16"/>
      <c r="CTD50" s="16"/>
      <c r="CTE50" s="16"/>
      <c r="CTF50" s="16"/>
      <c r="CTG50" s="16"/>
      <c r="CTH50" s="16"/>
      <c r="CTI50" s="16"/>
      <c r="CTJ50" s="16"/>
      <c r="CTK50" s="16"/>
      <c r="CTL50" s="16"/>
      <c r="CTM50" s="16"/>
      <c r="CTN50" s="16"/>
      <c r="CTO50" s="16"/>
      <c r="CTP50" s="16"/>
      <c r="CTQ50" s="16"/>
      <c r="CTR50" s="16"/>
      <c r="CTS50" s="16"/>
      <c r="CTT50" s="16"/>
      <c r="CTU50" s="16"/>
      <c r="CTV50" s="16"/>
      <c r="CTW50" s="16"/>
      <c r="CTX50" s="16"/>
      <c r="CTY50" s="16"/>
      <c r="CTZ50" s="16"/>
      <c r="CUA50" s="16"/>
      <c r="CUB50" s="16"/>
      <c r="CUC50" s="16"/>
      <c r="CUD50" s="16"/>
      <c r="CUE50" s="16"/>
      <c r="CUF50" s="16"/>
      <c r="CUG50" s="16"/>
      <c r="CUH50" s="16"/>
      <c r="CUI50" s="16"/>
      <c r="CUJ50" s="16"/>
      <c r="CUK50" s="16"/>
      <c r="CUL50" s="16"/>
      <c r="CUM50" s="16"/>
      <c r="CUN50" s="16"/>
      <c r="CUO50" s="16"/>
      <c r="CUP50" s="16"/>
      <c r="CUQ50" s="16"/>
      <c r="CUR50" s="16"/>
      <c r="CUS50" s="16"/>
      <c r="CUT50" s="16"/>
      <c r="CUU50" s="16"/>
      <c r="CUV50" s="16"/>
      <c r="CUW50" s="16"/>
      <c r="CUX50" s="16"/>
      <c r="CUY50" s="16"/>
      <c r="CUZ50" s="16"/>
      <c r="CVA50" s="16"/>
      <c r="CVB50" s="16"/>
      <c r="CVC50" s="16"/>
      <c r="CVD50" s="16"/>
      <c r="CVE50" s="16"/>
      <c r="CVF50" s="16"/>
      <c r="CVG50" s="16"/>
      <c r="CVH50" s="16"/>
      <c r="CVI50" s="16"/>
      <c r="CVJ50" s="16"/>
      <c r="CVK50" s="16"/>
      <c r="CVL50" s="16"/>
      <c r="CVM50" s="16"/>
      <c r="CVN50" s="16"/>
      <c r="CVO50" s="16"/>
      <c r="CVP50" s="16"/>
      <c r="CVQ50" s="16"/>
      <c r="CVR50" s="16"/>
      <c r="CVS50" s="16"/>
      <c r="CVT50" s="16"/>
      <c r="CVU50" s="16"/>
      <c r="CVV50" s="16"/>
      <c r="CVW50" s="16"/>
      <c r="CVX50" s="16"/>
      <c r="CVY50" s="16"/>
      <c r="CVZ50" s="16"/>
      <c r="CWA50" s="16"/>
      <c r="CWB50" s="16"/>
      <c r="CWC50" s="16"/>
      <c r="CWD50" s="16"/>
      <c r="CWE50" s="16"/>
      <c r="CWF50" s="16"/>
      <c r="CWG50" s="16"/>
      <c r="CWH50" s="16"/>
      <c r="CWI50" s="16"/>
      <c r="CWJ50" s="16"/>
      <c r="CWK50" s="16"/>
      <c r="CWL50" s="16"/>
      <c r="CWM50" s="16"/>
      <c r="CWN50" s="16"/>
      <c r="CWO50" s="16"/>
      <c r="CWP50" s="16"/>
      <c r="CWQ50" s="16"/>
      <c r="CWR50" s="16"/>
      <c r="CWS50" s="16"/>
      <c r="CWT50" s="16"/>
      <c r="CWU50" s="16"/>
      <c r="CWV50" s="16"/>
      <c r="CWW50" s="16"/>
      <c r="CWX50" s="16"/>
      <c r="CWY50" s="16"/>
      <c r="CWZ50" s="16"/>
      <c r="CXA50" s="16"/>
      <c r="CXB50" s="16"/>
      <c r="CXC50" s="16"/>
      <c r="CXD50" s="16"/>
      <c r="CXE50" s="16"/>
      <c r="CXF50" s="16"/>
      <c r="CXG50" s="16"/>
      <c r="CXH50" s="16"/>
      <c r="CXI50" s="16"/>
      <c r="CXJ50" s="16"/>
      <c r="CXK50" s="16"/>
      <c r="CXL50" s="16"/>
      <c r="CXM50" s="16"/>
      <c r="CXN50" s="16"/>
      <c r="CXO50" s="16"/>
      <c r="CXP50" s="16"/>
      <c r="CXQ50" s="16"/>
      <c r="CXR50" s="16"/>
      <c r="CXS50" s="16"/>
      <c r="CXT50" s="16"/>
      <c r="CXU50" s="16"/>
      <c r="CXV50" s="16"/>
      <c r="CXW50" s="16"/>
      <c r="CXX50" s="16"/>
      <c r="CXY50" s="16"/>
      <c r="CXZ50" s="16"/>
      <c r="CYA50" s="16"/>
      <c r="CYB50" s="16"/>
      <c r="CYC50" s="16"/>
      <c r="CYD50" s="16"/>
      <c r="CYE50" s="16"/>
      <c r="CYF50" s="16"/>
      <c r="CYG50" s="16"/>
      <c r="CYH50" s="16"/>
      <c r="CYI50" s="16"/>
      <c r="CYJ50" s="16"/>
      <c r="CYK50" s="16"/>
      <c r="CYL50" s="16"/>
      <c r="CYM50" s="16"/>
      <c r="CYN50" s="16"/>
      <c r="CYO50" s="16"/>
      <c r="CYP50" s="16"/>
      <c r="CYQ50" s="16"/>
      <c r="CYR50" s="16"/>
      <c r="CYS50" s="16"/>
      <c r="CYT50" s="16"/>
      <c r="CYU50" s="16"/>
      <c r="CYV50" s="16"/>
      <c r="CYW50" s="16"/>
      <c r="CYX50" s="16"/>
      <c r="CYY50" s="16"/>
      <c r="CYZ50" s="16"/>
      <c r="CZA50" s="16"/>
      <c r="CZB50" s="16"/>
      <c r="CZC50" s="16"/>
      <c r="CZD50" s="16"/>
      <c r="CZE50" s="16"/>
      <c r="CZF50" s="16"/>
      <c r="CZG50" s="16"/>
      <c r="CZH50" s="16"/>
      <c r="CZI50" s="16"/>
      <c r="CZJ50" s="16"/>
      <c r="CZK50" s="16"/>
      <c r="CZL50" s="16"/>
      <c r="CZM50" s="16"/>
      <c r="CZN50" s="16"/>
      <c r="CZO50" s="16"/>
      <c r="CZP50" s="16"/>
      <c r="CZQ50" s="16"/>
      <c r="CZR50" s="16"/>
      <c r="CZS50" s="16"/>
      <c r="CZT50" s="16"/>
      <c r="CZU50" s="16"/>
      <c r="CZV50" s="16"/>
      <c r="CZW50" s="16"/>
      <c r="CZX50" s="16"/>
      <c r="CZY50" s="16"/>
      <c r="CZZ50" s="16"/>
      <c r="DAA50" s="16"/>
      <c r="DAB50" s="16"/>
      <c r="DAC50" s="16"/>
      <c r="DAD50" s="16"/>
      <c r="DAE50" s="16"/>
      <c r="DAF50" s="16"/>
      <c r="DAG50" s="16"/>
      <c r="DAH50" s="16"/>
      <c r="DAI50" s="16"/>
      <c r="DAJ50" s="16"/>
      <c r="DAK50" s="16"/>
      <c r="DAL50" s="16"/>
      <c r="DAM50" s="16"/>
      <c r="DAN50" s="16"/>
      <c r="DAO50" s="16"/>
      <c r="DAP50" s="16"/>
      <c r="DAQ50" s="16"/>
      <c r="DAR50" s="16"/>
      <c r="DAS50" s="16"/>
      <c r="DAT50" s="16"/>
      <c r="DAU50" s="16"/>
      <c r="DAV50" s="16"/>
      <c r="DAW50" s="16"/>
      <c r="DAX50" s="16"/>
      <c r="DAY50" s="16"/>
      <c r="DAZ50" s="16"/>
      <c r="DBA50" s="16"/>
      <c r="DBB50" s="16"/>
      <c r="DBC50" s="16"/>
      <c r="DBD50" s="16"/>
      <c r="DBE50" s="16"/>
      <c r="DBF50" s="16"/>
      <c r="DBG50" s="16"/>
      <c r="DBH50" s="16"/>
      <c r="DBI50" s="16"/>
      <c r="DBJ50" s="16"/>
      <c r="DBK50" s="16"/>
      <c r="DBL50" s="16"/>
      <c r="DBM50" s="16"/>
      <c r="DBN50" s="16"/>
      <c r="DBO50" s="16"/>
      <c r="DBP50" s="16"/>
      <c r="DBQ50" s="16"/>
      <c r="DBR50" s="16"/>
      <c r="DBS50" s="16"/>
      <c r="DBT50" s="16"/>
      <c r="DBU50" s="16"/>
      <c r="DBV50" s="16"/>
      <c r="DBW50" s="16"/>
      <c r="DBX50" s="16"/>
      <c r="DBY50" s="16"/>
      <c r="DBZ50" s="16"/>
      <c r="DCA50" s="16"/>
      <c r="DCB50" s="16"/>
      <c r="DCC50" s="16"/>
      <c r="DCD50" s="16"/>
      <c r="DCE50" s="16"/>
      <c r="DCF50" s="16"/>
      <c r="DCG50" s="16"/>
      <c r="DCH50" s="16"/>
      <c r="DCI50" s="16"/>
      <c r="DCJ50" s="16"/>
      <c r="DCK50" s="16"/>
      <c r="DCL50" s="16"/>
      <c r="DCM50" s="16"/>
      <c r="DCN50" s="16"/>
      <c r="DCO50" s="16"/>
      <c r="DCP50" s="16"/>
      <c r="DCQ50" s="16"/>
      <c r="DCR50" s="16"/>
      <c r="DCS50" s="16"/>
      <c r="DCT50" s="16"/>
      <c r="DCU50" s="16"/>
      <c r="DCV50" s="16"/>
      <c r="DCW50" s="16"/>
      <c r="DCX50" s="16"/>
      <c r="DCY50" s="16"/>
      <c r="DCZ50" s="16"/>
      <c r="DDA50" s="16"/>
      <c r="DDB50" s="16"/>
      <c r="DDC50" s="16"/>
      <c r="DDD50" s="16"/>
      <c r="DDE50" s="16"/>
      <c r="DDF50" s="16"/>
      <c r="DDG50" s="16"/>
      <c r="DDH50" s="16"/>
      <c r="DDI50" s="16"/>
      <c r="DDJ50" s="16"/>
      <c r="DDK50" s="16"/>
      <c r="DDL50" s="16"/>
      <c r="DDM50" s="16"/>
      <c r="DDN50" s="16"/>
      <c r="DDO50" s="16"/>
      <c r="DDP50" s="16"/>
      <c r="DDQ50" s="16"/>
      <c r="DDR50" s="16"/>
      <c r="DDS50" s="16"/>
      <c r="DDT50" s="16"/>
      <c r="DDU50" s="16"/>
      <c r="DDV50" s="16"/>
      <c r="DDW50" s="16"/>
      <c r="DDX50" s="16"/>
      <c r="DDY50" s="16"/>
      <c r="DDZ50" s="16"/>
      <c r="DEA50" s="16"/>
      <c r="DEB50" s="16"/>
      <c r="DEC50" s="16"/>
      <c r="DED50" s="16"/>
      <c r="DEE50" s="16"/>
      <c r="DEF50" s="16"/>
      <c r="DEG50" s="16"/>
      <c r="DEH50" s="16"/>
      <c r="DEI50" s="16"/>
      <c r="DEJ50" s="16"/>
      <c r="DEK50" s="16"/>
      <c r="DEL50" s="16"/>
      <c r="DEM50" s="16"/>
      <c r="DEN50" s="16"/>
      <c r="DEO50" s="16"/>
      <c r="DEP50" s="16"/>
      <c r="DEQ50" s="16"/>
      <c r="DER50" s="16"/>
      <c r="DES50" s="16"/>
      <c r="DET50" s="16"/>
      <c r="DEU50" s="16"/>
      <c r="DEV50" s="16"/>
      <c r="DEW50" s="16"/>
      <c r="DEX50" s="16"/>
      <c r="DEY50" s="16"/>
      <c r="DEZ50" s="16"/>
      <c r="DFA50" s="16"/>
      <c r="DFB50" s="16"/>
      <c r="DFC50" s="16"/>
      <c r="DFD50" s="16"/>
      <c r="DFE50" s="16"/>
      <c r="DFF50" s="16"/>
      <c r="DFG50" s="16"/>
      <c r="DFH50" s="16"/>
      <c r="DFI50" s="16"/>
      <c r="DFJ50" s="16"/>
      <c r="DFK50" s="16"/>
      <c r="DFL50" s="16"/>
      <c r="DFM50" s="16"/>
      <c r="DFN50" s="16"/>
      <c r="DFO50" s="16"/>
      <c r="DFP50" s="16"/>
      <c r="DFQ50" s="16"/>
      <c r="DFR50" s="16"/>
      <c r="DFS50" s="16"/>
      <c r="DFT50" s="16"/>
      <c r="DFU50" s="16"/>
      <c r="DFV50" s="16"/>
      <c r="DFW50" s="16"/>
      <c r="DFX50" s="16"/>
      <c r="DFY50" s="16"/>
      <c r="DFZ50" s="16"/>
      <c r="DGA50" s="16"/>
      <c r="DGB50" s="16"/>
      <c r="DGC50" s="16"/>
      <c r="DGD50" s="16"/>
      <c r="DGE50" s="16"/>
      <c r="DGF50" s="16"/>
      <c r="DGG50" s="16"/>
      <c r="DGH50" s="16"/>
      <c r="DGI50" s="16"/>
      <c r="DGJ50" s="16"/>
      <c r="DGK50" s="16"/>
      <c r="DGL50" s="16"/>
      <c r="DGM50" s="16"/>
      <c r="DGN50" s="16"/>
      <c r="DGO50" s="16"/>
      <c r="DGP50" s="16"/>
      <c r="DGQ50" s="16"/>
      <c r="DGR50" s="16"/>
      <c r="DGS50" s="16"/>
      <c r="DGT50" s="16"/>
      <c r="DGU50" s="16"/>
      <c r="DGV50" s="16"/>
      <c r="DGW50" s="16"/>
      <c r="DGX50" s="16"/>
      <c r="DGY50" s="16"/>
      <c r="DGZ50" s="16"/>
      <c r="DHA50" s="16"/>
      <c r="DHB50" s="16"/>
      <c r="DHC50" s="16"/>
      <c r="DHD50" s="16"/>
      <c r="DHE50" s="16"/>
      <c r="DHF50" s="16"/>
      <c r="DHG50" s="16"/>
      <c r="DHH50" s="16"/>
      <c r="DHI50" s="16"/>
      <c r="DHJ50" s="16"/>
      <c r="DHK50" s="16"/>
      <c r="DHL50" s="16"/>
      <c r="DHM50" s="16"/>
      <c r="DHN50" s="16"/>
      <c r="DHO50" s="16"/>
      <c r="DHP50" s="16"/>
      <c r="DHQ50" s="16"/>
      <c r="DHR50" s="16"/>
      <c r="DHS50" s="16"/>
      <c r="DHT50" s="16"/>
      <c r="DHU50" s="16"/>
      <c r="DHV50" s="16"/>
      <c r="DHW50" s="16"/>
      <c r="DHX50" s="16"/>
      <c r="DHY50" s="16"/>
      <c r="DHZ50" s="16"/>
      <c r="DIA50" s="16"/>
      <c r="DIB50" s="16"/>
      <c r="DIC50" s="16"/>
      <c r="DID50" s="16"/>
      <c r="DIE50" s="16"/>
      <c r="DIF50" s="16"/>
      <c r="DIG50" s="16"/>
      <c r="DIH50" s="16"/>
      <c r="DII50" s="16"/>
      <c r="DIJ50" s="16"/>
      <c r="DIK50" s="16"/>
      <c r="DIL50" s="16"/>
      <c r="DIM50" s="16"/>
      <c r="DIN50" s="16"/>
      <c r="DIO50" s="16"/>
      <c r="DIP50" s="16"/>
      <c r="DIQ50" s="16"/>
      <c r="DIR50" s="16"/>
      <c r="DIS50" s="16"/>
      <c r="DIT50" s="16"/>
      <c r="DIU50" s="16"/>
      <c r="DIV50" s="16"/>
      <c r="DIW50" s="16"/>
      <c r="DIX50" s="16"/>
      <c r="DIY50" s="16"/>
      <c r="DIZ50" s="16"/>
      <c r="DJA50" s="16"/>
      <c r="DJB50" s="16"/>
      <c r="DJC50" s="16"/>
      <c r="DJD50" s="16"/>
      <c r="DJE50" s="16"/>
      <c r="DJF50" s="16"/>
      <c r="DJG50" s="16"/>
      <c r="DJH50" s="16"/>
      <c r="DJI50" s="16"/>
      <c r="DJJ50" s="16"/>
      <c r="DJK50" s="16"/>
      <c r="DJL50" s="16"/>
      <c r="DJM50" s="16"/>
      <c r="DJN50" s="16"/>
      <c r="DJO50" s="16"/>
      <c r="DJP50" s="16"/>
      <c r="DJQ50" s="16"/>
      <c r="DJR50" s="16"/>
      <c r="DJS50" s="16"/>
      <c r="DJT50" s="16"/>
      <c r="DJU50" s="16"/>
      <c r="DJV50" s="16"/>
      <c r="DJW50" s="16"/>
      <c r="DJX50" s="16"/>
      <c r="DJY50" s="16"/>
      <c r="DJZ50" s="16"/>
      <c r="DKA50" s="16"/>
      <c r="DKB50" s="16"/>
      <c r="DKC50" s="16"/>
      <c r="DKD50" s="16"/>
      <c r="DKE50" s="16"/>
      <c r="DKF50" s="16"/>
      <c r="DKG50" s="16"/>
      <c r="DKH50" s="16"/>
      <c r="DKI50" s="16"/>
      <c r="DKJ50" s="16"/>
      <c r="DKK50" s="16"/>
      <c r="DKL50" s="16"/>
      <c r="DKM50" s="16"/>
      <c r="DKN50" s="16"/>
      <c r="DKO50" s="16"/>
      <c r="DKP50" s="16"/>
      <c r="DKQ50" s="16"/>
      <c r="DKR50" s="16"/>
      <c r="DKS50" s="16"/>
      <c r="DKT50" s="16"/>
      <c r="DKU50" s="16"/>
      <c r="DKV50" s="16"/>
      <c r="DKW50" s="16"/>
      <c r="DKX50" s="16"/>
      <c r="DKY50" s="16"/>
      <c r="DKZ50" s="16"/>
      <c r="DLA50" s="16"/>
      <c r="DLB50" s="16"/>
      <c r="DLC50" s="16"/>
      <c r="DLD50" s="16"/>
      <c r="DLE50" s="16"/>
      <c r="DLF50" s="16"/>
      <c r="DLG50" s="16"/>
      <c r="DLH50" s="16"/>
      <c r="DLI50" s="16"/>
      <c r="DLJ50" s="16"/>
      <c r="DLK50" s="16"/>
      <c r="DLL50" s="16"/>
      <c r="DLM50" s="16"/>
      <c r="DLN50" s="16"/>
      <c r="DLO50" s="16"/>
      <c r="DLP50" s="16"/>
      <c r="DLQ50" s="16"/>
      <c r="DLR50" s="16"/>
      <c r="DLS50" s="16"/>
      <c r="DLT50" s="16"/>
      <c r="DLU50" s="16"/>
      <c r="DLV50" s="16"/>
      <c r="DLW50" s="16"/>
      <c r="DLX50" s="16"/>
      <c r="DLY50" s="16"/>
      <c r="DLZ50" s="16"/>
      <c r="DMA50" s="16"/>
      <c r="DMB50" s="16"/>
      <c r="DMC50" s="16"/>
      <c r="DMD50" s="16"/>
      <c r="DME50" s="16"/>
      <c r="DMF50" s="16"/>
      <c r="DMG50" s="16"/>
      <c r="DMH50" s="16"/>
      <c r="DMI50" s="16"/>
      <c r="DMJ50" s="16"/>
      <c r="DMK50" s="16"/>
      <c r="DML50" s="16"/>
      <c r="DMM50" s="16"/>
      <c r="DMN50" s="16"/>
      <c r="DMO50" s="16"/>
      <c r="DMP50" s="16"/>
      <c r="DMQ50" s="16"/>
      <c r="DMR50" s="16"/>
      <c r="DMS50" s="16"/>
      <c r="DMT50" s="16"/>
      <c r="DMU50" s="16"/>
      <c r="DMV50" s="16"/>
      <c r="DMW50" s="16"/>
      <c r="DMX50" s="16"/>
      <c r="DMY50" s="16"/>
      <c r="DMZ50" s="16"/>
      <c r="DNA50" s="16"/>
      <c r="DNB50" s="16"/>
      <c r="DNC50" s="16"/>
      <c r="DND50" s="16"/>
      <c r="DNE50" s="16"/>
      <c r="DNF50" s="16"/>
      <c r="DNG50" s="16"/>
      <c r="DNH50" s="16"/>
      <c r="DNI50" s="16"/>
      <c r="DNJ50" s="16"/>
      <c r="DNK50" s="16"/>
      <c r="DNL50" s="16"/>
      <c r="DNM50" s="16"/>
      <c r="DNN50" s="16"/>
      <c r="DNO50" s="16"/>
      <c r="DNP50" s="16"/>
      <c r="DNQ50" s="16"/>
      <c r="DNR50" s="16"/>
      <c r="DNS50" s="16"/>
      <c r="DNT50" s="16"/>
      <c r="DNU50" s="16"/>
      <c r="DNV50" s="16"/>
      <c r="DNW50" s="16"/>
      <c r="DNX50" s="16"/>
      <c r="DNY50" s="16"/>
      <c r="DNZ50" s="16"/>
      <c r="DOA50" s="16"/>
      <c r="DOB50" s="16"/>
      <c r="DOC50" s="16"/>
      <c r="DOD50" s="16"/>
      <c r="DOE50" s="16"/>
      <c r="DOF50" s="16"/>
      <c r="DOG50" s="16"/>
      <c r="DOH50" s="16"/>
      <c r="DOI50" s="16"/>
      <c r="DOJ50" s="16"/>
      <c r="DOK50" s="16"/>
      <c r="DOL50" s="16"/>
      <c r="DOM50" s="16"/>
      <c r="DON50" s="16"/>
      <c r="DOO50" s="16"/>
      <c r="DOP50" s="16"/>
      <c r="DOQ50" s="16"/>
      <c r="DOR50" s="16"/>
      <c r="DOS50" s="16"/>
      <c r="DOT50" s="16"/>
      <c r="DOU50" s="16"/>
      <c r="DOV50" s="16"/>
      <c r="DOW50" s="16"/>
      <c r="DOX50" s="16"/>
      <c r="DOY50" s="16"/>
      <c r="DOZ50" s="16"/>
      <c r="DPA50" s="16"/>
      <c r="DPB50" s="16"/>
      <c r="DPC50" s="16"/>
      <c r="DPD50" s="16"/>
      <c r="DPE50" s="16"/>
      <c r="DPF50" s="16"/>
      <c r="DPG50" s="16"/>
      <c r="DPH50" s="16"/>
      <c r="DPI50" s="16"/>
      <c r="DPJ50" s="16"/>
      <c r="DPK50" s="16"/>
      <c r="DPL50" s="16"/>
      <c r="DPM50" s="16"/>
      <c r="DPN50" s="16"/>
      <c r="DPO50" s="16"/>
      <c r="DPP50" s="16"/>
      <c r="DPQ50" s="16"/>
      <c r="DPR50" s="16"/>
      <c r="DPS50" s="16"/>
      <c r="DPT50" s="16"/>
      <c r="DPU50" s="16"/>
      <c r="DPV50" s="16"/>
      <c r="DPW50" s="16"/>
      <c r="DPX50" s="16"/>
      <c r="DPY50" s="16"/>
      <c r="DPZ50" s="16"/>
      <c r="DQA50" s="16"/>
      <c r="DQB50" s="16"/>
      <c r="DQC50" s="16"/>
      <c r="DQD50" s="16"/>
      <c r="DQE50" s="16"/>
      <c r="DQF50" s="16"/>
      <c r="DQG50" s="16"/>
      <c r="DQH50" s="16"/>
      <c r="DQI50" s="16"/>
      <c r="DQJ50" s="16"/>
      <c r="DQK50" s="16"/>
      <c r="DQL50" s="16"/>
      <c r="DQM50" s="16"/>
      <c r="DQN50" s="16"/>
      <c r="DQO50" s="16"/>
      <c r="DQP50" s="16"/>
      <c r="DQQ50" s="16"/>
      <c r="DQR50" s="16"/>
      <c r="DQS50" s="16"/>
      <c r="DQT50" s="16"/>
      <c r="DQU50" s="16"/>
      <c r="DQV50" s="16"/>
      <c r="DQW50" s="16"/>
      <c r="DQX50" s="16"/>
      <c r="DQY50" s="16"/>
      <c r="DQZ50" s="16"/>
      <c r="DRA50" s="16"/>
      <c r="DRB50" s="16"/>
      <c r="DRC50" s="16"/>
      <c r="DRD50" s="16"/>
      <c r="DRE50" s="16"/>
      <c r="DRF50" s="16"/>
      <c r="DRG50" s="16"/>
      <c r="DRH50" s="16"/>
      <c r="DRI50" s="16"/>
      <c r="DRJ50" s="16"/>
      <c r="DRK50" s="16"/>
      <c r="DRL50" s="16"/>
      <c r="DRM50" s="16"/>
      <c r="DRN50" s="16"/>
      <c r="DRO50" s="16"/>
      <c r="DRP50" s="16"/>
      <c r="DRQ50" s="16"/>
      <c r="DRR50" s="16"/>
      <c r="DRS50" s="16"/>
      <c r="DRT50" s="16"/>
      <c r="DRU50" s="16"/>
      <c r="DRV50" s="16"/>
      <c r="DRW50" s="16"/>
      <c r="DRX50" s="16"/>
      <c r="DRY50" s="16"/>
      <c r="DRZ50" s="16"/>
      <c r="DSA50" s="16"/>
      <c r="DSB50" s="16"/>
      <c r="DSC50" s="16"/>
      <c r="DSD50" s="16"/>
      <c r="DSE50" s="16"/>
      <c r="DSF50" s="16"/>
      <c r="DSG50" s="16"/>
      <c r="DSH50" s="16"/>
      <c r="DSI50" s="16"/>
      <c r="DSJ50" s="16"/>
      <c r="DSK50" s="16"/>
      <c r="DSL50" s="16"/>
      <c r="DSM50" s="16"/>
      <c r="DSN50" s="16"/>
      <c r="DSO50" s="16"/>
      <c r="DSP50" s="16"/>
      <c r="DSQ50" s="16"/>
      <c r="DSR50" s="16"/>
      <c r="DSS50" s="16"/>
      <c r="DST50" s="16"/>
      <c r="DSU50" s="16"/>
      <c r="DSV50" s="16"/>
      <c r="DSW50" s="16"/>
      <c r="DSX50" s="16"/>
      <c r="DSY50" s="16"/>
      <c r="DSZ50" s="16"/>
      <c r="DTA50" s="16"/>
      <c r="DTB50" s="16"/>
      <c r="DTC50" s="16"/>
      <c r="DTD50" s="16"/>
      <c r="DTE50" s="16"/>
      <c r="DTF50" s="16"/>
      <c r="DTG50" s="16"/>
      <c r="DTH50" s="16"/>
      <c r="DTI50" s="16"/>
      <c r="DTJ50" s="16"/>
      <c r="DTK50" s="16"/>
      <c r="DTL50" s="16"/>
      <c r="DTM50" s="16"/>
      <c r="DTN50" s="16"/>
      <c r="DTO50" s="16"/>
      <c r="DTP50" s="16"/>
      <c r="DTQ50" s="16"/>
      <c r="DTR50" s="16"/>
      <c r="DTS50" s="16"/>
      <c r="DTT50" s="16"/>
      <c r="DTU50" s="16"/>
      <c r="DTV50" s="16"/>
      <c r="DTW50" s="16"/>
      <c r="DTX50" s="16"/>
      <c r="DTY50" s="16"/>
      <c r="DTZ50" s="16"/>
      <c r="DUA50" s="16"/>
      <c r="DUB50" s="16"/>
      <c r="DUC50" s="16"/>
      <c r="DUD50" s="16"/>
      <c r="DUE50" s="16"/>
      <c r="DUF50" s="16"/>
      <c r="DUG50" s="16"/>
      <c r="DUH50" s="16"/>
      <c r="DUI50" s="16"/>
      <c r="DUJ50" s="16"/>
      <c r="DUK50" s="16"/>
      <c r="DUL50" s="16"/>
      <c r="DUM50" s="16"/>
      <c r="DUN50" s="16"/>
      <c r="DUO50" s="16"/>
      <c r="DUP50" s="16"/>
      <c r="DUQ50" s="16"/>
      <c r="DUR50" s="16"/>
      <c r="DUS50" s="16"/>
      <c r="DUT50" s="16"/>
      <c r="DUU50" s="16"/>
      <c r="DUV50" s="16"/>
      <c r="DUW50" s="16"/>
      <c r="DUX50" s="16"/>
      <c r="DUY50" s="16"/>
      <c r="DUZ50" s="16"/>
      <c r="DVA50" s="16"/>
      <c r="DVB50" s="16"/>
      <c r="DVC50" s="16"/>
      <c r="DVD50" s="16"/>
      <c r="DVE50" s="16"/>
      <c r="DVF50" s="16"/>
      <c r="DVG50" s="16"/>
      <c r="DVH50" s="16"/>
      <c r="DVI50" s="16"/>
      <c r="DVJ50" s="16"/>
      <c r="DVK50" s="16"/>
      <c r="DVL50" s="16"/>
      <c r="DVM50" s="16"/>
      <c r="DVN50" s="16"/>
      <c r="DVO50" s="16"/>
      <c r="DVP50" s="16"/>
      <c r="DVQ50" s="16"/>
      <c r="DVR50" s="16"/>
      <c r="DVS50" s="16"/>
      <c r="DVT50" s="16"/>
      <c r="DVU50" s="16"/>
      <c r="DVV50" s="16"/>
      <c r="DVW50" s="16"/>
      <c r="DVX50" s="16"/>
      <c r="DVY50" s="16"/>
      <c r="DVZ50" s="16"/>
      <c r="DWA50" s="16"/>
      <c r="DWB50" s="16"/>
      <c r="DWC50" s="16"/>
      <c r="DWD50" s="16"/>
      <c r="DWE50" s="16"/>
      <c r="DWF50" s="16"/>
      <c r="DWG50" s="16"/>
      <c r="DWH50" s="16"/>
      <c r="DWI50" s="16"/>
      <c r="DWJ50" s="16"/>
      <c r="DWK50" s="16"/>
      <c r="DWL50" s="16"/>
      <c r="DWM50" s="16"/>
      <c r="DWN50" s="16"/>
      <c r="DWO50" s="16"/>
      <c r="DWP50" s="16"/>
      <c r="DWQ50" s="16"/>
      <c r="DWR50" s="16"/>
      <c r="DWS50" s="16"/>
      <c r="DWT50" s="16"/>
      <c r="DWU50" s="16"/>
      <c r="DWV50" s="16"/>
      <c r="DWW50" s="16"/>
      <c r="DWX50" s="16"/>
      <c r="DWY50" s="16"/>
      <c r="DWZ50" s="16"/>
      <c r="DXA50" s="16"/>
      <c r="DXB50" s="16"/>
      <c r="DXC50" s="16"/>
      <c r="DXD50" s="16"/>
      <c r="DXE50" s="16"/>
      <c r="DXF50" s="16"/>
      <c r="DXG50" s="16"/>
      <c r="DXH50" s="16"/>
      <c r="DXI50" s="16"/>
      <c r="DXJ50" s="16"/>
      <c r="DXK50" s="16"/>
      <c r="DXL50" s="16"/>
      <c r="DXM50" s="16"/>
      <c r="DXN50" s="16"/>
      <c r="DXO50" s="16"/>
      <c r="DXP50" s="16"/>
      <c r="DXQ50" s="16"/>
      <c r="DXR50" s="16"/>
      <c r="DXS50" s="16"/>
      <c r="DXT50" s="16"/>
      <c r="DXU50" s="16"/>
      <c r="DXV50" s="16"/>
      <c r="DXW50" s="16"/>
      <c r="DXX50" s="16"/>
      <c r="DXY50" s="16"/>
      <c r="DXZ50" s="16"/>
      <c r="DYA50" s="16"/>
      <c r="DYB50" s="16"/>
      <c r="DYC50" s="16"/>
      <c r="DYD50" s="16"/>
      <c r="DYE50" s="16"/>
      <c r="DYF50" s="16"/>
      <c r="DYG50" s="16"/>
      <c r="DYH50" s="16"/>
      <c r="DYI50" s="16"/>
      <c r="DYJ50" s="16"/>
      <c r="DYK50" s="16"/>
      <c r="DYL50" s="16"/>
      <c r="DYM50" s="16"/>
      <c r="DYN50" s="16"/>
      <c r="DYO50" s="16"/>
      <c r="DYP50" s="16"/>
      <c r="DYQ50" s="16"/>
      <c r="DYR50" s="16"/>
      <c r="DYS50" s="16"/>
      <c r="DYT50" s="16"/>
      <c r="DYU50" s="16"/>
      <c r="DYV50" s="16"/>
      <c r="DYW50" s="16"/>
      <c r="DYX50" s="16"/>
      <c r="DYY50" s="16"/>
      <c r="DYZ50" s="16"/>
      <c r="DZA50" s="16"/>
      <c r="DZB50" s="16"/>
      <c r="DZC50" s="16"/>
      <c r="DZD50" s="16"/>
      <c r="DZE50" s="16"/>
      <c r="DZF50" s="16"/>
      <c r="DZG50" s="16"/>
      <c r="DZH50" s="16"/>
      <c r="DZI50" s="16"/>
      <c r="DZJ50" s="16"/>
      <c r="DZK50" s="16"/>
      <c r="DZL50" s="16"/>
      <c r="DZM50" s="16"/>
      <c r="DZN50" s="16"/>
      <c r="DZO50" s="16"/>
      <c r="DZP50" s="16"/>
      <c r="DZQ50" s="16"/>
      <c r="DZR50" s="16"/>
      <c r="DZS50" s="16"/>
      <c r="DZT50" s="16"/>
      <c r="DZU50" s="16"/>
      <c r="DZV50" s="16"/>
      <c r="DZW50" s="16"/>
      <c r="DZX50" s="16"/>
      <c r="DZY50" s="16"/>
      <c r="DZZ50" s="16"/>
      <c r="EAA50" s="16"/>
      <c r="EAB50" s="16"/>
      <c r="EAC50" s="16"/>
      <c r="EAD50" s="16"/>
      <c r="EAE50" s="16"/>
      <c r="EAF50" s="16"/>
      <c r="EAG50" s="16"/>
      <c r="EAH50" s="16"/>
      <c r="EAI50" s="16"/>
      <c r="EAJ50" s="16"/>
      <c r="EAK50" s="16"/>
      <c r="EAL50" s="16"/>
      <c r="EAM50" s="16"/>
      <c r="EAN50" s="16"/>
      <c r="EAO50" s="16"/>
      <c r="EAP50" s="16"/>
      <c r="EAQ50" s="16"/>
      <c r="EAR50" s="16"/>
      <c r="EAS50" s="16"/>
      <c r="EAT50" s="16"/>
      <c r="EAU50" s="16"/>
      <c r="EAV50" s="16"/>
      <c r="EAW50" s="16"/>
      <c r="EAX50" s="16"/>
      <c r="EAY50" s="16"/>
      <c r="EAZ50" s="16"/>
      <c r="EBA50" s="16"/>
      <c r="EBB50" s="16"/>
      <c r="EBC50" s="16"/>
      <c r="EBD50" s="16"/>
      <c r="EBE50" s="16"/>
      <c r="EBF50" s="16"/>
      <c r="EBG50" s="16"/>
      <c r="EBH50" s="16"/>
      <c r="EBI50" s="16"/>
      <c r="EBJ50" s="16"/>
      <c r="EBK50" s="16"/>
      <c r="EBL50" s="16"/>
      <c r="EBM50" s="16"/>
      <c r="EBN50" s="16"/>
      <c r="EBO50" s="16"/>
      <c r="EBP50" s="16"/>
      <c r="EBQ50" s="16"/>
      <c r="EBR50" s="16"/>
      <c r="EBS50" s="16"/>
      <c r="EBT50" s="16"/>
      <c r="EBU50" s="16"/>
      <c r="EBV50" s="16"/>
      <c r="EBW50" s="16"/>
      <c r="EBX50" s="16"/>
      <c r="EBY50" s="16"/>
      <c r="EBZ50" s="16"/>
      <c r="ECA50" s="16"/>
      <c r="ECB50" s="16"/>
      <c r="ECC50" s="16"/>
      <c r="ECD50" s="16"/>
      <c r="ECE50" s="16"/>
      <c r="ECF50" s="16"/>
      <c r="ECG50" s="16"/>
      <c r="ECH50" s="16"/>
      <c r="ECI50" s="16"/>
      <c r="ECJ50" s="16"/>
      <c r="ECK50" s="16"/>
      <c r="ECL50" s="16"/>
      <c r="ECM50" s="16"/>
      <c r="ECN50" s="16"/>
      <c r="ECO50" s="16"/>
      <c r="ECP50" s="16"/>
      <c r="ECQ50" s="16"/>
      <c r="ECR50" s="16"/>
      <c r="ECS50" s="16"/>
      <c r="ECT50" s="16"/>
      <c r="ECU50" s="16"/>
      <c r="ECV50" s="16"/>
      <c r="ECW50" s="16"/>
      <c r="ECX50" s="16"/>
      <c r="ECY50" s="16"/>
      <c r="ECZ50" s="16"/>
      <c r="EDA50" s="16"/>
      <c r="EDB50" s="16"/>
      <c r="EDC50" s="16"/>
      <c r="EDD50" s="16"/>
      <c r="EDE50" s="16"/>
      <c r="EDF50" s="16"/>
      <c r="EDG50" s="16"/>
      <c r="EDH50" s="16"/>
      <c r="EDI50" s="16"/>
      <c r="EDJ50" s="16"/>
      <c r="EDK50" s="16"/>
      <c r="EDL50" s="16"/>
      <c r="EDM50" s="16"/>
      <c r="EDN50" s="16"/>
      <c r="EDO50" s="16"/>
      <c r="EDP50" s="16"/>
      <c r="EDQ50" s="16"/>
      <c r="EDR50" s="16"/>
      <c r="EDS50" s="16"/>
      <c r="EDT50" s="16"/>
      <c r="EDU50" s="16"/>
      <c r="EDV50" s="16"/>
      <c r="EDW50" s="16"/>
      <c r="EDX50" s="16"/>
      <c r="EDY50" s="16"/>
      <c r="EDZ50" s="16"/>
      <c r="EEA50" s="16"/>
      <c r="EEB50" s="16"/>
      <c r="EEC50" s="16"/>
      <c r="EED50" s="16"/>
      <c r="EEE50" s="16"/>
      <c r="EEF50" s="16"/>
      <c r="EEG50" s="16"/>
      <c r="EEH50" s="16"/>
      <c r="EEI50" s="16"/>
      <c r="EEJ50" s="16"/>
      <c r="EEK50" s="16"/>
      <c r="EEL50" s="16"/>
      <c r="EEM50" s="16"/>
      <c r="EEN50" s="16"/>
      <c r="EEO50" s="16"/>
      <c r="EEP50" s="16"/>
      <c r="EEQ50" s="16"/>
      <c r="EER50" s="16"/>
      <c r="EES50" s="16"/>
      <c r="EET50" s="16"/>
      <c r="EEU50" s="16"/>
      <c r="EEV50" s="16"/>
      <c r="EEW50" s="16"/>
      <c r="EEX50" s="16"/>
      <c r="EEY50" s="16"/>
      <c r="EEZ50" s="16"/>
      <c r="EFA50" s="16"/>
      <c r="EFB50" s="16"/>
      <c r="EFC50" s="16"/>
      <c r="EFD50" s="16"/>
      <c r="EFE50" s="16"/>
      <c r="EFF50" s="16"/>
      <c r="EFG50" s="16"/>
      <c r="EFH50" s="16"/>
      <c r="EFI50" s="16"/>
      <c r="EFJ50" s="16"/>
      <c r="EFK50" s="16"/>
      <c r="EFL50" s="16"/>
      <c r="EFM50" s="16"/>
      <c r="EFN50" s="16"/>
      <c r="EFO50" s="16"/>
      <c r="EFP50" s="16"/>
      <c r="EFQ50" s="16"/>
      <c r="EFR50" s="16"/>
      <c r="EFS50" s="16"/>
      <c r="EFT50" s="16"/>
      <c r="EFU50" s="16"/>
      <c r="EFV50" s="16"/>
      <c r="EFW50" s="16"/>
      <c r="EFX50" s="16"/>
      <c r="EFY50" s="16"/>
      <c r="EFZ50" s="16"/>
      <c r="EGA50" s="16"/>
      <c r="EGB50" s="16"/>
      <c r="EGC50" s="16"/>
      <c r="EGD50" s="16"/>
      <c r="EGE50" s="16"/>
      <c r="EGF50" s="16"/>
      <c r="EGG50" s="16"/>
      <c r="EGH50" s="16"/>
      <c r="EGI50" s="16"/>
      <c r="EGJ50" s="16"/>
      <c r="EGK50" s="16"/>
      <c r="EGL50" s="16"/>
      <c r="EGM50" s="16"/>
      <c r="EGN50" s="16"/>
      <c r="EGO50" s="16"/>
      <c r="EGP50" s="16"/>
      <c r="EGQ50" s="16"/>
      <c r="EGR50" s="16"/>
      <c r="EGS50" s="16"/>
      <c r="EGT50" s="16"/>
      <c r="EGU50" s="16"/>
      <c r="EGV50" s="16"/>
      <c r="EGW50" s="16"/>
      <c r="EGX50" s="16"/>
      <c r="EGY50" s="16"/>
      <c r="EGZ50" s="16"/>
      <c r="EHA50" s="16"/>
      <c r="EHB50" s="16"/>
      <c r="EHC50" s="16"/>
      <c r="EHD50" s="16"/>
      <c r="EHE50" s="16"/>
      <c r="EHF50" s="16"/>
      <c r="EHG50" s="16"/>
      <c r="EHH50" s="16"/>
      <c r="EHI50" s="16"/>
      <c r="EHJ50" s="16"/>
      <c r="EHK50" s="16"/>
      <c r="EHL50" s="16"/>
      <c r="EHM50" s="16"/>
      <c r="EHN50" s="16"/>
      <c r="EHO50" s="16"/>
      <c r="EHP50" s="16"/>
      <c r="EHQ50" s="16"/>
      <c r="EHR50" s="16"/>
      <c r="EHS50" s="16"/>
      <c r="EHT50" s="16"/>
      <c r="EHU50" s="16"/>
      <c r="EHV50" s="16"/>
      <c r="EHW50" s="16"/>
      <c r="EHX50" s="16"/>
      <c r="EHY50" s="16"/>
      <c r="EHZ50" s="16"/>
      <c r="EIA50" s="16"/>
      <c r="EIB50" s="16"/>
      <c r="EIC50" s="16"/>
      <c r="EID50" s="16"/>
      <c r="EIE50" s="16"/>
      <c r="EIF50" s="16"/>
      <c r="EIG50" s="16"/>
      <c r="EIH50" s="16"/>
      <c r="EII50" s="16"/>
      <c r="EIJ50" s="16"/>
      <c r="EIK50" s="16"/>
      <c r="EIL50" s="16"/>
      <c r="EIM50" s="16"/>
      <c r="EIN50" s="16"/>
      <c r="EIO50" s="16"/>
      <c r="EIP50" s="16"/>
      <c r="EIQ50" s="16"/>
      <c r="EIR50" s="16"/>
      <c r="EIS50" s="16"/>
      <c r="EIT50" s="16"/>
      <c r="EIU50" s="16"/>
      <c r="EIV50" s="16"/>
      <c r="EIW50" s="16"/>
      <c r="EIX50" s="16"/>
      <c r="EIY50" s="16"/>
      <c r="EIZ50" s="16"/>
      <c r="EJA50" s="16"/>
      <c r="EJB50" s="16"/>
      <c r="EJC50" s="16"/>
      <c r="EJD50" s="16"/>
      <c r="EJE50" s="16"/>
      <c r="EJF50" s="16"/>
      <c r="EJG50" s="16"/>
      <c r="EJH50" s="16"/>
      <c r="EJI50" s="16"/>
      <c r="EJJ50" s="16"/>
      <c r="EJK50" s="16"/>
      <c r="EJL50" s="16"/>
      <c r="EJM50" s="16"/>
      <c r="EJN50" s="16"/>
      <c r="EJO50" s="16"/>
      <c r="EJP50" s="16"/>
      <c r="EJQ50" s="16"/>
      <c r="EJR50" s="16"/>
      <c r="EJS50" s="16"/>
      <c r="EJT50" s="16"/>
      <c r="EJU50" s="16"/>
      <c r="EJV50" s="16"/>
      <c r="EJW50" s="16"/>
      <c r="EJX50" s="16"/>
      <c r="EJY50" s="16"/>
      <c r="EJZ50" s="16"/>
      <c r="EKA50" s="16"/>
      <c r="EKB50" s="16"/>
      <c r="EKC50" s="16"/>
      <c r="EKD50" s="16"/>
      <c r="EKE50" s="16"/>
      <c r="EKF50" s="16"/>
      <c r="EKG50" s="16"/>
      <c r="EKH50" s="16"/>
      <c r="EKI50" s="16"/>
      <c r="EKJ50" s="16"/>
      <c r="EKK50" s="16"/>
      <c r="EKL50" s="16"/>
      <c r="EKM50" s="16"/>
      <c r="EKN50" s="16"/>
      <c r="EKO50" s="16"/>
      <c r="EKP50" s="16"/>
      <c r="EKQ50" s="16"/>
      <c r="EKR50" s="16"/>
      <c r="EKS50" s="16"/>
      <c r="EKT50" s="16"/>
      <c r="EKU50" s="16"/>
      <c r="EKV50" s="16"/>
      <c r="EKW50" s="16"/>
      <c r="EKX50" s="16"/>
      <c r="EKY50" s="16"/>
      <c r="EKZ50" s="16"/>
      <c r="ELA50" s="16"/>
      <c r="ELB50" s="16"/>
      <c r="ELC50" s="16"/>
      <c r="ELD50" s="16"/>
      <c r="ELE50" s="16"/>
      <c r="ELF50" s="16"/>
      <c r="ELG50" s="16"/>
      <c r="ELH50" s="16"/>
      <c r="ELI50" s="16"/>
      <c r="ELJ50" s="16"/>
      <c r="ELK50" s="16"/>
      <c r="ELL50" s="16"/>
      <c r="ELM50" s="16"/>
      <c r="ELN50" s="16"/>
      <c r="ELO50" s="16"/>
      <c r="ELP50" s="16"/>
      <c r="ELQ50" s="16"/>
      <c r="ELR50" s="16"/>
      <c r="ELS50" s="16"/>
      <c r="ELT50" s="16"/>
      <c r="ELU50" s="16"/>
      <c r="ELV50" s="16"/>
      <c r="ELW50" s="16"/>
      <c r="ELX50" s="16"/>
      <c r="ELY50" s="16"/>
      <c r="ELZ50" s="16"/>
      <c r="EMA50" s="16"/>
      <c r="EMB50" s="16"/>
      <c r="EMC50" s="16"/>
      <c r="EMD50" s="16"/>
      <c r="EME50" s="16"/>
      <c r="EMF50" s="16"/>
      <c r="EMG50" s="16"/>
      <c r="EMH50" s="16"/>
      <c r="EMI50" s="16"/>
      <c r="EMJ50" s="16"/>
      <c r="EMK50" s="16"/>
      <c r="EML50" s="16"/>
      <c r="EMM50" s="16"/>
      <c r="EMN50" s="16"/>
      <c r="EMO50" s="16"/>
      <c r="EMP50" s="16"/>
      <c r="EMQ50" s="16"/>
      <c r="EMR50" s="16"/>
      <c r="EMS50" s="16"/>
      <c r="EMT50" s="16"/>
      <c r="EMU50" s="16"/>
      <c r="EMV50" s="16"/>
      <c r="EMW50" s="16"/>
      <c r="EMX50" s="16"/>
      <c r="EMY50" s="16"/>
      <c r="EMZ50" s="16"/>
      <c r="ENA50" s="16"/>
      <c r="ENB50" s="16"/>
      <c r="ENC50" s="16"/>
      <c r="END50" s="16"/>
      <c r="ENE50" s="16"/>
      <c r="ENF50" s="16"/>
      <c r="ENG50" s="16"/>
      <c r="ENH50" s="16"/>
      <c r="ENI50" s="16"/>
      <c r="ENJ50" s="16"/>
      <c r="ENK50" s="16"/>
      <c r="ENL50" s="16"/>
      <c r="ENM50" s="16"/>
      <c r="ENN50" s="16"/>
      <c r="ENO50" s="16"/>
      <c r="ENP50" s="16"/>
      <c r="ENQ50" s="16"/>
      <c r="ENR50" s="16"/>
      <c r="ENS50" s="16"/>
      <c r="ENT50" s="16"/>
      <c r="ENU50" s="16"/>
      <c r="ENV50" s="16"/>
      <c r="ENW50" s="16"/>
      <c r="ENX50" s="16"/>
      <c r="ENY50" s="16"/>
      <c r="ENZ50" s="16"/>
      <c r="EOA50" s="16"/>
      <c r="EOB50" s="16"/>
      <c r="EOC50" s="16"/>
      <c r="EOD50" s="16"/>
      <c r="EOE50" s="16"/>
      <c r="EOF50" s="16"/>
      <c r="EOG50" s="16"/>
      <c r="EOH50" s="16"/>
      <c r="EOI50" s="16"/>
      <c r="EOJ50" s="16"/>
      <c r="EOK50" s="16"/>
      <c r="EOL50" s="16"/>
      <c r="EOM50" s="16"/>
      <c r="EON50" s="16"/>
      <c r="EOO50" s="16"/>
      <c r="EOP50" s="16"/>
      <c r="EOQ50" s="16"/>
      <c r="EOR50" s="16"/>
      <c r="EOS50" s="16"/>
      <c r="EOT50" s="16"/>
      <c r="EOU50" s="16"/>
      <c r="EOV50" s="16"/>
      <c r="EOW50" s="16"/>
      <c r="EOX50" s="16"/>
      <c r="EOY50" s="16"/>
      <c r="EOZ50" s="16"/>
      <c r="EPA50" s="16"/>
      <c r="EPB50" s="16"/>
      <c r="EPC50" s="16"/>
      <c r="EPD50" s="16"/>
      <c r="EPE50" s="16"/>
      <c r="EPF50" s="16"/>
      <c r="EPG50" s="16"/>
      <c r="EPH50" s="16"/>
      <c r="EPI50" s="16"/>
      <c r="EPJ50" s="16"/>
      <c r="EPK50" s="16"/>
      <c r="EPL50" s="16"/>
      <c r="EPM50" s="16"/>
      <c r="EPN50" s="16"/>
      <c r="EPO50" s="16"/>
      <c r="EPP50" s="16"/>
      <c r="EPQ50" s="16"/>
      <c r="EPR50" s="16"/>
      <c r="EPS50" s="16"/>
      <c r="EPT50" s="16"/>
      <c r="EPU50" s="16"/>
      <c r="EPV50" s="16"/>
      <c r="EPW50" s="16"/>
      <c r="EPX50" s="16"/>
      <c r="EPY50" s="16"/>
      <c r="EPZ50" s="16"/>
      <c r="EQA50" s="16"/>
      <c r="EQB50" s="16"/>
      <c r="EQC50" s="16"/>
      <c r="EQD50" s="16"/>
      <c r="EQE50" s="16"/>
      <c r="EQF50" s="16"/>
      <c r="EQG50" s="16"/>
      <c r="EQH50" s="16"/>
      <c r="EQI50" s="16"/>
      <c r="EQJ50" s="16"/>
      <c r="EQK50" s="16"/>
      <c r="EQL50" s="16"/>
      <c r="EQM50" s="16"/>
      <c r="EQN50" s="16"/>
      <c r="EQO50" s="16"/>
      <c r="EQP50" s="16"/>
      <c r="EQQ50" s="16"/>
      <c r="EQR50" s="16"/>
      <c r="EQS50" s="16"/>
      <c r="EQT50" s="16"/>
      <c r="EQU50" s="16"/>
      <c r="EQV50" s="16"/>
      <c r="EQW50" s="16"/>
      <c r="EQX50" s="16"/>
      <c r="EQY50" s="16"/>
      <c r="EQZ50" s="16"/>
      <c r="ERA50" s="16"/>
      <c r="ERB50" s="16"/>
      <c r="ERC50" s="16"/>
      <c r="ERD50" s="16"/>
      <c r="ERE50" s="16"/>
      <c r="ERF50" s="16"/>
      <c r="ERG50" s="16"/>
      <c r="ERH50" s="16"/>
      <c r="ERI50" s="16"/>
      <c r="ERJ50" s="16"/>
      <c r="ERK50" s="16"/>
      <c r="ERL50" s="16"/>
      <c r="ERM50" s="16"/>
      <c r="ERN50" s="16"/>
      <c r="ERO50" s="16"/>
      <c r="ERP50" s="16"/>
      <c r="ERQ50" s="16"/>
      <c r="ERR50" s="16"/>
      <c r="ERS50" s="16"/>
      <c r="ERT50" s="16"/>
      <c r="ERU50" s="16"/>
      <c r="ERV50" s="16"/>
      <c r="ERW50" s="16"/>
      <c r="ERX50" s="16"/>
      <c r="ERY50" s="16"/>
      <c r="ERZ50" s="16"/>
      <c r="ESA50" s="16"/>
      <c r="ESB50" s="16"/>
      <c r="ESC50" s="16"/>
      <c r="ESD50" s="16"/>
      <c r="ESE50" s="16"/>
      <c r="ESF50" s="16"/>
      <c r="ESG50" s="16"/>
      <c r="ESH50" s="16"/>
      <c r="ESI50" s="16"/>
      <c r="ESJ50" s="16"/>
      <c r="ESK50" s="16"/>
      <c r="ESL50" s="16"/>
      <c r="ESM50" s="16"/>
      <c r="ESN50" s="16"/>
      <c r="ESO50" s="16"/>
      <c r="ESP50" s="16"/>
      <c r="ESQ50" s="16"/>
      <c r="ESR50" s="16"/>
      <c r="ESS50" s="16"/>
      <c r="EST50" s="16"/>
      <c r="ESU50" s="16"/>
      <c r="ESV50" s="16"/>
      <c r="ESW50" s="16"/>
      <c r="ESX50" s="16"/>
      <c r="ESY50" s="16"/>
      <c r="ESZ50" s="16"/>
      <c r="ETA50" s="16"/>
      <c r="ETB50" s="16"/>
      <c r="ETC50" s="16"/>
      <c r="ETD50" s="16"/>
      <c r="ETE50" s="16"/>
      <c r="ETF50" s="16"/>
      <c r="ETG50" s="16"/>
      <c r="ETH50" s="16"/>
      <c r="ETI50" s="16"/>
      <c r="ETJ50" s="16"/>
      <c r="ETK50" s="16"/>
      <c r="ETL50" s="16"/>
      <c r="ETM50" s="16"/>
      <c r="ETN50" s="16"/>
      <c r="ETO50" s="16"/>
      <c r="ETP50" s="16"/>
      <c r="ETQ50" s="16"/>
      <c r="ETR50" s="16"/>
      <c r="ETS50" s="16"/>
      <c r="ETT50" s="16"/>
      <c r="ETU50" s="16"/>
      <c r="ETV50" s="16"/>
      <c r="ETW50" s="16"/>
      <c r="ETX50" s="16"/>
      <c r="ETY50" s="16"/>
      <c r="ETZ50" s="16"/>
      <c r="EUA50" s="16"/>
      <c r="EUB50" s="16"/>
      <c r="EUC50" s="16"/>
      <c r="EUD50" s="16"/>
      <c r="EUE50" s="16"/>
      <c r="EUF50" s="16"/>
      <c r="EUG50" s="16"/>
      <c r="EUH50" s="16"/>
      <c r="EUI50" s="16"/>
      <c r="EUJ50" s="16"/>
      <c r="EUK50" s="16"/>
      <c r="EUL50" s="16"/>
      <c r="EUM50" s="16"/>
      <c r="EUN50" s="16"/>
      <c r="EUO50" s="16"/>
      <c r="EUP50" s="16"/>
      <c r="EUQ50" s="16"/>
      <c r="EUR50" s="16"/>
      <c r="EUS50" s="16"/>
      <c r="EUT50" s="16"/>
      <c r="EUU50" s="16"/>
      <c r="EUV50" s="16"/>
      <c r="EUW50" s="16"/>
      <c r="EUX50" s="16"/>
      <c r="EUY50" s="16"/>
      <c r="EUZ50" s="16"/>
      <c r="EVA50" s="16"/>
      <c r="EVB50" s="16"/>
      <c r="EVC50" s="16"/>
      <c r="EVD50" s="16"/>
      <c r="EVE50" s="16"/>
      <c r="EVF50" s="16"/>
      <c r="EVG50" s="16"/>
      <c r="EVH50" s="16"/>
      <c r="EVI50" s="16"/>
      <c r="EVJ50" s="16"/>
      <c r="EVK50" s="16"/>
      <c r="EVL50" s="16"/>
      <c r="EVM50" s="16"/>
      <c r="EVN50" s="16"/>
      <c r="EVO50" s="16"/>
      <c r="EVP50" s="16"/>
      <c r="EVQ50" s="16"/>
      <c r="EVR50" s="16"/>
      <c r="EVS50" s="16"/>
      <c r="EVT50" s="16"/>
      <c r="EVU50" s="16"/>
      <c r="EVV50" s="16"/>
      <c r="EVW50" s="16"/>
      <c r="EVX50" s="16"/>
      <c r="EVY50" s="16"/>
      <c r="EVZ50" s="16"/>
      <c r="EWA50" s="16"/>
      <c r="EWB50" s="16"/>
      <c r="EWC50" s="16"/>
      <c r="EWD50" s="16"/>
      <c r="EWE50" s="16"/>
      <c r="EWF50" s="16"/>
      <c r="EWG50" s="16"/>
      <c r="EWH50" s="16"/>
      <c r="EWI50" s="16"/>
      <c r="EWJ50" s="16"/>
      <c r="EWK50" s="16"/>
      <c r="EWL50" s="16"/>
      <c r="EWM50" s="16"/>
      <c r="EWN50" s="16"/>
      <c r="EWO50" s="16"/>
      <c r="EWP50" s="16"/>
      <c r="EWQ50" s="16"/>
      <c r="EWR50" s="16"/>
      <c r="EWS50" s="16"/>
      <c r="EWT50" s="16"/>
      <c r="EWU50" s="16"/>
      <c r="EWV50" s="16"/>
      <c r="EWW50" s="16"/>
      <c r="EWX50" s="16"/>
      <c r="EWY50" s="16"/>
      <c r="EWZ50" s="16"/>
      <c r="EXA50" s="16"/>
      <c r="EXB50" s="16"/>
      <c r="EXC50" s="16"/>
      <c r="EXD50" s="16"/>
      <c r="EXE50" s="16"/>
      <c r="EXF50" s="16"/>
      <c r="EXG50" s="16"/>
      <c r="EXH50" s="16"/>
      <c r="EXI50" s="16"/>
      <c r="EXJ50" s="16"/>
      <c r="EXK50" s="16"/>
      <c r="EXL50" s="16"/>
      <c r="EXM50" s="16"/>
      <c r="EXN50" s="16"/>
      <c r="EXO50" s="16"/>
      <c r="EXP50" s="16"/>
      <c r="EXQ50" s="16"/>
      <c r="EXR50" s="16"/>
      <c r="EXS50" s="16"/>
      <c r="EXT50" s="16"/>
      <c r="EXU50" s="16"/>
      <c r="EXV50" s="16"/>
      <c r="EXW50" s="16"/>
      <c r="EXX50" s="16"/>
      <c r="EXY50" s="16"/>
      <c r="EXZ50" s="16"/>
      <c r="EYA50" s="16"/>
      <c r="EYB50" s="16"/>
      <c r="EYC50" s="16"/>
      <c r="EYD50" s="16"/>
      <c r="EYE50" s="16"/>
      <c r="EYF50" s="16"/>
      <c r="EYG50" s="16"/>
      <c r="EYH50" s="16"/>
      <c r="EYI50" s="16"/>
      <c r="EYJ50" s="16"/>
      <c r="EYK50" s="16"/>
      <c r="EYL50" s="16"/>
      <c r="EYM50" s="16"/>
      <c r="EYN50" s="16"/>
      <c r="EYO50" s="16"/>
      <c r="EYP50" s="16"/>
      <c r="EYQ50" s="16"/>
      <c r="EYR50" s="16"/>
      <c r="EYS50" s="16"/>
      <c r="EYT50" s="16"/>
      <c r="EYU50" s="16"/>
      <c r="EYV50" s="16"/>
      <c r="EYW50" s="16"/>
      <c r="EYX50" s="16"/>
      <c r="EYY50" s="16"/>
      <c r="EYZ50" s="16"/>
      <c r="EZA50" s="16"/>
      <c r="EZB50" s="16"/>
      <c r="EZC50" s="16"/>
      <c r="EZD50" s="16"/>
      <c r="EZE50" s="16"/>
      <c r="EZF50" s="16"/>
      <c r="EZG50" s="16"/>
      <c r="EZH50" s="16"/>
      <c r="EZI50" s="16"/>
      <c r="EZJ50" s="16"/>
      <c r="EZK50" s="16"/>
      <c r="EZL50" s="16"/>
      <c r="EZM50" s="16"/>
      <c r="EZN50" s="16"/>
      <c r="EZO50" s="16"/>
      <c r="EZP50" s="16"/>
      <c r="EZQ50" s="16"/>
      <c r="EZR50" s="16"/>
      <c r="EZS50" s="16"/>
      <c r="EZT50" s="16"/>
      <c r="EZU50" s="16"/>
      <c r="EZV50" s="16"/>
      <c r="EZW50" s="16"/>
      <c r="EZX50" s="16"/>
      <c r="EZY50" s="16"/>
      <c r="EZZ50" s="16"/>
      <c r="FAA50" s="16"/>
      <c r="FAB50" s="16"/>
      <c r="FAC50" s="16"/>
      <c r="FAD50" s="16"/>
      <c r="FAE50" s="16"/>
      <c r="FAF50" s="16"/>
      <c r="FAG50" s="16"/>
      <c r="FAH50" s="16"/>
      <c r="FAI50" s="16"/>
      <c r="FAJ50" s="16"/>
      <c r="FAK50" s="16"/>
      <c r="FAL50" s="16"/>
      <c r="FAM50" s="16"/>
      <c r="FAN50" s="16"/>
      <c r="FAO50" s="16"/>
      <c r="FAP50" s="16"/>
      <c r="FAQ50" s="16"/>
      <c r="FAR50" s="16"/>
      <c r="FAS50" s="16"/>
      <c r="FAT50" s="16"/>
      <c r="FAU50" s="16"/>
      <c r="FAV50" s="16"/>
      <c r="FAW50" s="16"/>
      <c r="FAX50" s="16"/>
      <c r="FAY50" s="16"/>
      <c r="FAZ50" s="16"/>
      <c r="FBA50" s="16"/>
      <c r="FBB50" s="16"/>
      <c r="FBC50" s="16"/>
      <c r="FBD50" s="16"/>
      <c r="FBE50" s="16"/>
      <c r="FBF50" s="16"/>
      <c r="FBG50" s="16"/>
      <c r="FBH50" s="16"/>
      <c r="FBI50" s="16"/>
      <c r="FBJ50" s="16"/>
      <c r="FBK50" s="16"/>
      <c r="FBL50" s="16"/>
      <c r="FBM50" s="16"/>
      <c r="FBN50" s="16"/>
      <c r="FBO50" s="16"/>
      <c r="FBP50" s="16"/>
      <c r="FBQ50" s="16"/>
      <c r="FBR50" s="16"/>
      <c r="FBS50" s="16"/>
      <c r="FBT50" s="16"/>
      <c r="FBU50" s="16"/>
      <c r="FBV50" s="16"/>
      <c r="FBW50" s="16"/>
      <c r="FBX50" s="16"/>
      <c r="FBY50" s="16"/>
      <c r="FBZ50" s="16"/>
      <c r="FCA50" s="16"/>
      <c r="FCB50" s="16"/>
      <c r="FCC50" s="16"/>
      <c r="FCD50" s="16"/>
      <c r="FCE50" s="16"/>
      <c r="FCF50" s="16"/>
      <c r="FCG50" s="16"/>
      <c r="FCH50" s="16"/>
      <c r="FCI50" s="16"/>
      <c r="FCJ50" s="16"/>
      <c r="FCK50" s="16"/>
      <c r="FCL50" s="16"/>
      <c r="FCM50" s="16"/>
      <c r="FCN50" s="16"/>
      <c r="FCO50" s="16"/>
      <c r="FCP50" s="16"/>
      <c r="FCQ50" s="16"/>
      <c r="FCR50" s="16"/>
      <c r="FCS50" s="16"/>
      <c r="FCT50" s="16"/>
      <c r="FCU50" s="16"/>
      <c r="FCV50" s="16"/>
      <c r="FCW50" s="16"/>
      <c r="FCX50" s="16"/>
      <c r="FCY50" s="16"/>
      <c r="FCZ50" s="16"/>
      <c r="FDA50" s="16"/>
      <c r="FDB50" s="16"/>
      <c r="FDC50" s="16"/>
      <c r="FDD50" s="16"/>
      <c r="FDE50" s="16"/>
      <c r="FDF50" s="16"/>
      <c r="FDG50" s="16"/>
      <c r="FDH50" s="16"/>
      <c r="FDI50" s="16"/>
      <c r="FDJ50" s="16"/>
      <c r="FDK50" s="16"/>
      <c r="FDL50" s="16"/>
      <c r="FDM50" s="16"/>
      <c r="FDN50" s="16"/>
      <c r="FDO50" s="16"/>
      <c r="FDP50" s="16"/>
      <c r="FDQ50" s="16"/>
      <c r="FDR50" s="16"/>
      <c r="FDS50" s="16"/>
      <c r="FDT50" s="16"/>
      <c r="FDU50" s="16"/>
      <c r="FDV50" s="16"/>
      <c r="FDW50" s="16"/>
      <c r="FDX50" s="16"/>
      <c r="FDY50" s="16"/>
      <c r="FDZ50" s="16"/>
      <c r="FEA50" s="16"/>
      <c r="FEB50" s="16"/>
      <c r="FEC50" s="16"/>
      <c r="FED50" s="16"/>
      <c r="FEE50" s="16"/>
      <c r="FEF50" s="16"/>
      <c r="FEG50" s="16"/>
      <c r="FEH50" s="16"/>
      <c r="FEI50" s="16"/>
      <c r="FEJ50" s="16"/>
      <c r="FEK50" s="16"/>
      <c r="FEL50" s="16"/>
      <c r="FEM50" s="16"/>
      <c r="FEN50" s="16"/>
      <c r="FEO50" s="16"/>
      <c r="FEP50" s="16"/>
      <c r="FEQ50" s="16"/>
      <c r="FER50" s="16"/>
      <c r="FES50" s="16"/>
      <c r="FET50" s="16"/>
      <c r="FEU50" s="16"/>
      <c r="FEV50" s="16"/>
      <c r="FEW50" s="16"/>
      <c r="FEX50" s="16"/>
      <c r="FEY50" s="16"/>
      <c r="FEZ50" s="16"/>
      <c r="FFA50" s="16"/>
      <c r="FFB50" s="16"/>
      <c r="FFC50" s="16"/>
      <c r="FFD50" s="16"/>
      <c r="FFE50" s="16"/>
      <c r="FFF50" s="16"/>
      <c r="FFG50" s="16"/>
      <c r="FFH50" s="16"/>
      <c r="FFI50" s="16"/>
      <c r="FFJ50" s="16"/>
      <c r="FFK50" s="16"/>
      <c r="FFL50" s="16"/>
      <c r="FFM50" s="16"/>
      <c r="FFN50" s="16"/>
      <c r="FFO50" s="16"/>
      <c r="FFP50" s="16"/>
      <c r="FFQ50" s="16"/>
      <c r="FFR50" s="16"/>
      <c r="FFS50" s="16"/>
      <c r="FFT50" s="16"/>
      <c r="FFU50" s="16"/>
      <c r="FFV50" s="16"/>
      <c r="FFW50" s="16"/>
      <c r="FFX50" s="16"/>
      <c r="FFY50" s="16"/>
      <c r="FFZ50" s="16"/>
      <c r="FGA50" s="16"/>
      <c r="FGB50" s="16"/>
      <c r="FGC50" s="16"/>
      <c r="FGD50" s="16"/>
      <c r="FGE50" s="16"/>
      <c r="FGF50" s="16"/>
      <c r="FGG50" s="16"/>
      <c r="FGH50" s="16"/>
      <c r="FGI50" s="16"/>
      <c r="FGJ50" s="16"/>
      <c r="FGK50" s="16"/>
      <c r="FGL50" s="16"/>
      <c r="FGM50" s="16"/>
      <c r="FGN50" s="16"/>
      <c r="FGO50" s="16"/>
      <c r="FGP50" s="16"/>
      <c r="FGQ50" s="16"/>
      <c r="FGR50" s="16"/>
      <c r="FGS50" s="16"/>
      <c r="FGT50" s="16"/>
      <c r="FGU50" s="16"/>
      <c r="FGV50" s="16"/>
      <c r="FGW50" s="16"/>
      <c r="FGX50" s="16"/>
      <c r="FGY50" s="16"/>
      <c r="FGZ50" s="16"/>
      <c r="FHA50" s="16"/>
      <c r="FHB50" s="16"/>
      <c r="FHC50" s="16"/>
      <c r="FHD50" s="16"/>
      <c r="FHE50" s="16"/>
      <c r="FHF50" s="16"/>
      <c r="FHG50" s="16"/>
      <c r="FHH50" s="16"/>
      <c r="FHI50" s="16"/>
      <c r="FHJ50" s="16"/>
      <c r="FHK50" s="16"/>
      <c r="FHL50" s="16"/>
      <c r="FHM50" s="16"/>
      <c r="FHN50" s="16"/>
      <c r="FHO50" s="16"/>
      <c r="FHP50" s="16"/>
      <c r="FHQ50" s="16"/>
      <c r="FHR50" s="16"/>
      <c r="FHS50" s="16"/>
      <c r="FHT50" s="16"/>
      <c r="FHU50" s="16"/>
      <c r="FHV50" s="16"/>
      <c r="FHW50" s="16"/>
      <c r="FHX50" s="16"/>
      <c r="FHY50" s="16"/>
      <c r="FHZ50" s="16"/>
      <c r="FIA50" s="16"/>
      <c r="FIB50" s="16"/>
      <c r="FIC50" s="16"/>
      <c r="FID50" s="16"/>
      <c r="FIE50" s="16"/>
      <c r="FIF50" s="16"/>
      <c r="FIG50" s="16"/>
      <c r="FIH50" s="16"/>
      <c r="FII50" s="16"/>
      <c r="FIJ50" s="16"/>
      <c r="FIK50" s="16"/>
      <c r="FIL50" s="16"/>
      <c r="FIM50" s="16"/>
      <c r="FIN50" s="16"/>
      <c r="FIO50" s="16"/>
      <c r="FIP50" s="16"/>
      <c r="FIQ50" s="16"/>
      <c r="FIR50" s="16"/>
      <c r="FIS50" s="16"/>
      <c r="FIT50" s="16"/>
      <c r="FIU50" s="16"/>
      <c r="FIV50" s="16"/>
      <c r="FIW50" s="16"/>
      <c r="FIX50" s="16"/>
      <c r="FIY50" s="16"/>
      <c r="FIZ50" s="16"/>
      <c r="FJA50" s="16"/>
      <c r="FJB50" s="16"/>
      <c r="FJC50" s="16"/>
      <c r="FJD50" s="16"/>
      <c r="FJE50" s="16"/>
      <c r="FJF50" s="16"/>
      <c r="FJG50" s="16"/>
      <c r="FJH50" s="16"/>
      <c r="FJI50" s="16"/>
      <c r="FJJ50" s="16"/>
      <c r="FJK50" s="16"/>
      <c r="FJL50" s="16"/>
      <c r="FJM50" s="16"/>
      <c r="FJN50" s="16"/>
      <c r="FJO50" s="16"/>
      <c r="FJP50" s="16"/>
      <c r="FJQ50" s="16"/>
      <c r="FJR50" s="16"/>
      <c r="FJS50" s="16"/>
      <c r="FJT50" s="16"/>
      <c r="FJU50" s="16"/>
      <c r="FJV50" s="16"/>
      <c r="FJW50" s="16"/>
      <c r="FJX50" s="16"/>
      <c r="FJY50" s="16"/>
      <c r="FJZ50" s="16"/>
      <c r="FKA50" s="16"/>
      <c r="FKB50" s="16"/>
      <c r="FKC50" s="16"/>
      <c r="FKD50" s="16"/>
      <c r="FKE50" s="16"/>
      <c r="FKF50" s="16"/>
      <c r="FKG50" s="16"/>
      <c r="FKH50" s="16"/>
      <c r="FKI50" s="16"/>
      <c r="FKJ50" s="16"/>
      <c r="FKK50" s="16"/>
      <c r="FKL50" s="16"/>
      <c r="FKM50" s="16"/>
      <c r="FKN50" s="16"/>
      <c r="FKO50" s="16"/>
      <c r="FKP50" s="16"/>
      <c r="FKQ50" s="16"/>
      <c r="FKR50" s="16"/>
      <c r="FKS50" s="16"/>
      <c r="FKT50" s="16"/>
      <c r="FKU50" s="16"/>
      <c r="FKV50" s="16"/>
      <c r="FKW50" s="16"/>
      <c r="FKX50" s="16"/>
      <c r="FKY50" s="16"/>
      <c r="FKZ50" s="16"/>
      <c r="FLA50" s="16"/>
      <c r="FLB50" s="16"/>
      <c r="FLC50" s="16"/>
      <c r="FLD50" s="16"/>
      <c r="FLE50" s="16"/>
      <c r="FLF50" s="16"/>
      <c r="FLG50" s="16"/>
      <c r="FLH50" s="16"/>
      <c r="FLI50" s="16"/>
      <c r="FLJ50" s="16"/>
      <c r="FLK50" s="16"/>
      <c r="FLL50" s="16"/>
      <c r="FLM50" s="16"/>
      <c r="FLN50" s="16"/>
      <c r="FLO50" s="16"/>
      <c r="FLP50" s="16"/>
      <c r="FLQ50" s="16"/>
      <c r="FLR50" s="16"/>
      <c r="FLS50" s="16"/>
      <c r="FLT50" s="16"/>
      <c r="FLU50" s="16"/>
      <c r="FLV50" s="16"/>
      <c r="FLW50" s="16"/>
      <c r="FLX50" s="16"/>
      <c r="FLY50" s="16"/>
      <c r="FLZ50" s="16"/>
      <c r="FMA50" s="16"/>
      <c r="FMB50" s="16"/>
      <c r="FMC50" s="16"/>
      <c r="FMD50" s="16"/>
      <c r="FME50" s="16"/>
      <c r="FMF50" s="16"/>
      <c r="FMG50" s="16"/>
      <c r="FMH50" s="16"/>
      <c r="FMI50" s="16"/>
      <c r="FMJ50" s="16"/>
      <c r="FMK50" s="16"/>
      <c r="FML50" s="16"/>
      <c r="FMM50" s="16"/>
      <c r="FMN50" s="16"/>
      <c r="FMO50" s="16"/>
      <c r="FMP50" s="16"/>
      <c r="FMQ50" s="16"/>
      <c r="FMR50" s="16"/>
      <c r="FMS50" s="16"/>
      <c r="FMT50" s="16"/>
      <c r="FMU50" s="16"/>
      <c r="FMV50" s="16"/>
      <c r="FMW50" s="16"/>
      <c r="FMX50" s="16"/>
      <c r="FMY50" s="16"/>
      <c r="FMZ50" s="16"/>
      <c r="FNA50" s="16"/>
      <c r="FNB50" s="16"/>
      <c r="FNC50" s="16"/>
      <c r="FND50" s="16"/>
      <c r="FNE50" s="16"/>
      <c r="FNF50" s="16"/>
      <c r="FNG50" s="16"/>
      <c r="FNH50" s="16"/>
      <c r="FNI50" s="16"/>
      <c r="FNJ50" s="16"/>
      <c r="FNK50" s="16"/>
      <c r="FNL50" s="16"/>
      <c r="FNM50" s="16"/>
      <c r="FNN50" s="16"/>
      <c r="FNO50" s="16"/>
      <c r="FNP50" s="16"/>
      <c r="FNQ50" s="16"/>
      <c r="FNR50" s="16"/>
      <c r="FNS50" s="16"/>
      <c r="FNT50" s="16"/>
      <c r="FNU50" s="16"/>
      <c r="FNV50" s="16"/>
      <c r="FNW50" s="16"/>
      <c r="FNX50" s="16"/>
      <c r="FNY50" s="16"/>
      <c r="FNZ50" s="16"/>
      <c r="FOA50" s="16"/>
      <c r="FOB50" s="16"/>
      <c r="FOC50" s="16"/>
      <c r="FOD50" s="16"/>
      <c r="FOE50" s="16"/>
      <c r="FOF50" s="16"/>
      <c r="FOG50" s="16"/>
      <c r="FOH50" s="16"/>
      <c r="FOI50" s="16"/>
      <c r="FOJ50" s="16"/>
      <c r="FOK50" s="16"/>
      <c r="FOL50" s="16"/>
      <c r="FOM50" s="16"/>
      <c r="FON50" s="16"/>
      <c r="FOO50" s="16"/>
      <c r="FOP50" s="16"/>
      <c r="FOQ50" s="16"/>
      <c r="FOR50" s="16"/>
      <c r="FOS50" s="16"/>
      <c r="FOT50" s="16"/>
      <c r="FOU50" s="16"/>
      <c r="FOV50" s="16"/>
      <c r="FOW50" s="16"/>
      <c r="FOX50" s="16"/>
      <c r="FOY50" s="16"/>
      <c r="FOZ50" s="16"/>
      <c r="FPA50" s="16"/>
      <c r="FPB50" s="16"/>
      <c r="FPC50" s="16"/>
      <c r="FPD50" s="16"/>
      <c r="FPE50" s="16"/>
      <c r="FPF50" s="16"/>
      <c r="FPG50" s="16"/>
      <c r="FPH50" s="16"/>
      <c r="FPI50" s="16"/>
      <c r="FPJ50" s="16"/>
      <c r="FPK50" s="16"/>
      <c r="FPL50" s="16"/>
      <c r="FPM50" s="16"/>
      <c r="FPN50" s="16"/>
      <c r="FPO50" s="16"/>
      <c r="FPP50" s="16"/>
      <c r="FPQ50" s="16"/>
      <c r="FPR50" s="16"/>
      <c r="FPS50" s="16"/>
      <c r="FPT50" s="16"/>
      <c r="FPU50" s="16"/>
      <c r="FPV50" s="16"/>
      <c r="FPW50" s="16"/>
      <c r="FPX50" s="16"/>
      <c r="FPY50" s="16"/>
      <c r="FPZ50" s="16"/>
      <c r="FQA50" s="16"/>
      <c r="FQB50" s="16"/>
      <c r="FQC50" s="16"/>
      <c r="FQD50" s="16"/>
      <c r="FQE50" s="16"/>
      <c r="FQF50" s="16"/>
      <c r="FQG50" s="16"/>
      <c r="FQH50" s="16"/>
      <c r="FQI50" s="16"/>
      <c r="FQJ50" s="16"/>
      <c r="FQK50" s="16"/>
      <c r="FQL50" s="16"/>
      <c r="FQM50" s="16"/>
      <c r="FQN50" s="16"/>
      <c r="FQO50" s="16"/>
      <c r="FQP50" s="16"/>
      <c r="FQQ50" s="16"/>
      <c r="FQR50" s="16"/>
      <c r="FQS50" s="16"/>
      <c r="FQT50" s="16"/>
      <c r="FQU50" s="16"/>
      <c r="FQV50" s="16"/>
      <c r="FQW50" s="16"/>
      <c r="FQX50" s="16"/>
      <c r="FQY50" s="16"/>
      <c r="FQZ50" s="16"/>
      <c r="FRA50" s="16"/>
      <c r="FRB50" s="16"/>
      <c r="FRC50" s="16"/>
      <c r="FRD50" s="16"/>
      <c r="FRE50" s="16"/>
      <c r="FRF50" s="16"/>
      <c r="FRG50" s="16"/>
      <c r="FRH50" s="16"/>
      <c r="FRI50" s="16"/>
      <c r="FRJ50" s="16"/>
      <c r="FRK50" s="16"/>
      <c r="FRL50" s="16"/>
      <c r="FRM50" s="16"/>
      <c r="FRN50" s="16"/>
      <c r="FRO50" s="16"/>
      <c r="FRP50" s="16"/>
      <c r="FRQ50" s="16"/>
      <c r="FRR50" s="16"/>
      <c r="FRS50" s="16"/>
      <c r="FRT50" s="16"/>
      <c r="FRU50" s="16"/>
      <c r="FRV50" s="16"/>
      <c r="FRW50" s="16"/>
      <c r="FRX50" s="16"/>
      <c r="FRY50" s="16"/>
      <c r="FRZ50" s="16"/>
      <c r="FSA50" s="16"/>
      <c r="FSB50" s="16"/>
      <c r="FSC50" s="16"/>
      <c r="FSD50" s="16"/>
      <c r="FSE50" s="16"/>
      <c r="FSF50" s="16"/>
      <c r="FSG50" s="16"/>
      <c r="FSH50" s="16"/>
      <c r="FSI50" s="16"/>
      <c r="FSJ50" s="16"/>
      <c r="FSK50" s="16"/>
      <c r="FSL50" s="16"/>
      <c r="FSM50" s="16"/>
      <c r="FSN50" s="16"/>
      <c r="FSO50" s="16"/>
      <c r="FSP50" s="16"/>
      <c r="FSQ50" s="16"/>
      <c r="FSR50" s="16"/>
      <c r="FSS50" s="16"/>
      <c r="FST50" s="16"/>
      <c r="FSU50" s="16"/>
      <c r="FSV50" s="16"/>
      <c r="FSW50" s="16"/>
      <c r="FSX50" s="16"/>
      <c r="FSY50" s="16"/>
      <c r="FSZ50" s="16"/>
      <c r="FTA50" s="16"/>
      <c r="FTB50" s="16"/>
      <c r="FTC50" s="16"/>
      <c r="FTD50" s="16"/>
      <c r="FTE50" s="16"/>
      <c r="FTF50" s="16"/>
      <c r="FTG50" s="16"/>
      <c r="FTH50" s="16"/>
      <c r="FTI50" s="16"/>
      <c r="FTJ50" s="16"/>
      <c r="FTK50" s="16"/>
      <c r="FTL50" s="16"/>
      <c r="FTM50" s="16"/>
      <c r="FTN50" s="16"/>
      <c r="FTO50" s="16"/>
      <c r="FTP50" s="16"/>
      <c r="FTQ50" s="16"/>
      <c r="FTR50" s="16"/>
      <c r="FTS50" s="16"/>
      <c r="FTT50" s="16"/>
      <c r="FTU50" s="16"/>
      <c r="FTV50" s="16"/>
      <c r="FTW50" s="16"/>
      <c r="FTX50" s="16"/>
      <c r="FTY50" s="16"/>
      <c r="FTZ50" s="16"/>
      <c r="FUA50" s="16"/>
      <c r="FUB50" s="16"/>
      <c r="FUC50" s="16"/>
      <c r="FUD50" s="16"/>
      <c r="FUE50" s="16"/>
      <c r="FUF50" s="16"/>
      <c r="FUG50" s="16"/>
      <c r="FUH50" s="16"/>
      <c r="FUI50" s="16"/>
      <c r="FUJ50" s="16"/>
      <c r="FUK50" s="16"/>
      <c r="FUL50" s="16"/>
      <c r="FUM50" s="16"/>
      <c r="FUN50" s="16"/>
      <c r="FUO50" s="16"/>
      <c r="FUP50" s="16"/>
      <c r="FUQ50" s="16"/>
      <c r="FUR50" s="16"/>
      <c r="FUS50" s="16"/>
      <c r="FUT50" s="16"/>
      <c r="FUU50" s="16"/>
      <c r="FUV50" s="16"/>
      <c r="FUW50" s="16"/>
      <c r="FUX50" s="16"/>
      <c r="FUY50" s="16"/>
      <c r="FUZ50" s="16"/>
      <c r="FVA50" s="16"/>
      <c r="FVB50" s="16"/>
      <c r="FVC50" s="16"/>
      <c r="FVD50" s="16"/>
      <c r="FVE50" s="16"/>
      <c r="FVF50" s="16"/>
      <c r="FVG50" s="16"/>
      <c r="FVH50" s="16"/>
      <c r="FVI50" s="16"/>
      <c r="FVJ50" s="16"/>
      <c r="FVK50" s="16"/>
      <c r="FVL50" s="16"/>
      <c r="FVM50" s="16"/>
      <c r="FVN50" s="16"/>
      <c r="FVO50" s="16"/>
      <c r="FVP50" s="16"/>
      <c r="FVQ50" s="16"/>
      <c r="FVR50" s="16"/>
      <c r="FVS50" s="16"/>
      <c r="FVT50" s="16"/>
      <c r="FVU50" s="16"/>
      <c r="FVV50" s="16"/>
      <c r="FVW50" s="16"/>
      <c r="FVX50" s="16"/>
      <c r="FVY50" s="16"/>
      <c r="FVZ50" s="16"/>
      <c r="FWA50" s="16"/>
      <c r="FWB50" s="16"/>
      <c r="FWC50" s="16"/>
      <c r="FWD50" s="16"/>
      <c r="FWE50" s="16"/>
      <c r="FWF50" s="16"/>
      <c r="FWG50" s="16"/>
      <c r="FWH50" s="16"/>
      <c r="FWI50" s="16"/>
      <c r="FWJ50" s="16"/>
      <c r="FWK50" s="16"/>
      <c r="FWL50" s="16"/>
      <c r="FWM50" s="16"/>
      <c r="FWN50" s="16"/>
      <c r="FWO50" s="16"/>
      <c r="FWP50" s="16"/>
      <c r="FWQ50" s="16"/>
      <c r="FWR50" s="16"/>
      <c r="FWS50" s="16"/>
      <c r="FWT50" s="16"/>
      <c r="FWU50" s="16"/>
      <c r="FWV50" s="16"/>
      <c r="FWW50" s="16"/>
      <c r="FWX50" s="16"/>
      <c r="FWY50" s="16"/>
      <c r="FWZ50" s="16"/>
      <c r="FXA50" s="16"/>
      <c r="FXB50" s="16"/>
      <c r="FXC50" s="16"/>
      <c r="FXD50" s="16"/>
      <c r="FXE50" s="16"/>
      <c r="FXF50" s="16"/>
      <c r="FXG50" s="16"/>
      <c r="FXH50" s="16"/>
      <c r="FXI50" s="16"/>
      <c r="FXJ50" s="16"/>
      <c r="FXK50" s="16"/>
      <c r="FXL50" s="16"/>
      <c r="FXM50" s="16"/>
      <c r="FXN50" s="16"/>
      <c r="FXO50" s="16"/>
      <c r="FXP50" s="16"/>
      <c r="FXQ50" s="16"/>
      <c r="FXR50" s="16"/>
      <c r="FXS50" s="16"/>
      <c r="FXT50" s="16"/>
      <c r="FXU50" s="16"/>
      <c r="FXV50" s="16"/>
      <c r="FXW50" s="16"/>
      <c r="FXX50" s="16"/>
      <c r="FXY50" s="16"/>
      <c r="FXZ50" s="16"/>
      <c r="FYA50" s="16"/>
      <c r="FYB50" s="16"/>
      <c r="FYC50" s="16"/>
      <c r="FYD50" s="16"/>
      <c r="FYE50" s="16"/>
      <c r="FYF50" s="16"/>
      <c r="FYG50" s="16"/>
      <c r="FYH50" s="16"/>
      <c r="FYI50" s="16"/>
      <c r="FYJ50" s="16"/>
      <c r="FYK50" s="16"/>
      <c r="FYL50" s="16"/>
      <c r="FYM50" s="16"/>
      <c r="FYN50" s="16"/>
      <c r="FYO50" s="16"/>
      <c r="FYP50" s="16"/>
      <c r="FYQ50" s="16"/>
      <c r="FYR50" s="16"/>
      <c r="FYS50" s="16"/>
      <c r="FYT50" s="16"/>
      <c r="FYU50" s="16"/>
      <c r="FYV50" s="16"/>
      <c r="FYW50" s="16"/>
      <c r="FYX50" s="16"/>
      <c r="FYY50" s="16"/>
      <c r="FYZ50" s="16"/>
      <c r="FZA50" s="16"/>
      <c r="FZB50" s="16"/>
      <c r="FZC50" s="16"/>
      <c r="FZD50" s="16"/>
      <c r="FZE50" s="16"/>
      <c r="FZF50" s="16"/>
      <c r="FZG50" s="16"/>
      <c r="FZH50" s="16"/>
      <c r="FZI50" s="16"/>
      <c r="FZJ50" s="16"/>
      <c r="FZK50" s="16"/>
      <c r="FZL50" s="16"/>
      <c r="FZM50" s="16"/>
      <c r="FZN50" s="16"/>
      <c r="FZO50" s="16"/>
      <c r="FZP50" s="16"/>
      <c r="FZQ50" s="16"/>
      <c r="FZR50" s="16"/>
      <c r="FZS50" s="16"/>
      <c r="FZT50" s="16"/>
      <c r="FZU50" s="16"/>
      <c r="FZV50" s="16"/>
      <c r="FZW50" s="16"/>
      <c r="FZX50" s="16"/>
      <c r="FZY50" s="16"/>
      <c r="FZZ50" s="16"/>
      <c r="GAA50" s="16"/>
      <c r="GAB50" s="16"/>
      <c r="GAC50" s="16"/>
      <c r="GAD50" s="16"/>
      <c r="GAE50" s="16"/>
      <c r="GAF50" s="16"/>
      <c r="GAG50" s="16"/>
      <c r="GAH50" s="16"/>
      <c r="GAI50" s="16"/>
      <c r="GAJ50" s="16"/>
      <c r="GAK50" s="16"/>
      <c r="GAL50" s="16"/>
      <c r="GAM50" s="16"/>
      <c r="GAN50" s="16"/>
      <c r="GAO50" s="16"/>
      <c r="GAP50" s="16"/>
      <c r="GAQ50" s="16"/>
      <c r="GAR50" s="16"/>
      <c r="GAS50" s="16"/>
      <c r="GAT50" s="16"/>
      <c r="GAU50" s="16"/>
      <c r="GAV50" s="16"/>
      <c r="GAW50" s="16"/>
      <c r="GAX50" s="16"/>
      <c r="GAY50" s="16"/>
      <c r="GAZ50" s="16"/>
      <c r="GBA50" s="16"/>
      <c r="GBB50" s="16"/>
      <c r="GBC50" s="16"/>
      <c r="GBD50" s="16"/>
      <c r="GBE50" s="16"/>
      <c r="GBF50" s="16"/>
      <c r="GBG50" s="16"/>
      <c r="GBH50" s="16"/>
      <c r="GBI50" s="16"/>
      <c r="GBJ50" s="16"/>
      <c r="GBK50" s="16"/>
      <c r="GBL50" s="16"/>
      <c r="GBM50" s="16"/>
      <c r="GBN50" s="16"/>
      <c r="GBO50" s="16"/>
      <c r="GBP50" s="16"/>
      <c r="GBQ50" s="16"/>
      <c r="GBR50" s="16"/>
      <c r="GBS50" s="16"/>
      <c r="GBT50" s="16"/>
      <c r="GBU50" s="16"/>
      <c r="GBV50" s="16"/>
      <c r="GBW50" s="16"/>
      <c r="GBX50" s="16"/>
      <c r="GBY50" s="16"/>
      <c r="GBZ50" s="16"/>
      <c r="GCA50" s="16"/>
      <c r="GCB50" s="16"/>
      <c r="GCC50" s="16"/>
      <c r="GCD50" s="16"/>
      <c r="GCE50" s="16"/>
      <c r="GCF50" s="16"/>
      <c r="GCG50" s="16"/>
      <c r="GCH50" s="16"/>
      <c r="GCI50" s="16"/>
      <c r="GCJ50" s="16"/>
      <c r="GCK50" s="16"/>
      <c r="GCL50" s="16"/>
      <c r="GCM50" s="16"/>
      <c r="GCN50" s="16"/>
      <c r="GCO50" s="16"/>
      <c r="GCP50" s="16"/>
      <c r="GCQ50" s="16"/>
      <c r="GCR50" s="16"/>
      <c r="GCS50" s="16"/>
      <c r="GCT50" s="16"/>
      <c r="GCU50" s="16"/>
      <c r="GCV50" s="16"/>
      <c r="GCW50" s="16"/>
      <c r="GCX50" s="16"/>
      <c r="GCY50" s="16"/>
      <c r="GCZ50" s="16"/>
      <c r="GDA50" s="16"/>
      <c r="GDB50" s="16"/>
      <c r="GDC50" s="16"/>
      <c r="GDD50" s="16"/>
      <c r="GDE50" s="16"/>
      <c r="GDF50" s="16"/>
      <c r="GDG50" s="16"/>
      <c r="GDH50" s="16"/>
      <c r="GDI50" s="16"/>
      <c r="GDJ50" s="16"/>
      <c r="GDK50" s="16"/>
      <c r="GDL50" s="16"/>
      <c r="GDM50" s="16"/>
      <c r="GDN50" s="16"/>
      <c r="GDO50" s="16"/>
      <c r="GDP50" s="16"/>
      <c r="GDQ50" s="16"/>
      <c r="GDR50" s="16"/>
      <c r="GDS50" s="16"/>
      <c r="GDT50" s="16"/>
      <c r="GDU50" s="16"/>
      <c r="GDV50" s="16"/>
      <c r="GDW50" s="16"/>
      <c r="GDX50" s="16"/>
      <c r="GDY50" s="16"/>
      <c r="GDZ50" s="16"/>
      <c r="GEA50" s="16"/>
      <c r="GEB50" s="16"/>
      <c r="GEC50" s="16"/>
      <c r="GED50" s="16"/>
      <c r="GEE50" s="16"/>
      <c r="GEF50" s="16"/>
      <c r="GEG50" s="16"/>
      <c r="GEH50" s="16"/>
      <c r="GEI50" s="16"/>
      <c r="GEJ50" s="16"/>
      <c r="GEK50" s="16"/>
      <c r="GEL50" s="16"/>
      <c r="GEM50" s="16"/>
      <c r="GEN50" s="16"/>
      <c r="GEO50" s="16"/>
      <c r="GEP50" s="16"/>
      <c r="GEQ50" s="16"/>
      <c r="GER50" s="16"/>
      <c r="GES50" s="16"/>
      <c r="GET50" s="16"/>
      <c r="GEU50" s="16"/>
      <c r="GEV50" s="16"/>
      <c r="GEW50" s="16"/>
      <c r="GEX50" s="16"/>
      <c r="GEY50" s="16"/>
      <c r="GEZ50" s="16"/>
      <c r="GFA50" s="16"/>
      <c r="GFB50" s="16"/>
      <c r="GFC50" s="16"/>
      <c r="GFD50" s="16"/>
      <c r="GFE50" s="16"/>
      <c r="GFF50" s="16"/>
      <c r="GFG50" s="16"/>
      <c r="GFH50" s="16"/>
      <c r="GFI50" s="16"/>
      <c r="GFJ50" s="16"/>
      <c r="GFK50" s="16"/>
      <c r="GFL50" s="16"/>
      <c r="GFM50" s="16"/>
      <c r="GFN50" s="16"/>
      <c r="GFO50" s="16"/>
      <c r="GFP50" s="16"/>
      <c r="GFQ50" s="16"/>
      <c r="GFR50" s="16"/>
      <c r="GFS50" s="16"/>
      <c r="GFT50" s="16"/>
      <c r="GFU50" s="16"/>
      <c r="GFV50" s="16"/>
      <c r="GFW50" s="16"/>
      <c r="GFX50" s="16"/>
      <c r="GFY50" s="16"/>
      <c r="GFZ50" s="16"/>
      <c r="GGA50" s="16"/>
      <c r="GGB50" s="16"/>
      <c r="GGC50" s="16"/>
      <c r="GGD50" s="16"/>
      <c r="GGE50" s="16"/>
      <c r="GGF50" s="16"/>
      <c r="GGG50" s="16"/>
      <c r="GGH50" s="16"/>
      <c r="GGI50" s="16"/>
      <c r="GGJ50" s="16"/>
      <c r="GGK50" s="16"/>
      <c r="GGL50" s="16"/>
      <c r="GGM50" s="16"/>
      <c r="GGN50" s="16"/>
      <c r="GGO50" s="16"/>
      <c r="GGP50" s="16"/>
      <c r="GGQ50" s="16"/>
      <c r="GGR50" s="16"/>
      <c r="GGS50" s="16"/>
      <c r="GGT50" s="16"/>
      <c r="GGU50" s="16"/>
      <c r="GGV50" s="16"/>
      <c r="GGW50" s="16"/>
      <c r="GGX50" s="16"/>
      <c r="GGY50" s="16"/>
      <c r="GGZ50" s="16"/>
      <c r="GHA50" s="16"/>
      <c r="GHB50" s="16"/>
      <c r="GHC50" s="16"/>
      <c r="GHD50" s="16"/>
      <c r="GHE50" s="16"/>
      <c r="GHF50" s="16"/>
      <c r="GHG50" s="16"/>
      <c r="GHH50" s="16"/>
      <c r="GHI50" s="16"/>
      <c r="GHJ50" s="16"/>
      <c r="GHK50" s="16"/>
      <c r="GHL50" s="16"/>
      <c r="GHM50" s="16"/>
      <c r="GHN50" s="16"/>
      <c r="GHO50" s="16"/>
      <c r="GHP50" s="16"/>
      <c r="GHQ50" s="16"/>
      <c r="GHR50" s="16"/>
      <c r="GHS50" s="16"/>
      <c r="GHT50" s="16"/>
      <c r="GHU50" s="16"/>
      <c r="GHV50" s="16"/>
      <c r="GHW50" s="16"/>
      <c r="GHX50" s="16"/>
      <c r="GHY50" s="16"/>
      <c r="GHZ50" s="16"/>
      <c r="GIA50" s="16"/>
      <c r="GIB50" s="16"/>
      <c r="GIC50" s="16"/>
      <c r="GID50" s="16"/>
      <c r="GIE50" s="16"/>
      <c r="GIF50" s="16"/>
      <c r="GIG50" s="16"/>
      <c r="GIH50" s="16"/>
      <c r="GII50" s="16"/>
      <c r="GIJ50" s="16"/>
      <c r="GIK50" s="16"/>
      <c r="GIL50" s="16"/>
      <c r="GIM50" s="16"/>
      <c r="GIN50" s="16"/>
      <c r="GIO50" s="16"/>
      <c r="GIP50" s="16"/>
      <c r="GIQ50" s="16"/>
      <c r="GIR50" s="16"/>
      <c r="GIS50" s="16"/>
      <c r="GIT50" s="16"/>
      <c r="GIU50" s="16"/>
      <c r="GIV50" s="16"/>
      <c r="GIW50" s="16"/>
      <c r="GIX50" s="16"/>
      <c r="GIY50" s="16"/>
      <c r="GIZ50" s="16"/>
      <c r="GJA50" s="16"/>
      <c r="GJB50" s="16"/>
      <c r="GJC50" s="16"/>
      <c r="GJD50" s="16"/>
      <c r="GJE50" s="16"/>
      <c r="GJF50" s="16"/>
      <c r="GJG50" s="16"/>
      <c r="GJH50" s="16"/>
      <c r="GJI50" s="16"/>
      <c r="GJJ50" s="16"/>
      <c r="GJK50" s="16"/>
      <c r="GJL50" s="16"/>
      <c r="GJM50" s="16"/>
      <c r="GJN50" s="16"/>
      <c r="GJO50" s="16"/>
      <c r="GJP50" s="16"/>
      <c r="GJQ50" s="16"/>
      <c r="GJR50" s="16"/>
      <c r="GJS50" s="16"/>
      <c r="GJT50" s="16"/>
      <c r="GJU50" s="16"/>
      <c r="GJV50" s="16"/>
      <c r="GJW50" s="16"/>
      <c r="GJX50" s="16"/>
      <c r="GJY50" s="16"/>
      <c r="GJZ50" s="16"/>
      <c r="GKA50" s="16"/>
      <c r="GKB50" s="16"/>
      <c r="GKC50" s="16"/>
      <c r="GKD50" s="16"/>
      <c r="GKE50" s="16"/>
      <c r="GKF50" s="16"/>
      <c r="GKG50" s="16"/>
      <c r="GKH50" s="16"/>
      <c r="GKI50" s="16"/>
      <c r="GKJ50" s="16"/>
      <c r="GKK50" s="16"/>
      <c r="GKL50" s="16"/>
      <c r="GKM50" s="16"/>
      <c r="GKN50" s="16"/>
      <c r="GKO50" s="16"/>
      <c r="GKP50" s="16"/>
      <c r="GKQ50" s="16"/>
      <c r="GKR50" s="16"/>
      <c r="GKS50" s="16"/>
      <c r="GKT50" s="16"/>
      <c r="GKU50" s="16"/>
      <c r="GKV50" s="16"/>
      <c r="GKW50" s="16"/>
      <c r="GKX50" s="16"/>
      <c r="GKY50" s="16"/>
      <c r="GKZ50" s="16"/>
      <c r="GLA50" s="16"/>
      <c r="GLB50" s="16"/>
      <c r="GLC50" s="16"/>
      <c r="GLD50" s="16"/>
      <c r="GLE50" s="16"/>
      <c r="GLF50" s="16"/>
      <c r="GLG50" s="16"/>
      <c r="GLH50" s="16"/>
      <c r="GLI50" s="16"/>
      <c r="GLJ50" s="16"/>
      <c r="GLK50" s="16"/>
      <c r="GLL50" s="16"/>
      <c r="GLM50" s="16"/>
      <c r="GLN50" s="16"/>
      <c r="GLO50" s="16"/>
      <c r="GLP50" s="16"/>
      <c r="GLQ50" s="16"/>
      <c r="GLR50" s="16"/>
      <c r="GLS50" s="16"/>
      <c r="GLT50" s="16"/>
      <c r="GLU50" s="16"/>
      <c r="GLV50" s="16"/>
      <c r="GLW50" s="16"/>
      <c r="GLX50" s="16"/>
      <c r="GLY50" s="16"/>
      <c r="GLZ50" s="16"/>
      <c r="GMA50" s="16"/>
      <c r="GMB50" s="16"/>
      <c r="GMC50" s="16"/>
      <c r="GMD50" s="16"/>
      <c r="GME50" s="16"/>
      <c r="GMF50" s="16"/>
      <c r="GMG50" s="16"/>
      <c r="GMH50" s="16"/>
      <c r="GMI50" s="16"/>
      <c r="GMJ50" s="16"/>
      <c r="GMK50" s="16"/>
      <c r="GML50" s="16"/>
      <c r="GMM50" s="16"/>
      <c r="GMN50" s="16"/>
      <c r="GMO50" s="16"/>
      <c r="GMP50" s="16"/>
      <c r="GMQ50" s="16"/>
      <c r="GMR50" s="16"/>
      <c r="GMS50" s="16"/>
      <c r="GMT50" s="16"/>
      <c r="GMU50" s="16"/>
      <c r="GMV50" s="16"/>
      <c r="GMW50" s="16"/>
      <c r="GMX50" s="16"/>
      <c r="GMY50" s="16"/>
      <c r="GMZ50" s="16"/>
      <c r="GNA50" s="16"/>
      <c r="GNB50" s="16"/>
      <c r="GNC50" s="16"/>
      <c r="GND50" s="16"/>
      <c r="GNE50" s="16"/>
      <c r="GNF50" s="16"/>
      <c r="GNG50" s="16"/>
      <c r="GNH50" s="16"/>
      <c r="GNI50" s="16"/>
      <c r="GNJ50" s="16"/>
      <c r="GNK50" s="16"/>
      <c r="GNL50" s="16"/>
      <c r="GNM50" s="16"/>
      <c r="GNN50" s="16"/>
      <c r="GNO50" s="16"/>
      <c r="GNP50" s="16"/>
      <c r="GNQ50" s="16"/>
      <c r="GNR50" s="16"/>
      <c r="GNS50" s="16"/>
      <c r="GNT50" s="16"/>
      <c r="GNU50" s="16"/>
      <c r="GNV50" s="16"/>
      <c r="GNW50" s="16"/>
      <c r="GNX50" s="16"/>
      <c r="GNY50" s="16"/>
      <c r="GNZ50" s="16"/>
      <c r="GOA50" s="16"/>
      <c r="GOB50" s="16"/>
      <c r="GOC50" s="16"/>
      <c r="GOD50" s="16"/>
      <c r="GOE50" s="16"/>
      <c r="GOF50" s="16"/>
      <c r="GOG50" s="16"/>
      <c r="GOH50" s="16"/>
      <c r="GOI50" s="16"/>
      <c r="GOJ50" s="16"/>
      <c r="GOK50" s="16"/>
      <c r="GOL50" s="16"/>
      <c r="GOM50" s="16"/>
      <c r="GON50" s="16"/>
      <c r="GOO50" s="16"/>
      <c r="GOP50" s="16"/>
      <c r="GOQ50" s="16"/>
      <c r="GOR50" s="16"/>
      <c r="GOS50" s="16"/>
      <c r="GOT50" s="16"/>
      <c r="GOU50" s="16"/>
      <c r="GOV50" s="16"/>
      <c r="GOW50" s="16"/>
      <c r="GOX50" s="16"/>
      <c r="GOY50" s="16"/>
      <c r="GOZ50" s="16"/>
      <c r="GPA50" s="16"/>
      <c r="GPB50" s="16"/>
      <c r="GPC50" s="16"/>
      <c r="GPD50" s="16"/>
      <c r="GPE50" s="16"/>
      <c r="GPF50" s="16"/>
      <c r="GPG50" s="16"/>
      <c r="GPH50" s="16"/>
      <c r="GPI50" s="16"/>
      <c r="GPJ50" s="16"/>
      <c r="GPK50" s="16"/>
      <c r="GPL50" s="16"/>
      <c r="GPM50" s="16"/>
      <c r="GPN50" s="16"/>
      <c r="GPO50" s="16"/>
      <c r="GPP50" s="16"/>
      <c r="GPQ50" s="16"/>
      <c r="GPR50" s="16"/>
      <c r="GPS50" s="16"/>
      <c r="GPT50" s="16"/>
      <c r="GPU50" s="16"/>
      <c r="GPV50" s="16"/>
      <c r="GPW50" s="16"/>
      <c r="GPX50" s="16"/>
      <c r="GPY50" s="16"/>
      <c r="GPZ50" s="16"/>
      <c r="GQA50" s="16"/>
      <c r="GQB50" s="16"/>
      <c r="GQC50" s="16"/>
      <c r="GQD50" s="16"/>
      <c r="GQE50" s="16"/>
      <c r="GQF50" s="16"/>
      <c r="GQG50" s="16"/>
      <c r="GQH50" s="16"/>
      <c r="GQI50" s="16"/>
      <c r="GQJ50" s="16"/>
      <c r="GQK50" s="16"/>
      <c r="GQL50" s="16"/>
      <c r="GQM50" s="16"/>
      <c r="GQN50" s="16"/>
      <c r="GQO50" s="16"/>
      <c r="GQP50" s="16"/>
      <c r="GQQ50" s="16"/>
      <c r="GQR50" s="16"/>
      <c r="GQS50" s="16"/>
      <c r="GQT50" s="16"/>
      <c r="GQU50" s="16"/>
      <c r="GQV50" s="16"/>
      <c r="GQW50" s="16"/>
      <c r="GQX50" s="16"/>
      <c r="GQY50" s="16"/>
      <c r="GQZ50" s="16"/>
      <c r="GRA50" s="16"/>
      <c r="GRB50" s="16"/>
      <c r="GRC50" s="16"/>
      <c r="GRD50" s="16"/>
      <c r="GRE50" s="16"/>
      <c r="GRF50" s="16"/>
      <c r="GRG50" s="16"/>
      <c r="GRH50" s="16"/>
      <c r="GRI50" s="16"/>
      <c r="GRJ50" s="16"/>
      <c r="GRK50" s="16"/>
      <c r="GRL50" s="16"/>
      <c r="GRM50" s="16"/>
      <c r="GRN50" s="16"/>
      <c r="GRO50" s="16"/>
      <c r="GRP50" s="16"/>
      <c r="GRQ50" s="16"/>
      <c r="GRR50" s="16"/>
      <c r="GRS50" s="16"/>
      <c r="GRT50" s="16"/>
      <c r="GRU50" s="16"/>
      <c r="GRV50" s="16"/>
      <c r="GRW50" s="16"/>
      <c r="GRX50" s="16"/>
      <c r="GRY50" s="16"/>
      <c r="GRZ50" s="16"/>
      <c r="GSA50" s="16"/>
      <c r="GSB50" s="16"/>
      <c r="GSC50" s="16"/>
      <c r="GSD50" s="16"/>
      <c r="GSE50" s="16"/>
      <c r="GSF50" s="16"/>
      <c r="GSG50" s="16"/>
      <c r="GSH50" s="16"/>
      <c r="GSI50" s="16"/>
      <c r="GSJ50" s="16"/>
      <c r="GSK50" s="16"/>
      <c r="GSL50" s="16"/>
      <c r="GSM50" s="16"/>
      <c r="GSN50" s="16"/>
      <c r="GSO50" s="16"/>
      <c r="GSP50" s="16"/>
      <c r="GSQ50" s="16"/>
      <c r="GSR50" s="16"/>
      <c r="GSS50" s="16"/>
      <c r="GST50" s="16"/>
      <c r="GSU50" s="16"/>
      <c r="GSV50" s="16"/>
      <c r="GSW50" s="16"/>
      <c r="GSX50" s="16"/>
      <c r="GSY50" s="16"/>
      <c r="GSZ50" s="16"/>
      <c r="GTA50" s="16"/>
      <c r="GTB50" s="16"/>
      <c r="GTC50" s="16"/>
      <c r="GTD50" s="16"/>
      <c r="GTE50" s="16"/>
      <c r="GTF50" s="16"/>
      <c r="GTG50" s="16"/>
      <c r="GTH50" s="16"/>
      <c r="GTI50" s="16"/>
      <c r="GTJ50" s="16"/>
      <c r="GTK50" s="16"/>
      <c r="GTL50" s="16"/>
      <c r="GTM50" s="16"/>
      <c r="GTN50" s="16"/>
      <c r="GTO50" s="16"/>
      <c r="GTP50" s="16"/>
      <c r="GTQ50" s="16"/>
      <c r="GTR50" s="16"/>
      <c r="GTS50" s="16"/>
      <c r="GTT50" s="16"/>
      <c r="GTU50" s="16"/>
      <c r="GTV50" s="16"/>
      <c r="GTW50" s="16"/>
      <c r="GTX50" s="16"/>
      <c r="GTY50" s="16"/>
      <c r="GTZ50" s="16"/>
      <c r="GUA50" s="16"/>
      <c r="GUB50" s="16"/>
      <c r="GUC50" s="16"/>
      <c r="GUD50" s="16"/>
      <c r="GUE50" s="16"/>
      <c r="GUF50" s="16"/>
      <c r="GUG50" s="16"/>
      <c r="GUH50" s="16"/>
      <c r="GUI50" s="16"/>
      <c r="GUJ50" s="16"/>
      <c r="GUK50" s="16"/>
      <c r="GUL50" s="16"/>
      <c r="GUM50" s="16"/>
      <c r="GUN50" s="16"/>
      <c r="GUO50" s="16"/>
      <c r="GUP50" s="16"/>
      <c r="GUQ50" s="16"/>
      <c r="GUR50" s="16"/>
      <c r="GUS50" s="16"/>
      <c r="GUT50" s="16"/>
      <c r="GUU50" s="16"/>
      <c r="GUV50" s="16"/>
      <c r="GUW50" s="16"/>
      <c r="GUX50" s="16"/>
      <c r="GUY50" s="16"/>
      <c r="GUZ50" s="16"/>
      <c r="GVA50" s="16"/>
      <c r="GVB50" s="16"/>
      <c r="GVC50" s="16"/>
      <c r="GVD50" s="16"/>
      <c r="GVE50" s="16"/>
      <c r="GVF50" s="16"/>
      <c r="GVG50" s="16"/>
      <c r="GVH50" s="16"/>
      <c r="GVI50" s="16"/>
      <c r="GVJ50" s="16"/>
      <c r="GVK50" s="16"/>
      <c r="GVL50" s="16"/>
      <c r="GVM50" s="16"/>
      <c r="GVN50" s="16"/>
      <c r="GVO50" s="16"/>
      <c r="GVP50" s="16"/>
      <c r="GVQ50" s="16"/>
      <c r="GVR50" s="16"/>
      <c r="GVS50" s="16"/>
      <c r="GVT50" s="16"/>
      <c r="GVU50" s="16"/>
      <c r="GVV50" s="16"/>
      <c r="GVW50" s="16"/>
      <c r="GVX50" s="16"/>
      <c r="GVY50" s="16"/>
      <c r="GVZ50" s="16"/>
      <c r="GWA50" s="16"/>
      <c r="GWB50" s="16"/>
      <c r="GWC50" s="16"/>
      <c r="GWD50" s="16"/>
      <c r="GWE50" s="16"/>
      <c r="GWF50" s="16"/>
      <c r="GWG50" s="16"/>
      <c r="GWH50" s="16"/>
      <c r="GWI50" s="16"/>
      <c r="GWJ50" s="16"/>
      <c r="GWK50" s="16"/>
      <c r="GWL50" s="16"/>
      <c r="GWM50" s="16"/>
      <c r="GWN50" s="16"/>
      <c r="GWO50" s="16"/>
      <c r="GWP50" s="16"/>
      <c r="GWQ50" s="16"/>
      <c r="GWR50" s="16"/>
      <c r="GWS50" s="16"/>
      <c r="GWT50" s="16"/>
      <c r="GWU50" s="16"/>
      <c r="GWV50" s="16"/>
      <c r="GWW50" s="16"/>
      <c r="GWX50" s="16"/>
      <c r="GWY50" s="16"/>
      <c r="GWZ50" s="16"/>
      <c r="GXA50" s="16"/>
      <c r="GXB50" s="16"/>
      <c r="GXC50" s="16"/>
      <c r="GXD50" s="16"/>
      <c r="GXE50" s="16"/>
      <c r="GXF50" s="16"/>
      <c r="GXG50" s="16"/>
      <c r="GXH50" s="16"/>
      <c r="GXI50" s="16"/>
      <c r="GXJ50" s="16"/>
      <c r="GXK50" s="16"/>
      <c r="GXL50" s="16"/>
      <c r="GXM50" s="16"/>
      <c r="GXN50" s="16"/>
      <c r="GXO50" s="16"/>
      <c r="GXP50" s="16"/>
      <c r="GXQ50" s="16"/>
      <c r="GXR50" s="16"/>
      <c r="GXS50" s="16"/>
      <c r="GXT50" s="16"/>
      <c r="GXU50" s="16"/>
      <c r="GXV50" s="16"/>
      <c r="GXW50" s="16"/>
      <c r="GXX50" s="16"/>
      <c r="GXY50" s="16"/>
      <c r="GXZ50" s="16"/>
      <c r="GYA50" s="16"/>
      <c r="GYB50" s="16"/>
      <c r="GYC50" s="16"/>
      <c r="GYD50" s="16"/>
      <c r="GYE50" s="16"/>
      <c r="GYF50" s="16"/>
      <c r="GYG50" s="16"/>
      <c r="GYH50" s="16"/>
      <c r="GYI50" s="16"/>
      <c r="GYJ50" s="16"/>
      <c r="GYK50" s="16"/>
      <c r="GYL50" s="16"/>
      <c r="GYM50" s="16"/>
      <c r="GYN50" s="16"/>
      <c r="GYO50" s="16"/>
      <c r="GYP50" s="16"/>
      <c r="GYQ50" s="16"/>
      <c r="GYR50" s="16"/>
      <c r="GYS50" s="16"/>
      <c r="GYT50" s="16"/>
      <c r="GYU50" s="16"/>
      <c r="GYV50" s="16"/>
      <c r="GYW50" s="16"/>
      <c r="GYX50" s="16"/>
      <c r="GYY50" s="16"/>
      <c r="GYZ50" s="16"/>
      <c r="GZA50" s="16"/>
      <c r="GZB50" s="16"/>
      <c r="GZC50" s="16"/>
      <c r="GZD50" s="16"/>
      <c r="GZE50" s="16"/>
      <c r="GZF50" s="16"/>
      <c r="GZG50" s="16"/>
      <c r="GZH50" s="16"/>
      <c r="GZI50" s="16"/>
      <c r="GZJ50" s="16"/>
      <c r="GZK50" s="16"/>
      <c r="GZL50" s="16"/>
      <c r="GZM50" s="16"/>
      <c r="GZN50" s="16"/>
      <c r="GZO50" s="16"/>
      <c r="GZP50" s="16"/>
      <c r="GZQ50" s="16"/>
      <c r="GZR50" s="16"/>
      <c r="GZS50" s="16"/>
      <c r="GZT50" s="16"/>
      <c r="GZU50" s="16"/>
      <c r="GZV50" s="16"/>
      <c r="GZW50" s="16"/>
      <c r="GZX50" s="16"/>
      <c r="GZY50" s="16"/>
      <c r="GZZ50" s="16"/>
      <c r="HAA50" s="16"/>
      <c r="HAB50" s="16"/>
      <c r="HAC50" s="16"/>
      <c r="HAD50" s="16"/>
      <c r="HAE50" s="16"/>
      <c r="HAF50" s="16"/>
      <c r="HAG50" s="16"/>
      <c r="HAH50" s="16"/>
      <c r="HAI50" s="16"/>
      <c r="HAJ50" s="16"/>
      <c r="HAK50" s="16"/>
      <c r="HAL50" s="16"/>
      <c r="HAM50" s="16"/>
      <c r="HAN50" s="16"/>
      <c r="HAO50" s="16"/>
      <c r="HAP50" s="16"/>
      <c r="HAQ50" s="16"/>
      <c r="HAR50" s="16"/>
      <c r="HAS50" s="16"/>
      <c r="HAT50" s="16"/>
      <c r="HAU50" s="16"/>
      <c r="HAV50" s="16"/>
      <c r="HAW50" s="16"/>
      <c r="HAX50" s="16"/>
      <c r="HAY50" s="16"/>
      <c r="HAZ50" s="16"/>
      <c r="HBA50" s="16"/>
      <c r="HBB50" s="16"/>
      <c r="HBC50" s="16"/>
      <c r="HBD50" s="16"/>
      <c r="HBE50" s="16"/>
      <c r="HBF50" s="16"/>
      <c r="HBG50" s="16"/>
      <c r="HBH50" s="16"/>
      <c r="HBI50" s="16"/>
      <c r="HBJ50" s="16"/>
      <c r="HBK50" s="16"/>
      <c r="HBL50" s="16"/>
      <c r="HBM50" s="16"/>
      <c r="HBN50" s="16"/>
      <c r="HBO50" s="16"/>
      <c r="HBP50" s="16"/>
      <c r="HBQ50" s="16"/>
      <c r="HBR50" s="16"/>
      <c r="HBS50" s="16"/>
      <c r="HBT50" s="16"/>
      <c r="HBU50" s="16"/>
      <c r="HBV50" s="16"/>
      <c r="HBW50" s="16"/>
      <c r="HBX50" s="16"/>
      <c r="HBY50" s="16"/>
      <c r="HBZ50" s="16"/>
      <c r="HCA50" s="16"/>
      <c r="HCB50" s="16"/>
      <c r="HCC50" s="16"/>
      <c r="HCD50" s="16"/>
      <c r="HCE50" s="16"/>
      <c r="HCF50" s="16"/>
      <c r="HCG50" s="16"/>
      <c r="HCH50" s="16"/>
      <c r="HCI50" s="16"/>
      <c r="HCJ50" s="16"/>
      <c r="HCK50" s="16"/>
      <c r="HCL50" s="16"/>
      <c r="HCM50" s="16"/>
      <c r="HCN50" s="16"/>
      <c r="HCO50" s="16"/>
      <c r="HCP50" s="16"/>
      <c r="HCQ50" s="16"/>
      <c r="HCR50" s="16"/>
      <c r="HCS50" s="16"/>
      <c r="HCT50" s="16"/>
      <c r="HCU50" s="16"/>
      <c r="HCV50" s="16"/>
      <c r="HCW50" s="16"/>
      <c r="HCX50" s="16"/>
      <c r="HCY50" s="16"/>
      <c r="HCZ50" s="16"/>
      <c r="HDA50" s="16"/>
      <c r="HDB50" s="16"/>
      <c r="HDC50" s="16"/>
      <c r="HDD50" s="16"/>
      <c r="HDE50" s="16"/>
      <c r="HDF50" s="16"/>
      <c r="HDG50" s="16"/>
      <c r="HDH50" s="16"/>
      <c r="HDI50" s="16"/>
      <c r="HDJ50" s="16"/>
      <c r="HDK50" s="16"/>
      <c r="HDL50" s="16"/>
      <c r="HDM50" s="16"/>
      <c r="HDN50" s="16"/>
      <c r="HDO50" s="16"/>
      <c r="HDP50" s="16"/>
      <c r="HDQ50" s="16"/>
      <c r="HDR50" s="16"/>
      <c r="HDS50" s="16"/>
      <c r="HDT50" s="16"/>
      <c r="HDU50" s="16"/>
      <c r="HDV50" s="16"/>
      <c r="HDW50" s="16"/>
      <c r="HDX50" s="16"/>
      <c r="HDY50" s="16"/>
      <c r="HDZ50" s="16"/>
      <c r="HEA50" s="16"/>
      <c r="HEB50" s="16"/>
      <c r="HEC50" s="16"/>
      <c r="HED50" s="16"/>
      <c r="HEE50" s="16"/>
      <c r="HEF50" s="16"/>
      <c r="HEG50" s="16"/>
      <c r="HEH50" s="16"/>
      <c r="HEI50" s="16"/>
      <c r="HEJ50" s="16"/>
      <c r="HEK50" s="16"/>
      <c r="HEL50" s="16"/>
      <c r="HEM50" s="16"/>
      <c r="HEN50" s="16"/>
      <c r="HEO50" s="16"/>
      <c r="HEP50" s="16"/>
      <c r="HEQ50" s="16"/>
      <c r="HER50" s="16"/>
      <c r="HES50" s="16"/>
      <c r="HET50" s="16"/>
      <c r="HEU50" s="16"/>
      <c r="HEV50" s="16"/>
      <c r="HEW50" s="16"/>
      <c r="HEX50" s="16"/>
      <c r="HEY50" s="16"/>
      <c r="HEZ50" s="16"/>
      <c r="HFA50" s="16"/>
      <c r="HFB50" s="16"/>
      <c r="HFC50" s="16"/>
      <c r="HFD50" s="16"/>
      <c r="HFE50" s="16"/>
      <c r="HFF50" s="16"/>
      <c r="HFG50" s="16"/>
      <c r="HFH50" s="16"/>
      <c r="HFI50" s="16"/>
      <c r="HFJ50" s="16"/>
      <c r="HFK50" s="16"/>
      <c r="HFL50" s="16"/>
      <c r="HFM50" s="16"/>
      <c r="HFN50" s="16"/>
      <c r="HFO50" s="16"/>
      <c r="HFP50" s="16"/>
      <c r="HFQ50" s="16"/>
      <c r="HFR50" s="16"/>
      <c r="HFS50" s="16"/>
      <c r="HFT50" s="16"/>
      <c r="HFU50" s="16"/>
      <c r="HFV50" s="16"/>
      <c r="HFW50" s="16"/>
      <c r="HFX50" s="16"/>
      <c r="HFY50" s="16"/>
      <c r="HFZ50" s="16"/>
      <c r="HGA50" s="16"/>
      <c r="HGB50" s="16"/>
      <c r="HGC50" s="16"/>
      <c r="HGD50" s="16"/>
      <c r="HGE50" s="16"/>
      <c r="HGF50" s="16"/>
      <c r="HGG50" s="16"/>
      <c r="HGH50" s="16"/>
      <c r="HGI50" s="16"/>
      <c r="HGJ50" s="16"/>
      <c r="HGK50" s="16"/>
      <c r="HGL50" s="16"/>
      <c r="HGM50" s="16"/>
      <c r="HGN50" s="16"/>
      <c r="HGO50" s="16"/>
      <c r="HGP50" s="16"/>
      <c r="HGQ50" s="16"/>
      <c r="HGR50" s="16"/>
      <c r="HGS50" s="16"/>
      <c r="HGT50" s="16"/>
      <c r="HGU50" s="16"/>
      <c r="HGV50" s="16"/>
      <c r="HGW50" s="16"/>
      <c r="HGX50" s="16"/>
      <c r="HGY50" s="16"/>
      <c r="HGZ50" s="16"/>
      <c r="HHA50" s="16"/>
      <c r="HHB50" s="16"/>
      <c r="HHC50" s="16"/>
      <c r="HHD50" s="16"/>
      <c r="HHE50" s="16"/>
      <c r="HHF50" s="16"/>
      <c r="HHG50" s="16"/>
      <c r="HHH50" s="16"/>
      <c r="HHI50" s="16"/>
      <c r="HHJ50" s="16"/>
      <c r="HHK50" s="16"/>
      <c r="HHL50" s="16"/>
      <c r="HHM50" s="16"/>
      <c r="HHN50" s="16"/>
      <c r="HHO50" s="16"/>
      <c r="HHP50" s="16"/>
      <c r="HHQ50" s="16"/>
      <c r="HHR50" s="16"/>
      <c r="HHS50" s="16"/>
      <c r="HHT50" s="16"/>
      <c r="HHU50" s="16"/>
      <c r="HHV50" s="16"/>
      <c r="HHW50" s="16"/>
      <c r="HHX50" s="16"/>
      <c r="HHY50" s="16"/>
      <c r="HHZ50" s="16"/>
      <c r="HIA50" s="16"/>
      <c r="HIB50" s="16"/>
      <c r="HIC50" s="16"/>
      <c r="HID50" s="16"/>
      <c r="HIE50" s="16"/>
      <c r="HIF50" s="16"/>
      <c r="HIG50" s="16"/>
      <c r="HIH50" s="16"/>
      <c r="HII50" s="16"/>
      <c r="HIJ50" s="16"/>
      <c r="HIK50" s="16"/>
      <c r="HIL50" s="16"/>
      <c r="HIM50" s="16"/>
      <c r="HIN50" s="16"/>
      <c r="HIO50" s="16"/>
      <c r="HIP50" s="16"/>
      <c r="HIQ50" s="16"/>
      <c r="HIR50" s="16"/>
      <c r="HIS50" s="16"/>
      <c r="HIT50" s="16"/>
      <c r="HIU50" s="16"/>
      <c r="HIV50" s="16"/>
      <c r="HIW50" s="16"/>
      <c r="HIX50" s="16"/>
      <c r="HIY50" s="16"/>
      <c r="HIZ50" s="16"/>
      <c r="HJA50" s="16"/>
      <c r="HJB50" s="16"/>
      <c r="HJC50" s="16"/>
      <c r="HJD50" s="16"/>
      <c r="HJE50" s="16"/>
      <c r="HJF50" s="16"/>
      <c r="HJG50" s="16"/>
      <c r="HJH50" s="16"/>
      <c r="HJI50" s="16"/>
      <c r="HJJ50" s="16"/>
      <c r="HJK50" s="16"/>
      <c r="HJL50" s="16"/>
      <c r="HJM50" s="16"/>
      <c r="HJN50" s="16"/>
      <c r="HJO50" s="16"/>
      <c r="HJP50" s="16"/>
      <c r="HJQ50" s="16"/>
      <c r="HJR50" s="16"/>
      <c r="HJS50" s="16"/>
      <c r="HJT50" s="16"/>
      <c r="HJU50" s="16"/>
      <c r="HJV50" s="16"/>
      <c r="HJW50" s="16"/>
      <c r="HJX50" s="16"/>
      <c r="HJY50" s="16"/>
      <c r="HJZ50" s="16"/>
      <c r="HKA50" s="16"/>
      <c r="HKB50" s="16"/>
      <c r="HKC50" s="16"/>
      <c r="HKD50" s="16"/>
      <c r="HKE50" s="16"/>
      <c r="HKF50" s="16"/>
      <c r="HKG50" s="16"/>
      <c r="HKH50" s="16"/>
      <c r="HKI50" s="16"/>
      <c r="HKJ50" s="16"/>
      <c r="HKK50" s="16"/>
      <c r="HKL50" s="16"/>
      <c r="HKM50" s="16"/>
      <c r="HKN50" s="16"/>
      <c r="HKO50" s="16"/>
      <c r="HKP50" s="16"/>
      <c r="HKQ50" s="16"/>
      <c r="HKR50" s="16"/>
      <c r="HKS50" s="16"/>
      <c r="HKT50" s="16"/>
      <c r="HKU50" s="16"/>
      <c r="HKV50" s="16"/>
      <c r="HKW50" s="16"/>
      <c r="HKX50" s="16"/>
      <c r="HKY50" s="16"/>
      <c r="HKZ50" s="16"/>
      <c r="HLA50" s="16"/>
      <c r="HLB50" s="16"/>
      <c r="HLC50" s="16"/>
      <c r="HLD50" s="16"/>
      <c r="HLE50" s="16"/>
      <c r="HLF50" s="16"/>
      <c r="HLG50" s="16"/>
      <c r="HLH50" s="16"/>
      <c r="HLI50" s="16"/>
      <c r="HLJ50" s="16"/>
      <c r="HLK50" s="16"/>
      <c r="HLL50" s="16"/>
      <c r="HLM50" s="16"/>
      <c r="HLN50" s="16"/>
      <c r="HLO50" s="16"/>
      <c r="HLP50" s="16"/>
      <c r="HLQ50" s="16"/>
      <c r="HLR50" s="16"/>
      <c r="HLS50" s="16"/>
      <c r="HLT50" s="16"/>
      <c r="HLU50" s="16"/>
      <c r="HLV50" s="16"/>
      <c r="HLW50" s="16"/>
      <c r="HLX50" s="16"/>
      <c r="HLY50" s="16"/>
      <c r="HLZ50" s="16"/>
      <c r="HMA50" s="16"/>
      <c r="HMB50" s="16"/>
      <c r="HMC50" s="16"/>
      <c r="HMD50" s="16"/>
      <c r="HME50" s="16"/>
      <c r="HMF50" s="16"/>
      <c r="HMG50" s="16"/>
      <c r="HMH50" s="16"/>
      <c r="HMI50" s="16"/>
      <c r="HMJ50" s="16"/>
      <c r="HMK50" s="16"/>
      <c r="HML50" s="16"/>
      <c r="HMM50" s="16"/>
      <c r="HMN50" s="16"/>
      <c r="HMO50" s="16"/>
      <c r="HMP50" s="16"/>
      <c r="HMQ50" s="16"/>
      <c r="HMR50" s="16"/>
      <c r="HMS50" s="16"/>
      <c r="HMT50" s="16"/>
      <c r="HMU50" s="16"/>
      <c r="HMV50" s="16"/>
      <c r="HMW50" s="16"/>
      <c r="HMX50" s="16"/>
      <c r="HMY50" s="16"/>
      <c r="HMZ50" s="16"/>
      <c r="HNA50" s="16"/>
      <c r="HNB50" s="16"/>
      <c r="HNC50" s="16"/>
      <c r="HND50" s="16"/>
      <c r="HNE50" s="16"/>
      <c r="HNF50" s="16"/>
      <c r="HNG50" s="16"/>
      <c r="HNH50" s="16"/>
      <c r="HNI50" s="16"/>
      <c r="HNJ50" s="16"/>
      <c r="HNK50" s="16"/>
      <c r="HNL50" s="16"/>
      <c r="HNM50" s="16"/>
      <c r="HNN50" s="16"/>
      <c r="HNO50" s="16"/>
      <c r="HNP50" s="16"/>
      <c r="HNQ50" s="16"/>
      <c r="HNR50" s="16"/>
      <c r="HNS50" s="16"/>
      <c r="HNT50" s="16"/>
      <c r="HNU50" s="16"/>
      <c r="HNV50" s="16"/>
      <c r="HNW50" s="16"/>
      <c r="HNX50" s="16"/>
      <c r="HNY50" s="16"/>
      <c r="HNZ50" s="16"/>
      <c r="HOA50" s="16"/>
      <c r="HOB50" s="16"/>
      <c r="HOC50" s="16"/>
      <c r="HOD50" s="16"/>
      <c r="HOE50" s="16"/>
      <c r="HOF50" s="16"/>
      <c r="HOG50" s="16"/>
      <c r="HOH50" s="16"/>
      <c r="HOI50" s="16"/>
      <c r="HOJ50" s="16"/>
      <c r="HOK50" s="16"/>
      <c r="HOL50" s="16"/>
      <c r="HOM50" s="16"/>
      <c r="HON50" s="16"/>
      <c r="HOO50" s="16"/>
      <c r="HOP50" s="16"/>
      <c r="HOQ50" s="16"/>
      <c r="HOR50" s="16"/>
      <c r="HOS50" s="16"/>
      <c r="HOT50" s="16"/>
      <c r="HOU50" s="16"/>
      <c r="HOV50" s="16"/>
      <c r="HOW50" s="16"/>
      <c r="HOX50" s="16"/>
      <c r="HOY50" s="16"/>
      <c r="HOZ50" s="16"/>
      <c r="HPA50" s="16"/>
      <c r="HPB50" s="16"/>
      <c r="HPC50" s="16"/>
      <c r="HPD50" s="16"/>
      <c r="HPE50" s="16"/>
      <c r="HPF50" s="16"/>
      <c r="HPG50" s="16"/>
      <c r="HPH50" s="16"/>
      <c r="HPI50" s="16"/>
      <c r="HPJ50" s="16"/>
      <c r="HPK50" s="16"/>
      <c r="HPL50" s="16"/>
      <c r="HPM50" s="16"/>
      <c r="HPN50" s="16"/>
      <c r="HPO50" s="16"/>
      <c r="HPP50" s="16"/>
      <c r="HPQ50" s="16"/>
      <c r="HPR50" s="16"/>
      <c r="HPS50" s="16"/>
      <c r="HPT50" s="16"/>
      <c r="HPU50" s="16"/>
      <c r="HPV50" s="16"/>
      <c r="HPW50" s="16"/>
      <c r="HPX50" s="16"/>
      <c r="HPY50" s="16"/>
      <c r="HPZ50" s="16"/>
      <c r="HQA50" s="16"/>
      <c r="HQB50" s="16"/>
      <c r="HQC50" s="16"/>
      <c r="HQD50" s="16"/>
      <c r="HQE50" s="16"/>
      <c r="HQF50" s="16"/>
      <c r="HQG50" s="16"/>
      <c r="HQH50" s="16"/>
      <c r="HQI50" s="16"/>
      <c r="HQJ50" s="16"/>
      <c r="HQK50" s="16"/>
      <c r="HQL50" s="16"/>
      <c r="HQM50" s="16"/>
      <c r="HQN50" s="16"/>
      <c r="HQO50" s="16"/>
      <c r="HQP50" s="16"/>
      <c r="HQQ50" s="16"/>
      <c r="HQR50" s="16"/>
      <c r="HQS50" s="16"/>
      <c r="HQT50" s="16"/>
      <c r="HQU50" s="16"/>
      <c r="HQV50" s="16"/>
      <c r="HQW50" s="16"/>
      <c r="HQX50" s="16"/>
      <c r="HQY50" s="16"/>
      <c r="HQZ50" s="16"/>
      <c r="HRA50" s="16"/>
      <c r="HRB50" s="16"/>
      <c r="HRC50" s="16"/>
      <c r="HRD50" s="16"/>
      <c r="HRE50" s="16"/>
      <c r="HRF50" s="16"/>
      <c r="HRG50" s="16"/>
      <c r="HRH50" s="16"/>
      <c r="HRI50" s="16"/>
      <c r="HRJ50" s="16"/>
      <c r="HRK50" s="16"/>
      <c r="HRL50" s="16"/>
      <c r="HRM50" s="16"/>
      <c r="HRN50" s="16"/>
      <c r="HRO50" s="16"/>
      <c r="HRP50" s="16"/>
      <c r="HRQ50" s="16"/>
      <c r="HRR50" s="16"/>
      <c r="HRS50" s="16"/>
      <c r="HRT50" s="16"/>
      <c r="HRU50" s="16"/>
      <c r="HRV50" s="16"/>
      <c r="HRW50" s="16"/>
      <c r="HRX50" s="16"/>
      <c r="HRY50" s="16"/>
      <c r="HRZ50" s="16"/>
      <c r="HSA50" s="16"/>
      <c r="HSB50" s="16"/>
      <c r="HSC50" s="16"/>
      <c r="HSD50" s="16"/>
      <c r="HSE50" s="16"/>
      <c r="HSF50" s="16"/>
      <c r="HSG50" s="16"/>
      <c r="HSH50" s="16"/>
      <c r="HSI50" s="16"/>
      <c r="HSJ50" s="16"/>
      <c r="HSK50" s="16"/>
      <c r="HSL50" s="16"/>
      <c r="HSM50" s="16"/>
      <c r="HSN50" s="16"/>
      <c r="HSO50" s="16"/>
      <c r="HSP50" s="16"/>
      <c r="HSQ50" s="16"/>
      <c r="HSR50" s="16"/>
      <c r="HSS50" s="16"/>
      <c r="HST50" s="16"/>
      <c r="HSU50" s="16"/>
      <c r="HSV50" s="16"/>
      <c r="HSW50" s="16"/>
      <c r="HSX50" s="16"/>
      <c r="HSY50" s="16"/>
      <c r="HSZ50" s="16"/>
      <c r="HTA50" s="16"/>
      <c r="HTB50" s="16"/>
      <c r="HTC50" s="16"/>
      <c r="HTD50" s="16"/>
      <c r="HTE50" s="16"/>
      <c r="HTF50" s="16"/>
      <c r="HTG50" s="16"/>
      <c r="HTH50" s="16"/>
      <c r="HTI50" s="16"/>
      <c r="HTJ50" s="16"/>
      <c r="HTK50" s="16"/>
      <c r="HTL50" s="16"/>
      <c r="HTM50" s="16"/>
      <c r="HTN50" s="16"/>
      <c r="HTO50" s="16"/>
      <c r="HTP50" s="16"/>
      <c r="HTQ50" s="16"/>
      <c r="HTR50" s="16"/>
      <c r="HTS50" s="16"/>
      <c r="HTT50" s="16"/>
      <c r="HTU50" s="16"/>
      <c r="HTV50" s="16"/>
      <c r="HTW50" s="16"/>
      <c r="HTX50" s="16"/>
      <c r="HTY50" s="16"/>
      <c r="HTZ50" s="16"/>
      <c r="HUA50" s="16"/>
      <c r="HUB50" s="16"/>
      <c r="HUC50" s="16"/>
      <c r="HUD50" s="16"/>
      <c r="HUE50" s="16"/>
      <c r="HUF50" s="16"/>
      <c r="HUG50" s="16"/>
      <c r="HUH50" s="16"/>
      <c r="HUI50" s="16"/>
      <c r="HUJ50" s="16"/>
      <c r="HUK50" s="16"/>
      <c r="HUL50" s="16"/>
      <c r="HUM50" s="16"/>
      <c r="HUN50" s="16"/>
      <c r="HUO50" s="16"/>
      <c r="HUP50" s="16"/>
      <c r="HUQ50" s="16"/>
      <c r="HUR50" s="16"/>
      <c r="HUS50" s="16"/>
      <c r="HUT50" s="16"/>
      <c r="HUU50" s="16"/>
      <c r="HUV50" s="16"/>
      <c r="HUW50" s="16"/>
      <c r="HUX50" s="16"/>
      <c r="HUY50" s="16"/>
      <c r="HUZ50" s="16"/>
      <c r="HVA50" s="16"/>
      <c r="HVB50" s="16"/>
      <c r="HVC50" s="16"/>
      <c r="HVD50" s="16"/>
      <c r="HVE50" s="16"/>
      <c r="HVF50" s="16"/>
      <c r="HVG50" s="16"/>
      <c r="HVH50" s="16"/>
      <c r="HVI50" s="16"/>
      <c r="HVJ50" s="16"/>
      <c r="HVK50" s="16"/>
      <c r="HVL50" s="16"/>
      <c r="HVM50" s="16"/>
      <c r="HVN50" s="16"/>
      <c r="HVO50" s="16"/>
      <c r="HVP50" s="16"/>
      <c r="HVQ50" s="16"/>
      <c r="HVR50" s="16"/>
      <c r="HVS50" s="16"/>
      <c r="HVT50" s="16"/>
      <c r="HVU50" s="16"/>
      <c r="HVV50" s="16"/>
      <c r="HVW50" s="16"/>
      <c r="HVX50" s="16"/>
      <c r="HVY50" s="16"/>
      <c r="HVZ50" s="16"/>
      <c r="HWA50" s="16"/>
      <c r="HWB50" s="16"/>
      <c r="HWC50" s="16"/>
      <c r="HWD50" s="16"/>
      <c r="HWE50" s="16"/>
      <c r="HWF50" s="16"/>
      <c r="HWG50" s="16"/>
      <c r="HWH50" s="16"/>
      <c r="HWI50" s="16"/>
      <c r="HWJ50" s="16"/>
      <c r="HWK50" s="16"/>
      <c r="HWL50" s="16"/>
      <c r="HWM50" s="16"/>
      <c r="HWN50" s="16"/>
      <c r="HWO50" s="16"/>
      <c r="HWP50" s="16"/>
      <c r="HWQ50" s="16"/>
      <c r="HWR50" s="16"/>
      <c r="HWS50" s="16"/>
      <c r="HWT50" s="16"/>
      <c r="HWU50" s="16"/>
      <c r="HWV50" s="16"/>
      <c r="HWW50" s="16"/>
      <c r="HWX50" s="16"/>
      <c r="HWY50" s="16"/>
      <c r="HWZ50" s="16"/>
      <c r="HXA50" s="16"/>
      <c r="HXB50" s="16"/>
      <c r="HXC50" s="16"/>
      <c r="HXD50" s="16"/>
      <c r="HXE50" s="16"/>
      <c r="HXF50" s="16"/>
      <c r="HXG50" s="16"/>
      <c r="HXH50" s="16"/>
      <c r="HXI50" s="16"/>
      <c r="HXJ50" s="16"/>
      <c r="HXK50" s="16"/>
      <c r="HXL50" s="16"/>
      <c r="HXM50" s="16"/>
      <c r="HXN50" s="16"/>
      <c r="HXO50" s="16"/>
      <c r="HXP50" s="16"/>
      <c r="HXQ50" s="16"/>
      <c r="HXR50" s="16"/>
      <c r="HXS50" s="16"/>
      <c r="HXT50" s="16"/>
      <c r="HXU50" s="16"/>
      <c r="HXV50" s="16"/>
      <c r="HXW50" s="16"/>
      <c r="HXX50" s="16"/>
      <c r="HXY50" s="16"/>
      <c r="HXZ50" s="16"/>
      <c r="HYA50" s="16"/>
      <c r="HYB50" s="16"/>
      <c r="HYC50" s="16"/>
      <c r="HYD50" s="16"/>
      <c r="HYE50" s="16"/>
      <c r="HYF50" s="16"/>
      <c r="HYG50" s="16"/>
      <c r="HYH50" s="16"/>
      <c r="HYI50" s="16"/>
      <c r="HYJ50" s="16"/>
      <c r="HYK50" s="16"/>
      <c r="HYL50" s="16"/>
      <c r="HYM50" s="16"/>
      <c r="HYN50" s="16"/>
      <c r="HYO50" s="16"/>
      <c r="HYP50" s="16"/>
      <c r="HYQ50" s="16"/>
      <c r="HYR50" s="16"/>
      <c r="HYS50" s="16"/>
      <c r="HYT50" s="16"/>
      <c r="HYU50" s="16"/>
      <c r="HYV50" s="16"/>
      <c r="HYW50" s="16"/>
      <c r="HYX50" s="16"/>
      <c r="HYY50" s="16"/>
      <c r="HYZ50" s="16"/>
      <c r="HZA50" s="16"/>
      <c r="HZB50" s="16"/>
      <c r="HZC50" s="16"/>
      <c r="HZD50" s="16"/>
      <c r="HZE50" s="16"/>
      <c r="HZF50" s="16"/>
      <c r="HZG50" s="16"/>
      <c r="HZH50" s="16"/>
      <c r="HZI50" s="16"/>
      <c r="HZJ50" s="16"/>
      <c r="HZK50" s="16"/>
      <c r="HZL50" s="16"/>
      <c r="HZM50" s="16"/>
      <c r="HZN50" s="16"/>
      <c r="HZO50" s="16"/>
      <c r="HZP50" s="16"/>
      <c r="HZQ50" s="16"/>
      <c r="HZR50" s="16"/>
      <c r="HZS50" s="16"/>
      <c r="HZT50" s="16"/>
      <c r="HZU50" s="16"/>
      <c r="HZV50" s="16"/>
      <c r="HZW50" s="16"/>
      <c r="HZX50" s="16"/>
      <c r="HZY50" s="16"/>
      <c r="HZZ50" s="16"/>
      <c r="IAA50" s="16"/>
      <c r="IAB50" s="16"/>
      <c r="IAC50" s="16"/>
      <c r="IAD50" s="16"/>
      <c r="IAE50" s="16"/>
      <c r="IAF50" s="16"/>
      <c r="IAG50" s="16"/>
      <c r="IAH50" s="16"/>
      <c r="IAI50" s="16"/>
      <c r="IAJ50" s="16"/>
      <c r="IAK50" s="16"/>
      <c r="IAL50" s="16"/>
      <c r="IAM50" s="16"/>
      <c r="IAN50" s="16"/>
      <c r="IAO50" s="16"/>
      <c r="IAP50" s="16"/>
      <c r="IAQ50" s="16"/>
      <c r="IAR50" s="16"/>
      <c r="IAS50" s="16"/>
      <c r="IAT50" s="16"/>
      <c r="IAU50" s="16"/>
      <c r="IAV50" s="16"/>
      <c r="IAW50" s="16"/>
      <c r="IAX50" s="16"/>
      <c r="IAY50" s="16"/>
      <c r="IAZ50" s="16"/>
      <c r="IBA50" s="16"/>
      <c r="IBB50" s="16"/>
      <c r="IBC50" s="16"/>
      <c r="IBD50" s="16"/>
      <c r="IBE50" s="16"/>
      <c r="IBF50" s="16"/>
      <c r="IBG50" s="16"/>
      <c r="IBH50" s="16"/>
      <c r="IBI50" s="16"/>
      <c r="IBJ50" s="16"/>
      <c r="IBK50" s="16"/>
      <c r="IBL50" s="16"/>
      <c r="IBM50" s="16"/>
      <c r="IBN50" s="16"/>
      <c r="IBO50" s="16"/>
      <c r="IBP50" s="16"/>
      <c r="IBQ50" s="16"/>
      <c r="IBR50" s="16"/>
      <c r="IBS50" s="16"/>
      <c r="IBT50" s="16"/>
      <c r="IBU50" s="16"/>
      <c r="IBV50" s="16"/>
      <c r="IBW50" s="16"/>
      <c r="IBX50" s="16"/>
      <c r="IBY50" s="16"/>
      <c r="IBZ50" s="16"/>
      <c r="ICA50" s="16"/>
      <c r="ICB50" s="16"/>
      <c r="ICC50" s="16"/>
      <c r="ICD50" s="16"/>
      <c r="ICE50" s="16"/>
      <c r="ICF50" s="16"/>
      <c r="ICG50" s="16"/>
      <c r="ICH50" s="16"/>
      <c r="ICI50" s="16"/>
      <c r="ICJ50" s="16"/>
      <c r="ICK50" s="16"/>
      <c r="ICL50" s="16"/>
      <c r="ICM50" s="16"/>
      <c r="ICN50" s="16"/>
      <c r="ICO50" s="16"/>
      <c r="ICP50" s="16"/>
      <c r="ICQ50" s="16"/>
      <c r="ICR50" s="16"/>
      <c r="ICS50" s="16"/>
      <c r="ICT50" s="16"/>
      <c r="ICU50" s="16"/>
      <c r="ICV50" s="16"/>
      <c r="ICW50" s="16"/>
      <c r="ICX50" s="16"/>
      <c r="ICY50" s="16"/>
      <c r="ICZ50" s="16"/>
      <c r="IDA50" s="16"/>
      <c r="IDB50" s="16"/>
      <c r="IDC50" s="16"/>
      <c r="IDD50" s="16"/>
      <c r="IDE50" s="16"/>
      <c r="IDF50" s="16"/>
      <c r="IDG50" s="16"/>
      <c r="IDH50" s="16"/>
      <c r="IDI50" s="16"/>
      <c r="IDJ50" s="16"/>
      <c r="IDK50" s="16"/>
      <c r="IDL50" s="16"/>
      <c r="IDM50" s="16"/>
      <c r="IDN50" s="16"/>
      <c r="IDO50" s="16"/>
      <c r="IDP50" s="16"/>
      <c r="IDQ50" s="16"/>
      <c r="IDR50" s="16"/>
      <c r="IDS50" s="16"/>
      <c r="IDT50" s="16"/>
      <c r="IDU50" s="16"/>
      <c r="IDV50" s="16"/>
      <c r="IDW50" s="16"/>
      <c r="IDX50" s="16"/>
      <c r="IDY50" s="16"/>
      <c r="IDZ50" s="16"/>
      <c r="IEA50" s="16"/>
      <c r="IEB50" s="16"/>
      <c r="IEC50" s="16"/>
      <c r="IED50" s="16"/>
      <c r="IEE50" s="16"/>
      <c r="IEF50" s="16"/>
      <c r="IEG50" s="16"/>
      <c r="IEH50" s="16"/>
      <c r="IEI50" s="16"/>
      <c r="IEJ50" s="16"/>
      <c r="IEK50" s="16"/>
      <c r="IEL50" s="16"/>
      <c r="IEM50" s="16"/>
      <c r="IEN50" s="16"/>
      <c r="IEO50" s="16"/>
      <c r="IEP50" s="16"/>
      <c r="IEQ50" s="16"/>
      <c r="IER50" s="16"/>
      <c r="IES50" s="16"/>
      <c r="IET50" s="16"/>
      <c r="IEU50" s="16"/>
      <c r="IEV50" s="16"/>
      <c r="IEW50" s="16"/>
      <c r="IEX50" s="16"/>
      <c r="IEY50" s="16"/>
      <c r="IEZ50" s="16"/>
      <c r="IFA50" s="16"/>
      <c r="IFB50" s="16"/>
      <c r="IFC50" s="16"/>
      <c r="IFD50" s="16"/>
      <c r="IFE50" s="16"/>
      <c r="IFF50" s="16"/>
      <c r="IFG50" s="16"/>
      <c r="IFH50" s="16"/>
      <c r="IFI50" s="16"/>
      <c r="IFJ50" s="16"/>
      <c r="IFK50" s="16"/>
      <c r="IFL50" s="16"/>
      <c r="IFM50" s="16"/>
      <c r="IFN50" s="16"/>
      <c r="IFO50" s="16"/>
      <c r="IFP50" s="16"/>
      <c r="IFQ50" s="16"/>
      <c r="IFR50" s="16"/>
      <c r="IFS50" s="16"/>
      <c r="IFT50" s="16"/>
      <c r="IFU50" s="16"/>
      <c r="IFV50" s="16"/>
      <c r="IFW50" s="16"/>
      <c r="IFX50" s="16"/>
      <c r="IFY50" s="16"/>
      <c r="IFZ50" s="16"/>
      <c r="IGA50" s="16"/>
      <c r="IGB50" s="16"/>
      <c r="IGC50" s="16"/>
      <c r="IGD50" s="16"/>
      <c r="IGE50" s="16"/>
      <c r="IGF50" s="16"/>
      <c r="IGG50" s="16"/>
      <c r="IGH50" s="16"/>
      <c r="IGI50" s="16"/>
      <c r="IGJ50" s="16"/>
      <c r="IGK50" s="16"/>
      <c r="IGL50" s="16"/>
      <c r="IGM50" s="16"/>
      <c r="IGN50" s="16"/>
      <c r="IGO50" s="16"/>
      <c r="IGP50" s="16"/>
      <c r="IGQ50" s="16"/>
      <c r="IGR50" s="16"/>
      <c r="IGS50" s="16"/>
      <c r="IGT50" s="16"/>
      <c r="IGU50" s="16"/>
      <c r="IGV50" s="16"/>
      <c r="IGW50" s="16"/>
      <c r="IGX50" s="16"/>
      <c r="IGY50" s="16"/>
      <c r="IGZ50" s="16"/>
      <c r="IHA50" s="16"/>
      <c r="IHB50" s="16"/>
      <c r="IHC50" s="16"/>
      <c r="IHD50" s="16"/>
      <c r="IHE50" s="16"/>
      <c r="IHF50" s="16"/>
      <c r="IHG50" s="16"/>
      <c r="IHH50" s="16"/>
      <c r="IHI50" s="16"/>
      <c r="IHJ50" s="16"/>
      <c r="IHK50" s="16"/>
      <c r="IHL50" s="16"/>
      <c r="IHM50" s="16"/>
      <c r="IHN50" s="16"/>
      <c r="IHO50" s="16"/>
      <c r="IHP50" s="16"/>
      <c r="IHQ50" s="16"/>
      <c r="IHR50" s="16"/>
      <c r="IHS50" s="16"/>
      <c r="IHT50" s="16"/>
      <c r="IHU50" s="16"/>
      <c r="IHV50" s="16"/>
      <c r="IHW50" s="16"/>
      <c r="IHX50" s="16"/>
      <c r="IHY50" s="16"/>
      <c r="IHZ50" s="16"/>
      <c r="IIA50" s="16"/>
      <c r="IIB50" s="16"/>
      <c r="IIC50" s="16"/>
      <c r="IID50" s="16"/>
      <c r="IIE50" s="16"/>
      <c r="IIF50" s="16"/>
      <c r="IIG50" s="16"/>
      <c r="IIH50" s="16"/>
      <c r="III50" s="16"/>
      <c r="IIJ50" s="16"/>
      <c r="IIK50" s="16"/>
      <c r="IIL50" s="16"/>
      <c r="IIM50" s="16"/>
      <c r="IIN50" s="16"/>
      <c r="IIO50" s="16"/>
      <c r="IIP50" s="16"/>
      <c r="IIQ50" s="16"/>
      <c r="IIR50" s="16"/>
      <c r="IIS50" s="16"/>
      <c r="IIT50" s="16"/>
      <c r="IIU50" s="16"/>
      <c r="IIV50" s="16"/>
      <c r="IIW50" s="16"/>
      <c r="IIX50" s="16"/>
      <c r="IIY50" s="16"/>
      <c r="IIZ50" s="16"/>
      <c r="IJA50" s="16"/>
      <c r="IJB50" s="16"/>
      <c r="IJC50" s="16"/>
      <c r="IJD50" s="16"/>
      <c r="IJE50" s="16"/>
      <c r="IJF50" s="16"/>
      <c r="IJG50" s="16"/>
      <c r="IJH50" s="16"/>
      <c r="IJI50" s="16"/>
      <c r="IJJ50" s="16"/>
      <c r="IJK50" s="16"/>
      <c r="IJL50" s="16"/>
      <c r="IJM50" s="16"/>
      <c r="IJN50" s="16"/>
      <c r="IJO50" s="16"/>
      <c r="IJP50" s="16"/>
      <c r="IJQ50" s="16"/>
      <c r="IJR50" s="16"/>
      <c r="IJS50" s="16"/>
      <c r="IJT50" s="16"/>
      <c r="IJU50" s="16"/>
      <c r="IJV50" s="16"/>
      <c r="IJW50" s="16"/>
      <c r="IJX50" s="16"/>
      <c r="IJY50" s="16"/>
      <c r="IJZ50" s="16"/>
      <c r="IKA50" s="16"/>
      <c r="IKB50" s="16"/>
      <c r="IKC50" s="16"/>
      <c r="IKD50" s="16"/>
      <c r="IKE50" s="16"/>
      <c r="IKF50" s="16"/>
      <c r="IKG50" s="16"/>
      <c r="IKH50" s="16"/>
      <c r="IKI50" s="16"/>
      <c r="IKJ50" s="16"/>
      <c r="IKK50" s="16"/>
      <c r="IKL50" s="16"/>
      <c r="IKM50" s="16"/>
      <c r="IKN50" s="16"/>
      <c r="IKO50" s="16"/>
      <c r="IKP50" s="16"/>
      <c r="IKQ50" s="16"/>
      <c r="IKR50" s="16"/>
      <c r="IKS50" s="16"/>
      <c r="IKT50" s="16"/>
      <c r="IKU50" s="16"/>
      <c r="IKV50" s="16"/>
      <c r="IKW50" s="16"/>
      <c r="IKX50" s="16"/>
      <c r="IKY50" s="16"/>
      <c r="IKZ50" s="16"/>
      <c r="ILA50" s="16"/>
      <c r="ILB50" s="16"/>
      <c r="ILC50" s="16"/>
      <c r="ILD50" s="16"/>
      <c r="ILE50" s="16"/>
      <c r="ILF50" s="16"/>
      <c r="ILG50" s="16"/>
      <c r="ILH50" s="16"/>
      <c r="ILI50" s="16"/>
      <c r="ILJ50" s="16"/>
      <c r="ILK50" s="16"/>
      <c r="ILL50" s="16"/>
      <c r="ILM50" s="16"/>
      <c r="ILN50" s="16"/>
      <c r="ILO50" s="16"/>
      <c r="ILP50" s="16"/>
      <c r="ILQ50" s="16"/>
      <c r="ILR50" s="16"/>
      <c r="ILS50" s="16"/>
      <c r="ILT50" s="16"/>
      <c r="ILU50" s="16"/>
      <c r="ILV50" s="16"/>
      <c r="ILW50" s="16"/>
      <c r="ILX50" s="16"/>
      <c r="ILY50" s="16"/>
      <c r="ILZ50" s="16"/>
      <c r="IMA50" s="16"/>
      <c r="IMB50" s="16"/>
      <c r="IMC50" s="16"/>
      <c r="IMD50" s="16"/>
      <c r="IME50" s="16"/>
      <c r="IMF50" s="16"/>
      <c r="IMG50" s="16"/>
      <c r="IMH50" s="16"/>
      <c r="IMI50" s="16"/>
      <c r="IMJ50" s="16"/>
      <c r="IMK50" s="16"/>
      <c r="IML50" s="16"/>
      <c r="IMM50" s="16"/>
      <c r="IMN50" s="16"/>
      <c r="IMO50" s="16"/>
      <c r="IMP50" s="16"/>
      <c r="IMQ50" s="16"/>
      <c r="IMR50" s="16"/>
      <c r="IMS50" s="16"/>
      <c r="IMT50" s="16"/>
      <c r="IMU50" s="16"/>
      <c r="IMV50" s="16"/>
      <c r="IMW50" s="16"/>
      <c r="IMX50" s="16"/>
      <c r="IMY50" s="16"/>
      <c r="IMZ50" s="16"/>
      <c r="INA50" s="16"/>
      <c r="INB50" s="16"/>
      <c r="INC50" s="16"/>
      <c r="IND50" s="16"/>
      <c r="INE50" s="16"/>
      <c r="INF50" s="16"/>
      <c r="ING50" s="16"/>
      <c r="INH50" s="16"/>
      <c r="INI50" s="16"/>
      <c r="INJ50" s="16"/>
      <c r="INK50" s="16"/>
      <c r="INL50" s="16"/>
      <c r="INM50" s="16"/>
      <c r="INN50" s="16"/>
      <c r="INO50" s="16"/>
      <c r="INP50" s="16"/>
      <c r="INQ50" s="16"/>
      <c r="INR50" s="16"/>
      <c r="INS50" s="16"/>
      <c r="INT50" s="16"/>
      <c r="INU50" s="16"/>
      <c r="INV50" s="16"/>
      <c r="INW50" s="16"/>
      <c r="INX50" s="16"/>
      <c r="INY50" s="16"/>
      <c r="INZ50" s="16"/>
      <c r="IOA50" s="16"/>
      <c r="IOB50" s="16"/>
      <c r="IOC50" s="16"/>
      <c r="IOD50" s="16"/>
      <c r="IOE50" s="16"/>
      <c r="IOF50" s="16"/>
      <c r="IOG50" s="16"/>
      <c r="IOH50" s="16"/>
      <c r="IOI50" s="16"/>
      <c r="IOJ50" s="16"/>
      <c r="IOK50" s="16"/>
      <c r="IOL50" s="16"/>
      <c r="IOM50" s="16"/>
      <c r="ION50" s="16"/>
      <c r="IOO50" s="16"/>
      <c r="IOP50" s="16"/>
      <c r="IOQ50" s="16"/>
      <c r="IOR50" s="16"/>
      <c r="IOS50" s="16"/>
      <c r="IOT50" s="16"/>
      <c r="IOU50" s="16"/>
      <c r="IOV50" s="16"/>
      <c r="IOW50" s="16"/>
      <c r="IOX50" s="16"/>
      <c r="IOY50" s="16"/>
      <c r="IOZ50" s="16"/>
      <c r="IPA50" s="16"/>
      <c r="IPB50" s="16"/>
      <c r="IPC50" s="16"/>
      <c r="IPD50" s="16"/>
      <c r="IPE50" s="16"/>
      <c r="IPF50" s="16"/>
      <c r="IPG50" s="16"/>
      <c r="IPH50" s="16"/>
      <c r="IPI50" s="16"/>
      <c r="IPJ50" s="16"/>
      <c r="IPK50" s="16"/>
      <c r="IPL50" s="16"/>
      <c r="IPM50" s="16"/>
      <c r="IPN50" s="16"/>
      <c r="IPO50" s="16"/>
      <c r="IPP50" s="16"/>
      <c r="IPQ50" s="16"/>
      <c r="IPR50" s="16"/>
      <c r="IPS50" s="16"/>
      <c r="IPT50" s="16"/>
      <c r="IPU50" s="16"/>
      <c r="IPV50" s="16"/>
      <c r="IPW50" s="16"/>
      <c r="IPX50" s="16"/>
      <c r="IPY50" s="16"/>
      <c r="IPZ50" s="16"/>
      <c r="IQA50" s="16"/>
      <c r="IQB50" s="16"/>
      <c r="IQC50" s="16"/>
      <c r="IQD50" s="16"/>
      <c r="IQE50" s="16"/>
      <c r="IQF50" s="16"/>
      <c r="IQG50" s="16"/>
      <c r="IQH50" s="16"/>
      <c r="IQI50" s="16"/>
      <c r="IQJ50" s="16"/>
      <c r="IQK50" s="16"/>
      <c r="IQL50" s="16"/>
      <c r="IQM50" s="16"/>
      <c r="IQN50" s="16"/>
      <c r="IQO50" s="16"/>
      <c r="IQP50" s="16"/>
      <c r="IQQ50" s="16"/>
      <c r="IQR50" s="16"/>
      <c r="IQS50" s="16"/>
      <c r="IQT50" s="16"/>
      <c r="IQU50" s="16"/>
      <c r="IQV50" s="16"/>
      <c r="IQW50" s="16"/>
      <c r="IQX50" s="16"/>
      <c r="IQY50" s="16"/>
      <c r="IQZ50" s="16"/>
      <c r="IRA50" s="16"/>
      <c r="IRB50" s="16"/>
      <c r="IRC50" s="16"/>
      <c r="IRD50" s="16"/>
      <c r="IRE50" s="16"/>
      <c r="IRF50" s="16"/>
      <c r="IRG50" s="16"/>
      <c r="IRH50" s="16"/>
      <c r="IRI50" s="16"/>
      <c r="IRJ50" s="16"/>
      <c r="IRK50" s="16"/>
      <c r="IRL50" s="16"/>
      <c r="IRM50" s="16"/>
      <c r="IRN50" s="16"/>
      <c r="IRO50" s="16"/>
      <c r="IRP50" s="16"/>
      <c r="IRQ50" s="16"/>
      <c r="IRR50" s="16"/>
      <c r="IRS50" s="16"/>
      <c r="IRT50" s="16"/>
      <c r="IRU50" s="16"/>
      <c r="IRV50" s="16"/>
      <c r="IRW50" s="16"/>
      <c r="IRX50" s="16"/>
      <c r="IRY50" s="16"/>
      <c r="IRZ50" s="16"/>
      <c r="ISA50" s="16"/>
      <c r="ISB50" s="16"/>
      <c r="ISC50" s="16"/>
      <c r="ISD50" s="16"/>
      <c r="ISE50" s="16"/>
      <c r="ISF50" s="16"/>
      <c r="ISG50" s="16"/>
      <c r="ISH50" s="16"/>
      <c r="ISI50" s="16"/>
      <c r="ISJ50" s="16"/>
      <c r="ISK50" s="16"/>
      <c r="ISL50" s="16"/>
      <c r="ISM50" s="16"/>
      <c r="ISN50" s="16"/>
      <c r="ISO50" s="16"/>
      <c r="ISP50" s="16"/>
      <c r="ISQ50" s="16"/>
      <c r="ISR50" s="16"/>
      <c r="ISS50" s="16"/>
      <c r="IST50" s="16"/>
      <c r="ISU50" s="16"/>
      <c r="ISV50" s="16"/>
      <c r="ISW50" s="16"/>
      <c r="ISX50" s="16"/>
      <c r="ISY50" s="16"/>
      <c r="ISZ50" s="16"/>
      <c r="ITA50" s="16"/>
      <c r="ITB50" s="16"/>
      <c r="ITC50" s="16"/>
      <c r="ITD50" s="16"/>
      <c r="ITE50" s="16"/>
      <c r="ITF50" s="16"/>
      <c r="ITG50" s="16"/>
      <c r="ITH50" s="16"/>
      <c r="ITI50" s="16"/>
      <c r="ITJ50" s="16"/>
      <c r="ITK50" s="16"/>
      <c r="ITL50" s="16"/>
      <c r="ITM50" s="16"/>
      <c r="ITN50" s="16"/>
      <c r="ITO50" s="16"/>
      <c r="ITP50" s="16"/>
      <c r="ITQ50" s="16"/>
      <c r="ITR50" s="16"/>
      <c r="ITS50" s="16"/>
      <c r="ITT50" s="16"/>
      <c r="ITU50" s="16"/>
      <c r="ITV50" s="16"/>
      <c r="ITW50" s="16"/>
      <c r="ITX50" s="16"/>
      <c r="ITY50" s="16"/>
      <c r="ITZ50" s="16"/>
      <c r="IUA50" s="16"/>
      <c r="IUB50" s="16"/>
      <c r="IUC50" s="16"/>
      <c r="IUD50" s="16"/>
      <c r="IUE50" s="16"/>
      <c r="IUF50" s="16"/>
      <c r="IUG50" s="16"/>
      <c r="IUH50" s="16"/>
      <c r="IUI50" s="16"/>
      <c r="IUJ50" s="16"/>
      <c r="IUK50" s="16"/>
      <c r="IUL50" s="16"/>
      <c r="IUM50" s="16"/>
      <c r="IUN50" s="16"/>
      <c r="IUO50" s="16"/>
      <c r="IUP50" s="16"/>
      <c r="IUQ50" s="16"/>
      <c r="IUR50" s="16"/>
      <c r="IUS50" s="16"/>
      <c r="IUT50" s="16"/>
      <c r="IUU50" s="16"/>
      <c r="IUV50" s="16"/>
      <c r="IUW50" s="16"/>
      <c r="IUX50" s="16"/>
      <c r="IUY50" s="16"/>
      <c r="IUZ50" s="16"/>
      <c r="IVA50" s="16"/>
      <c r="IVB50" s="16"/>
      <c r="IVC50" s="16"/>
      <c r="IVD50" s="16"/>
      <c r="IVE50" s="16"/>
      <c r="IVF50" s="16"/>
      <c r="IVG50" s="16"/>
      <c r="IVH50" s="16"/>
      <c r="IVI50" s="16"/>
      <c r="IVJ50" s="16"/>
      <c r="IVK50" s="16"/>
      <c r="IVL50" s="16"/>
      <c r="IVM50" s="16"/>
      <c r="IVN50" s="16"/>
      <c r="IVO50" s="16"/>
      <c r="IVP50" s="16"/>
      <c r="IVQ50" s="16"/>
      <c r="IVR50" s="16"/>
      <c r="IVS50" s="16"/>
      <c r="IVT50" s="16"/>
      <c r="IVU50" s="16"/>
      <c r="IVV50" s="16"/>
      <c r="IVW50" s="16"/>
      <c r="IVX50" s="16"/>
      <c r="IVY50" s="16"/>
      <c r="IVZ50" s="16"/>
      <c r="IWA50" s="16"/>
      <c r="IWB50" s="16"/>
      <c r="IWC50" s="16"/>
      <c r="IWD50" s="16"/>
      <c r="IWE50" s="16"/>
      <c r="IWF50" s="16"/>
      <c r="IWG50" s="16"/>
      <c r="IWH50" s="16"/>
      <c r="IWI50" s="16"/>
      <c r="IWJ50" s="16"/>
      <c r="IWK50" s="16"/>
      <c r="IWL50" s="16"/>
      <c r="IWM50" s="16"/>
      <c r="IWN50" s="16"/>
      <c r="IWO50" s="16"/>
      <c r="IWP50" s="16"/>
      <c r="IWQ50" s="16"/>
      <c r="IWR50" s="16"/>
      <c r="IWS50" s="16"/>
      <c r="IWT50" s="16"/>
      <c r="IWU50" s="16"/>
      <c r="IWV50" s="16"/>
      <c r="IWW50" s="16"/>
      <c r="IWX50" s="16"/>
      <c r="IWY50" s="16"/>
      <c r="IWZ50" s="16"/>
      <c r="IXA50" s="16"/>
      <c r="IXB50" s="16"/>
      <c r="IXC50" s="16"/>
      <c r="IXD50" s="16"/>
      <c r="IXE50" s="16"/>
      <c r="IXF50" s="16"/>
      <c r="IXG50" s="16"/>
      <c r="IXH50" s="16"/>
      <c r="IXI50" s="16"/>
      <c r="IXJ50" s="16"/>
      <c r="IXK50" s="16"/>
      <c r="IXL50" s="16"/>
      <c r="IXM50" s="16"/>
      <c r="IXN50" s="16"/>
      <c r="IXO50" s="16"/>
      <c r="IXP50" s="16"/>
      <c r="IXQ50" s="16"/>
      <c r="IXR50" s="16"/>
      <c r="IXS50" s="16"/>
      <c r="IXT50" s="16"/>
      <c r="IXU50" s="16"/>
      <c r="IXV50" s="16"/>
      <c r="IXW50" s="16"/>
      <c r="IXX50" s="16"/>
      <c r="IXY50" s="16"/>
      <c r="IXZ50" s="16"/>
      <c r="IYA50" s="16"/>
      <c r="IYB50" s="16"/>
      <c r="IYC50" s="16"/>
      <c r="IYD50" s="16"/>
      <c r="IYE50" s="16"/>
      <c r="IYF50" s="16"/>
      <c r="IYG50" s="16"/>
      <c r="IYH50" s="16"/>
      <c r="IYI50" s="16"/>
      <c r="IYJ50" s="16"/>
      <c r="IYK50" s="16"/>
      <c r="IYL50" s="16"/>
      <c r="IYM50" s="16"/>
      <c r="IYN50" s="16"/>
      <c r="IYO50" s="16"/>
      <c r="IYP50" s="16"/>
      <c r="IYQ50" s="16"/>
      <c r="IYR50" s="16"/>
      <c r="IYS50" s="16"/>
      <c r="IYT50" s="16"/>
      <c r="IYU50" s="16"/>
      <c r="IYV50" s="16"/>
      <c r="IYW50" s="16"/>
      <c r="IYX50" s="16"/>
      <c r="IYY50" s="16"/>
      <c r="IYZ50" s="16"/>
      <c r="IZA50" s="16"/>
      <c r="IZB50" s="16"/>
      <c r="IZC50" s="16"/>
      <c r="IZD50" s="16"/>
      <c r="IZE50" s="16"/>
      <c r="IZF50" s="16"/>
      <c r="IZG50" s="16"/>
      <c r="IZH50" s="16"/>
      <c r="IZI50" s="16"/>
      <c r="IZJ50" s="16"/>
      <c r="IZK50" s="16"/>
      <c r="IZL50" s="16"/>
      <c r="IZM50" s="16"/>
      <c r="IZN50" s="16"/>
      <c r="IZO50" s="16"/>
      <c r="IZP50" s="16"/>
      <c r="IZQ50" s="16"/>
      <c r="IZR50" s="16"/>
      <c r="IZS50" s="16"/>
      <c r="IZT50" s="16"/>
      <c r="IZU50" s="16"/>
      <c r="IZV50" s="16"/>
      <c r="IZW50" s="16"/>
      <c r="IZX50" s="16"/>
      <c r="IZY50" s="16"/>
      <c r="IZZ50" s="16"/>
      <c r="JAA50" s="16"/>
      <c r="JAB50" s="16"/>
      <c r="JAC50" s="16"/>
      <c r="JAD50" s="16"/>
      <c r="JAE50" s="16"/>
      <c r="JAF50" s="16"/>
      <c r="JAG50" s="16"/>
      <c r="JAH50" s="16"/>
      <c r="JAI50" s="16"/>
      <c r="JAJ50" s="16"/>
      <c r="JAK50" s="16"/>
      <c r="JAL50" s="16"/>
      <c r="JAM50" s="16"/>
      <c r="JAN50" s="16"/>
      <c r="JAO50" s="16"/>
      <c r="JAP50" s="16"/>
      <c r="JAQ50" s="16"/>
      <c r="JAR50" s="16"/>
      <c r="JAS50" s="16"/>
      <c r="JAT50" s="16"/>
      <c r="JAU50" s="16"/>
      <c r="JAV50" s="16"/>
      <c r="JAW50" s="16"/>
      <c r="JAX50" s="16"/>
      <c r="JAY50" s="16"/>
      <c r="JAZ50" s="16"/>
      <c r="JBA50" s="16"/>
      <c r="JBB50" s="16"/>
      <c r="JBC50" s="16"/>
      <c r="JBD50" s="16"/>
      <c r="JBE50" s="16"/>
      <c r="JBF50" s="16"/>
      <c r="JBG50" s="16"/>
      <c r="JBH50" s="16"/>
      <c r="JBI50" s="16"/>
      <c r="JBJ50" s="16"/>
      <c r="JBK50" s="16"/>
      <c r="JBL50" s="16"/>
      <c r="JBM50" s="16"/>
      <c r="JBN50" s="16"/>
      <c r="JBO50" s="16"/>
      <c r="JBP50" s="16"/>
      <c r="JBQ50" s="16"/>
      <c r="JBR50" s="16"/>
      <c r="JBS50" s="16"/>
      <c r="JBT50" s="16"/>
      <c r="JBU50" s="16"/>
      <c r="JBV50" s="16"/>
      <c r="JBW50" s="16"/>
      <c r="JBX50" s="16"/>
      <c r="JBY50" s="16"/>
      <c r="JBZ50" s="16"/>
      <c r="JCA50" s="16"/>
      <c r="JCB50" s="16"/>
      <c r="JCC50" s="16"/>
      <c r="JCD50" s="16"/>
      <c r="JCE50" s="16"/>
      <c r="JCF50" s="16"/>
      <c r="JCG50" s="16"/>
      <c r="JCH50" s="16"/>
      <c r="JCI50" s="16"/>
      <c r="JCJ50" s="16"/>
      <c r="JCK50" s="16"/>
      <c r="JCL50" s="16"/>
      <c r="JCM50" s="16"/>
      <c r="JCN50" s="16"/>
      <c r="JCO50" s="16"/>
      <c r="JCP50" s="16"/>
      <c r="JCQ50" s="16"/>
      <c r="JCR50" s="16"/>
      <c r="JCS50" s="16"/>
      <c r="JCT50" s="16"/>
      <c r="JCU50" s="16"/>
      <c r="JCV50" s="16"/>
      <c r="JCW50" s="16"/>
      <c r="JCX50" s="16"/>
      <c r="JCY50" s="16"/>
      <c r="JCZ50" s="16"/>
      <c r="JDA50" s="16"/>
      <c r="JDB50" s="16"/>
      <c r="JDC50" s="16"/>
      <c r="JDD50" s="16"/>
      <c r="JDE50" s="16"/>
      <c r="JDF50" s="16"/>
      <c r="JDG50" s="16"/>
      <c r="JDH50" s="16"/>
      <c r="JDI50" s="16"/>
      <c r="JDJ50" s="16"/>
      <c r="JDK50" s="16"/>
      <c r="JDL50" s="16"/>
      <c r="JDM50" s="16"/>
      <c r="JDN50" s="16"/>
      <c r="JDO50" s="16"/>
      <c r="JDP50" s="16"/>
      <c r="JDQ50" s="16"/>
      <c r="JDR50" s="16"/>
      <c r="JDS50" s="16"/>
      <c r="JDT50" s="16"/>
      <c r="JDU50" s="16"/>
      <c r="JDV50" s="16"/>
      <c r="JDW50" s="16"/>
      <c r="JDX50" s="16"/>
      <c r="JDY50" s="16"/>
      <c r="JDZ50" s="16"/>
      <c r="JEA50" s="16"/>
      <c r="JEB50" s="16"/>
      <c r="JEC50" s="16"/>
      <c r="JED50" s="16"/>
      <c r="JEE50" s="16"/>
      <c r="JEF50" s="16"/>
      <c r="JEG50" s="16"/>
      <c r="JEH50" s="16"/>
      <c r="JEI50" s="16"/>
      <c r="JEJ50" s="16"/>
      <c r="JEK50" s="16"/>
      <c r="JEL50" s="16"/>
      <c r="JEM50" s="16"/>
      <c r="JEN50" s="16"/>
      <c r="JEO50" s="16"/>
      <c r="JEP50" s="16"/>
      <c r="JEQ50" s="16"/>
      <c r="JER50" s="16"/>
      <c r="JES50" s="16"/>
      <c r="JET50" s="16"/>
      <c r="JEU50" s="16"/>
      <c r="JEV50" s="16"/>
      <c r="JEW50" s="16"/>
      <c r="JEX50" s="16"/>
      <c r="JEY50" s="16"/>
      <c r="JEZ50" s="16"/>
      <c r="JFA50" s="16"/>
      <c r="JFB50" s="16"/>
      <c r="JFC50" s="16"/>
      <c r="JFD50" s="16"/>
      <c r="JFE50" s="16"/>
      <c r="JFF50" s="16"/>
      <c r="JFG50" s="16"/>
      <c r="JFH50" s="16"/>
      <c r="JFI50" s="16"/>
      <c r="JFJ50" s="16"/>
      <c r="JFK50" s="16"/>
      <c r="JFL50" s="16"/>
      <c r="JFM50" s="16"/>
      <c r="JFN50" s="16"/>
      <c r="JFO50" s="16"/>
      <c r="JFP50" s="16"/>
      <c r="JFQ50" s="16"/>
      <c r="JFR50" s="16"/>
      <c r="JFS50" s="16"/>
      <c r="JFT50" s="16"/>
      <c r="JFU50" s="16"/>
      <c r="JFV50" s="16"/>
      <c r="JFW50" s="16"/>
      <c r="JFX50" s="16"/>
      <c r="JFY50" s="16"/>
      <c r="JFZ50" s="16"/>
      <c r="JGA50" s="16"/>
      <c r="JGB50" s="16"/>
      <c r="JGC50" s="16"/>
      <c r="JGD50" s="16"/>
      <c r="JGE50" s="16"/>
      <c r="JGF50" s="16"/>
      <c r="JGG50" s="16"/>
      <c r="JGH50" s="16"/>
      <c r="JGI50" s="16"/>
      <c r="JGJ50" s="16"/>
      <c r="JGK50" s="16"/>
      <c r="JGL50" s="16"/>
      <c r="JGM50" s="16"/>
      <c r="JGN50" s="16"/>
      <c r="JGO50" s="16"/>
      <c r="JGP50" s="16"/>
      <c r="JGQ50" s="16"/>
      <c r="JGR50" s="16"/>
      <c r="JGS50" s="16"/>
      <c r="JGT50" s="16"/>
      <c r="JGU50" s="16"/>
      <c r="JGV50" s="16"/>
      <c r="JGW50" s="16"/>
      <c r="JGX50" s="16"/>
      <c r="JGY50" s="16"/>
      <c r="JGZ50" s="16"/>
      <c r="JHA50" s="16"/>
      <c r="JHB50" s="16"/>
      <c r="JHC50" s="16"/>
      <c r="JHD50" s="16"/>
      <c r="JHE50" s="16"/>
      <c r="JHF50" s="16"/>
      <c r="JHG50" s="16"/>
      <c r="JHH50" s="16"/>
      <c r="JHI50" s="16"/>
      <c r="JHJ50" s="16"/>
      <c r="JHK50" s="16"/>
      <c r="JHL50" s="16"/>
      <c r="JHM50" s="16"/>
      <c r="JHN50" s="16"/>
      <c r="JHO50" s="16"/>
      <c r="JHP50" s="16"/>
      <c r="JHQ50" s="16"/>
      <c r="JHR50" s="16"/>
      <c r="JHS50" s="16"/>
      <c r="JHT50" s="16"/>
      <c r="JHU50" s="16"/>
      <c r="JHV50" s="16"/>
      <c r="JHW50" s="16"/>
      <c r="JHX50" s="16"/>
      <c r="JHY50" s="16"/>
      <c r="JHZ50" s="16"/>
      <c r="JIA50" s="16"/>
      <c r="JIB50" s="16"/>
      <c r="JIC50" s="16"/>
      <c r="JID50" s="16"/>
      <c r="JIE50" s="16"/>
      <c r="JIF50" s="16"/>
      <c r="JIG50" s="16"/>
      <c r="JIH50" s="16"/>
      <c r="JII50" s="16"/>
      <c r="JIJ50" s="16"/>
      <c r="JIK50" s="16"/>
      <c r="JIL50" s="16"/>
      <c r="JIM50" s="16"/>
      <c r="JIN50" s="16"/>
      <c r="JIO50" s="16"/>
      <c r="JIP50" s="16"/>
      <c r="JIQ50" s="16"/>
      <c r="JIR50" s="16"/>
      <c r="JIS50" s="16"/>
      <c r="JIT50" s="16"/>
      <c r="JIU50" s="16"/>
      <c r="JIV50" s="16"/>
      <c r="JIW50" s="16"/>
      <c r="JIX50" s="16"/>
      <c r="JIY50" s="16"/>
      <c r="JIZ50" s="16"/>
      <c r="JJA50" s="16"/>
      <c r="JJB50" s="16"/>
      <c r="JJC50" s="16"/>
      <c r="JJD50" s="16"/>
      <c r="JJE50" s="16"/>
      <c r="JJF50" s="16"/>
      <c r="JJG50" s="16"/>
      <c r="JJH50" s="16"/>
      <c r="JJI50" s="16"/>
      <c r="JJJ50" s="16"/>
      <c r="JJK50" s="16"/>
      <c r="JJL50" s="16"/>
      <c r="JJM50" s="16"/>
      <c r="JJN50" s="16"/>
      <c r="JJO50" s="16"/>
      <c r="JJP50" s="16"/>
      <c r="JJQ50" s="16"/>
      <c r="JJR50" s="16"/>
      <c r="JJS50" s="16"/>
      <c r="JJT50" s="16"/>
      <c r="JJU50" s="16"/>
      <c r="JJV50" s="16"/>
      <c r="JJW50" s="16"/>
      <c r="JJX50" s="16"/>
      <c r="JJY50" s="16"/>
      <c r="JJZ50" s="16"/>
      <c r="JKA50" s="16"/>
      <c r="JKB50" s="16"/>
      <c r="JKC50" s="16"/>
      <c r="JKD50" s="16"/>
      <c r="JKE50" s="16"/>
      <c r="JKF50" s="16"/>
      <c r="JKG50" s="16"/>
      <c r="JKH50" s="16"/>
      <c r="JKI50" s="16"/>
      <c r="JKJ50" s="16"/>
      <c r="JKK50" s="16"/>
      <c r="JKL50" s="16"/>
      <c r="JKM50" s="16"/>
      <c r="JKN50" s="16"/>
      <c r="JKO50" s="16"/>
      <c r="JKP50" s="16"/>
      <c r="JKQ50" s="16"/>
      <c r="JKR50" s="16"/>
      <c r="JKS50" s="16"/>
      <c r="JKT50" s="16"/>
      <c r="JKU50" s="16"/>
      <c r="JKV50" s="16"/>
      <c r="JKW50" s="16"/>
      <c r="JKX50" s="16"/>
      <c r="JKY50" s="16"/>
      <c r="JKZ50" s="16"/>
      <c r="JLA50" s="16"/>
      <c r="JLB50" s="16"/>
      <c r="JLC50" s="16"/>
      <c r="JLD50" s="16"/>
      <c r="JLE50" s="16"/>
      <c r="JLF50" s="16"/>
      <c r="JLG50" s="16"/>
      <c r="JLH50" s="16"/>
      <c r="JLI50" s="16"/>
      <c r="JLJ50" s="16"/>
      <c r="JLK50" s="16"/>
      <c r="JLL50" s="16"/>
      <c r="JLM50" s="16"/>
      <c r="JLN50" s="16"/>
      <c r="JLO50" s="16"/>
      <c r="JLP50" s="16"/>
      <c r="JLQ50" s="16"/>
      <c r="JLR50" s="16"/>
      <c r="JLS50" s="16"/>
      <c r="JLT50" s="16"/>
      <c r="JLU50" s="16"/>
      <c r="JLV50" s="16"/>
      <c r="JLW50" s="16"/>
      <c r="JLX50" s="16"/>
      <c r="JLY50" s="16"/>
      <c r="JLZ50" s="16"/>
      <c r="JMA50" s="16"/>
      <c r="JMB50" s="16"/>
      <c r="JMC50" s="16"/>
      <c r="JMD50" s="16"/>
      <c r="JME50" s="16"/>
      <c r="JMF50" s="16"/>
      <c r="JMG50" s="16"/>
      <c r="JMH50" s="16"/>
      <c r="JMI50" s="16"/>
      <c r="JMJ50" s="16"/>
      <c r="JMK50" s="16"/>
      <c r="JML50" s="16"/>
      <c r="JMM50" s="16"/>
      <c r="JMN50" s="16"/>
      <c r="JMO50" s="16"/>
      <c r="JMP50" s="16"/>
      <c r="JMQ50" s="16"/>
      <c r="JMR50" s="16"/>
      <c r="JMS50" s="16"/>
      <c r="JMT50" s="16"/>
      <c r="JMU50" s="16"/>
      <c r="JMV50" s="16"/>
      <c r="JMW50" s="16"/>
      <c r="JMX50" s="16"/>
      <c r="JMY50" s="16"/>
      <c r="JMZ50" s="16"/>
      <c r="JNA50" s="16"/>
      <c r="JNB50" s="16"/>
      <c r="JNC50" s="16"/>
      <c r="JND50" s="16"/>
      <c r="JNE50" s="16"/>
      <c r="JNF50" s="16"/>
      <c r="JNG50" s="16"/>
      <c r="JNH50" s="16"/>
      <c r="JNI50" s="16"/>
      <c r="JNJ50" s="16"/>
      <c r="JNK50" s="16"/>
      <c r="JNL50" s="16"/>
      <c r="JNM50" s="16"/>
      <c r="JNN50" s="16"/>
      <c r="JNO50" s="16"/>
      <c r="JNP50" s="16"/>
      <c r="JNQ50" s="16"/>
      <c r="JNR50" s="16"/>
      <c r="JNS50" s="16"/>
      <c r="JNT50" s="16"/>
      <c r="JNU50" s="16"/>
      <c r="JNV50" s="16"/>
      <c r="JNW50" s="16"/>
      <c r="JNX50" s="16"/>
      <c r="JNY50" s="16"/>
      <c r="JNZ50" s="16"/>
      <c r="JOA50" s="16"/>
      <c r="JOB50" s="16"/>
      <c r="JOC50" s="16"/>
      <c r="JOD50" s="16"/>
      <c r="JOE50" s="16"/>
      <c r="JOF50" s="16"/>
      <c r="JOG50" s="16"/>
      <c r="JOH50" s="16"/>
      <c r="JOI50" s="16"/>
      <c r="JOJ50" s="16"/>
      <c r="JOK50" s="16"/>
      <c r="JOL50" s="16"/>
      <c r="JOM50" s="16"/>
      <c r="JON50" s="16"/>
      <c r="JOO50" s="16"/>
      <c r="JOP50" s="16"/>
      <c r="JOQ50" s="16"/>
      <c r="JOR50" s="16"/>
      <c r="JOS50" s="16"/>
      <c r="JOT50" s="16"/>
      <c r="JOU50" s="16"/>
      <c r="JOV50" s="16"/>
      <c r="JOW50" s="16"/>
      <c r="JOX50" s="16"/>
      <c r="JOY50" s="16"/>
      <c r="JOZ50" s="16"/>
      <c r="JPA50" s="16"/>
      <c r="JPB50" s="16"/>
      <c r="JPC50" s="16"/>
      <c r="JPD50" s="16"/>
      <c r="JPE50" s="16"/>
      <c r="JPF50" s="16"/>
      <c r="JPG50" s="16"/>
      <c r="JPH50" s="16"/>
      <c r="JPI50" s="16"/>
      <c r="JPJ50" s="16"/>
      <c r="JPK50" s="16"/>
      <c r="JPL50" s="16"/>
      <c r="JPM50" s="16"/>
      <c r="JPN50" s="16"/>
      <c r="JPO50" s="16"/>
      <c r="JPP50" s="16"/>
      <c r="JPQ50" s="16"/>
      <c r="JPR50" s="16"/>
      <c r="JPS50" s="16"/>
      <c r="JPT50" s="16"/>
      <c r="JPU50" s="16"/>
      <c r="JPV50" s="16"/>
      <c r="JPW50" s="16"/>
      <c r="JPX50" s="16"/>
      <c r="JPY50" s="16"/>
      <c r="JPZ50" s="16"/>
      <c r="JQA50" s="16"/>
      <c r="JQB50" s="16"/>
      <c r="JQC50" s="16"/>
      <c r="JQD50" s="16"/>
      <c r="JQE50" s="16"/>
      <c r="JQF50" s="16"/>
      <c r="JQG50" s="16"/>
      <c r="JQH50" s="16"/>
      <c r="JQI50" s="16"/>
      <c r="JQJ50" s="16"/>
      <c r="JQK50" s="16"/>
      <c r="JQL50" s="16"/>
      <c r="JQM50" s="16"/>
      <c r="JQN50" s="16"/>
      <c r="JQO50" s="16"/>
      <c r="JQP50" s="16"/>
      <c r="JQQ50" s="16"/>
      <c r="JQR50" s="16"/>
      <c r="JQS50" s="16"/>
      <c r="JQT50" s="16"/>
      <c r="JQU50" s="16"/>
      <c r="JQV50" s="16"/>
      <c r="JQW50" s="16"/>
      <c r="JQX50" s="16"/>
      <c r="JQY50" s="16"/>
      <c r="JQZ50" s="16"/>
      <c r="JRA50" s="16"/>
      <c r="JRB50" s="16"/>
      <c r="JRC50" s="16"/>
      <c r="JRD50" s="16"/>
      <c r="JRE50" s="16"/>
      <c r="JRF50" s="16"/>
      <c r="JRG50" s="16"/>
      <c r="JRH50" s="16"/>
      <c r="JRI50" s="16"/>
      <c r="JRJ50" s="16"/>
      <c r="JRK50" s="16"/>
      <c r="JRL50" s="16"/>
      <c r="JRM50" s="16"/>
      <c r="JRN50" s="16"/>
      <c r="JRO50" s="16"/>
      <c r="JRP50" s="16"/>
      <c r="JRQ50" s="16"/>
      <c r="JRR50" s="16"/>
      <c r="JRS50" s="16"/>
      <c r="JRT50" s="16"/>
      <c r="JRU50" s="16"/>
      <c r="JRV50" s="16"/>
      <c r="JRW50" s="16"/>
      <c r="JRX50" s="16"/>
      <c r="JRY50" s="16"/>
      <c r="JRZ50" s="16"/>
      <c r="JSA50" s="16"/>
      <c r="JSB50" s="16"/>
      <c r="JSC50" s="16"/>
      <c r="JSD50" s="16"/>
      <c r="JSE50" s="16"/>
      <c r="JSF50" s="16"/>
      <c r="JSG50" s="16"/>
      <c r="JSH50" s="16"/>
      <c r="JSI50" s="16"/>
      <c r="JSJ50" s="16"/>
      <c r="JSK50" s="16"/>
      <c r="JSL50" s="16"/>
      <c r="JSM50" s="16"/>
      <c r="JSN50" s="16"/>
      <c r="JSO50" s="16"/>
      <c r="JSP50" s="16"/>
      <c r="JSQ50" s="16"/>
      <c r="JSR50" s="16"/>
      <c r="JSS50" s="16"/>
      <c r="JST50" s="16"/>
      <c r="JSU50" s="16"/>
      <c r="JSV50" s="16"/>
      <c r="JSW50" s="16"/>
      <c r="JSX50" s="16"/>
      <c r="JSY50" s="16"/>
      <c r="JSZ50" s="16"/>
      <c r="JTA50" s="16"/>
      <c r="JTB50" s="16"/>
      <c r="JTC50" s="16"/>
      <c r="JTD50" s="16"/>
      <c r="JTE50" s="16"/>
      <c r="JTF50" s="16"/>
      <c r="JTG50" s="16"/>
      <c r="JTH50" s="16"/>
      <c r="JTI50" s="16"/>
      <c r="JTJ50" s="16"/>
      <c r="JTK50" s="16"/>
      <c r="JTL50" s="16"/>
      <c r="JTM50" s="16"/>
      <c r="JTN50" s="16"/>
      <c r="JTO50" s="16"/>
      <c r="JTP50" s="16"/>
      <c r="JTQ50" s="16"/>
      <c r="JTR50" s="16"/>
      <c r="JTS50" s="16"/>
      <c r="JTT50" s="16"/>
      <c r="JTU50" s="16"/>
      <c r="JTV50" s="16"/>
      <c r="JTW50" s="16"/>
      <c r="JTX50" s="16"/>
      <c r="JTY50" s="16"/>
      <c r="JTZ50" s="16"/>
      <c r="JUA50" s="16"/>
      <c r="JUB50" s="16"/>
      <c r="JUC50" s="16"/>
      <c r="JUD50" s="16"/>
      <c r="JUE50" s="16"/>
      <c r="JUF50" s="16"/>
      <c r="JUG50" s="16"/>
      <c r="JUH50" s="16"/>
      <c r="JUI50" s="16"/>
      <c r="JUJ50" s="16"/>
      <c r="JUK50" s="16"/>
      <c r="JUL50" s="16"/>
      <c r="JUM50" s="16"/>
      <c r="JUN50" s="16"/>
      <c r="JUO50" s="16"/>
      <c r="JUP50" s="16"/>
      <c r="JUQ50" s="16"/>
      <c r="JUR50" s="16"/>
      <c r="JUS50" s="16"/>
      <c r="JUT50" s="16"/>
      <c r="JUU50" s="16"/>
      <c r="JUV50" s="16"/>
      <c r="JUW50" s="16"/>
      <c r="JUX50" s="16"/>
      <c r="JUY50" s="16"/>
      <c r="JUZ50" s="16"/>
      <c r="JVA50" s="16"/>
      <c r="JVB50" s="16"/>
      <c r="JVC50" s="16"/>
      <c r="JVD50" s="16"/>
      <c r="JVE50" s="16"/>
      <c r="JVF50" s="16"/>
      <c r="JVG50" s="16"/>
      <c r="JVH50" s="16"/>
      <c r="JVI50" s="16"/>
      <c r="JVJ50" s="16"/>
      <c r="JVK50" s="16"/>
      <c r="JVL50" s="16"/>
      <c r="JVM50" s="16"/>
      <c r="JVN50" s="16"/>
      <c r="JVO50" s="16"/>
      <c r="JVP50" s="16"/>
      <c r="JVQ50" s="16"/>
      <c r="JVR50" s="16"/>
      <c r="JVS50" s="16"/>
      <c r="JVT50" s="16"/>
      <c r="JVU50" s="16"/>
      <c r="JVV50" s="16"/>
      <c r="JVW50" s="16"/>
      <c r="JVX50" s="16"/>
      <c r="JVY50" s="16"/>
      <c r="JVZ50" s="16"/>
      <c r="JWA50" s="16"/>
      <c r="JWB50" s="16"/>
      <c r="JWC50" s="16"/>
      <c r="JWD50" s="16"/>
      <c r="JWE50" s="16"/>
      <c r="JWF50" s="16"/>
      <c r="JWG50" s="16"/>
      <c r="JWH50" s="16"/>
      <c r="JWI50" s="16"/>
      <c r="JWJ50" s="16"/>
      <c r="JWK50" s="16"/>
      <c r="JWL50" s="16"/>
      <c r="JWM50" s="16"/>
      <c r="JWN50" s="16"/>
      <c r="JWO50" s="16"/>
      <c r="JWP50" s="16"/>
      <c r="JWQ50" s="16"/>
      <c r="JWR50" s="16"/>
      <c r="JWS50" s="16"/>
      <c r="JWT50" s="16"/>
      <c r="JWU50" s="16"/>
      <c r="JWV50" s="16"/>
      <c r="JWW50" s="16"/>
      <c r="JWX50" s="16"/>
      <c r="JWY50" s="16"/>
      <c r="JWZ50" s="16"/>
      <c r="JXA50" s="16"/>
      <c r="JXB50" s="16"/>
      <c r="JXC50" s="16"/>
      <c r="JXD50" s="16"/>
      <c r="JXE50" s="16"/>
      <c r="JXF50" s="16"/>
      <c r="JXG50" s="16"/>
      <c r="JXH50" s="16"/>
      <c r="JXI50" s="16"/>
      <c r="JXJ50" s="16"/>
      <c r="JXK50" s="16"/>
      <c r="JXL50" s="16"/>
      <c r="JXM50" s="16"/>
      <c r="JXN50" s="16"/>
      <c r="JXO50" s="16"/>
      <c r="JXP50" s="16"/>
      <c r="JXQ50" s="16"/>
      <c r="JXR50" s="16"/>
      <c r="JXS50" s="16"/>
      <c r="JXT50" s="16"/>
      <c r="JXU50" s="16"/>
      <c r="JXV50" s="16"/>
      <c r="JXW50" s="16"/>
      <c r="JXX50" s="16"/>
      <c r="JXY50" s="16"/>
      <c r="JXZ50" s="16"/>
      <c r="JYA50" s="16"/>
      <c r="JYB50" s="16"/>
      <c r="JYC50" s="16"/>
      <c r="JYD50" s="16"/>
      <c r="JYE50" s="16"/>
      <c r="JYF50" s="16"/>
      <c r="JYG50" s="16"/>
      <c r="JYH50" s="16"/>
      <c r="JYI50" s="16"/>
      <c r="JYJ50" s="16"/>
      <c r="JYK50" s="16"/>
      <c r="JYL50" s="16"/>
      <c r="JYM50" s="16"/>
      <c r="JYN50" s="16"/>
      <c r="JYO50" s="16"/>
      <c r="JYP50" s="16"/>
      <c r="JYQ50" s="16"/>
      <c r="JYR50" s="16"/>
      <c r="JYS50" s="16"/>
      <c r="JYT50" s="16"/>
      <c r="JYU50" s="16"/>
      <c r="JYV50" s="16"/>
      <c r="JYW50" s="16"/>
      <c r="JYX50" s="16"/>
      <c r="JYY50" s="16"/>
      <c r="JYZ50" s="16"/>
      <c r="JZA50" s="16"/>
      <c r="JZB50" s="16"/>
      <c r="JZC50" s="16"/>
      <c r="JZD50" s="16"/>
      <c r="JZE50" s="16"/>
      <c r="JZF50" s="16"/>
      <c r="JZG50" s="16"/>
      <c r="JZH50" s="16"/>
      <c r="JZI50" s="16"/>
      <c r="JZJ50" s="16"/>
      <c r="JZK50" s="16"/>
      <c r="JZL50" s="16"/>
      <c r="JZM50" s="16"/>
      <c r="JZN50" s="16"/>
      <c r="JZO50" s="16"/>
      <c r="JZP50" s="16"/>
      <c r="JZQ50" s="16"/>
      <c r="JZR50" s="16"/>
      <c r="JZS50" s="16"/>
      <c r="JZT50" s="16"/>
      <c r="JZU50" s="16"/>
      <c r="JZV50" s="16"/>
      <c r="JZW50" s="16"/>
      <c r="JZX50" s="16"/>
      <c r="JZY50" s="16"/>
      <c r="JZZ50" s="16"/>
      <c r="KAA50" s="16"/>
      <c r="KAB50" s="16"/>
      <c r="KAC50" s="16"/>
      <c r="KAD50" s="16"/>
      <c r="KAE50" s="16"/>
      <c r="KAF50" s="16"/>
      <c r="KAG50" s="16"/>
      <c r="KAH50" s="16"/>
      <c r="KAI50" s="16"/>
      <c r="KAJ50" s="16"/>
      <c r="KAK50" s="16"/>
      <c r="KAL50" s="16"/>
      <c r="KAM50" s="16"/>
      <c r="KAN50" s="16"/>
      <c r="KAO50" s="16"/>
      <c r="KAP50" s="16"/>
      <c r="KAQ50" s="16"/>
      <c r="KAR50" s="16"/>
      <c r="KAS50" s="16"/>
      <c r="KAT50" s="16"/>
      <c r="KAU50" s="16"/>
      <c r="KAV50" s="16"/>
      <c r="KAW50" s="16"/>
      <c r="KAX50" s="16"/>
      <c r="KAY50" s="16"/>
      <c r="KAZ50" s="16"/>
      <c r="KBA50" s="16"/>
      <c r="KBB50" s="16"/>
      <c r="KBC50" s="16"/>
      <c r="KBD50" s="16"/>
      <c r="KBE50" s="16"/>
      <c r="KBF50" s="16"/>
      <c r="KBG50" s="16"/>
      <c r="KBH50" s="16"/>
      <c r="KBI50" s="16"/>
      <c r="KBJ50" s="16"/>
      <c r="KBK50" s="16"/>
      <c r="KBL50" s="16"/>
      <c r="KBM50" s="16"/>
      <c r="KBN50" s="16"/>
      <c r="KBO50" s="16"/>
      <c r="KBP50" s="16"/>
      <c r="KBQ50" s="16"/>
      <c r="KBR50" s="16"/>
      <c r="KBS50" s="16"/>
      <c r="KBT50" s="16"/>
      <c r="KBU50" s="16"/>
      <c r="KBV50" s="16"/>
      <c r="KBW50" s="16"/>
      <c r="KBX50" s="16"/>
      <c r="KBY50" s="16"/>
      <c r="KBZ50" s="16"/>
      <c r="KCA50" s="16"/>
      <c r="KCB50" s="16"/>
      <c r="KCC50" s="16"/>
      <c r="KCD50" s="16"/>
      <c r="KCE50" s="16"/>
      <c r="KCF50" s="16"/>
      <c r="KCG50" s="16"/>
      <c r="KCH50" s="16"/>
      <c r="KCI50" s="16"/>
      <c r="KCJ50" s="16"/>
      <c r="KCK50" s="16"/>
      <c r="KCL50" s="16"/>
      <c r="KCM50" s="16"/>
      <c r="KCN50" s="16"/>
      <c r="KCO50" s="16"/>
      <c r="KCP50" s="16"/>
      <c r="KCQ50" s="16"/>
      <c r="KCR50" s="16"/>
      <c r="KCS50" s="16"/>
      <c r="KCT50" s="16"/>
      <c r="KCU50" s="16"/>
      <c r="KCV50" s="16"/>
      <c r="KCW50" s="16"/>
      <c r="KCX50" s="16"/>
      <c r="KCY50" s="16"/>
      <c r="KCZ50" s="16"/>
      <c r="KDA50" s="16"/>
      <c r="KDB50" s="16"/>
      <c r="KDC50" s="16"/>
      <c r="KDD50" s="16"/>
      <c r="KDE50" s="16"/>
      <c r="KDF50" s="16"/>
      <c r="KDG50" s="16"/>
      <c r="KDH50" s="16"/>
      <c r="KDI50" s="16"/>
      <c r="KDJ50" s="16"/>
      <c r="KDK50" s="16"/>
      <c r="KDL50" s="16"/>
      <c r="KDM50" s="16"/>
      <c r="KDN50" s="16"/>
      <c r="KDO50" s="16"/>
      <c r="KDP50" s="16"/>
      <c r="KDQ50" s="16"/>
      <c r="KDR50" s="16"/>
      <c r="KDS50" s="16"/>
      <c r="KDT50" s="16"/>
      <c r="KDU50" s="16"/>
      <c r="KDV50" s="16"/>
      <c r="KDW50" s="16"/>
      <c r="KDX50" s="16"/>
      <c r="KDY50" s="16"/>
      <c r="KDZ50" s="16"/>
      <c r="KEA50" s="16"/>
      <c r="KEB50" s="16"/>
      <c r="KEC50" s="16"/>
      <c r="KED50" s="16"/>
      <c r="KEE50" s="16"/>
      <c r="KEF50" s="16"/>
      <c r="KEG50" s="16"/>
      <c r="KEH50" s="16"/>
      <c r="KEI50" s="16"/>
      <c r="KEJ50" s="16"/>
      <c r="KEK50" s="16"/>
      <c r="KEL50" s="16"/>
      <c r="KEM50" s="16"/>
      <c r="KEN50" s="16"/>
      <c r="KEO50" s="16"/>
      <c r="KEP50" s="16"/>
      <c r="KEQ50" s="16"/>
      <c r="KER50" s="16"/>
      <c r="KES50" s="16"/>
      <c r="KET50" s="16"/>
      <c r="KEU50" s="16"/>
      <c r="KEV50" s="16"/>
      <c r="KEW50" s="16"/>
      <c r="KEX50" s="16"/>
      <c r="KEY50" s="16"/>
      <c r="KEZ50" s="16"/>
      <c r="KFA50" s="16"/>
      <c r="KFB50" s="16"/>
      <c r="KFC50" s="16"/>
      <c r="KFD50" s="16"/>
      <c r="KFE50" s="16"/>
      <c r="KFF50" s="16"/>
      <c r="KFG50" s="16"/>
      <c r="KFH50" s="16"/>
      <c r="KFI50" s="16"/>
      <c r="KFJ50" s="16"/>
      <c r="KFK50" s="16"/>
      <c r="KFL50" s="16"/>
      <c r="KFM50" s="16"/>
      <c r="KFN50" s="16"/>
      <c r="KFO50" s="16"/>
      <c r="KFP50" s="16"/>
      <c r="KFQ50" s="16"/>
      <c r="KFR50" s="16"/>
      <c r="KFS50" s="16"/>
      <c r="KFT50" s="16"/>
      <c r="KFU50" s="16"/>
      <c r="KFV50" s="16"/>
      <c r="KFW50" s="16"/>
      <c r="KFX50" s="16"/>
      <c r="KFY50" s="16"/>
      <c r="KFZ50" s="16"/>
      <c r="KGA50" s="16"/>
      <c r="KGB50" s="16"/>
      <c r="KGC50" s="16"/>
      <c r="KGD50" s="16"/>
      <c r="KGE50" s="16"/>
      <c r="KGF50" s="16"/>
      <c r="KGG50" s="16"/>
      <c r="KGH50" s="16"/>
      <c r="KGI50" s="16"/>
      <c r="KGJ50" s="16"/>
      <c r="KGK50" s="16"/>
      <c r="KGL50" s="16"/>
      <c r="KGM50" s="16"/>
      <c r="KGN50" s="16"/>
      <c r="KGO50" s="16"/>
      <c r="KGP50" s="16"/>
      <c r="KGQ50" s="16"/>
      <c r="KGR50" s="16"/>
      <c r="KGS50" s="16"/>
      <c r="KGT50" s="16"/>
      <c r="KGU50" s="16"/>
      <c r="KGV50" s="16"/>
      <c r="KGW50" s="16"/>
      <c r="KGX50" s="16"/>
      <c r="KGY50" s="16"/>
      <c r="KGZ50" s="16"/>
      <c r="KHA50" s="16"/>
      <c r="KHB50" s="16"/>
      <c r="KHC50" s="16"/>
      <c r="KHD50" s="16"/>
      <c r="KHE50" s="16"/>
      <c r="KHF50" s="16"/>
      <c r="KHG50" s="16"/>
      <c r="KHH50" s="16"/>
      <c r="KHI50" s="16"/>
      <c r="KHJ50" s="16"/>
      <c r="KHK50" s="16"/>
      <c r="KHL50" s="16"/>
      <c r="KHM50" s="16"/>
      <c r="KHN50" s="16"/>
      <c r="KHO50" s="16"/>
      <c r="KHP50" s="16"/>
      <c r="KHQ50" s="16"/>
      <c r="KHR50" s="16"/>
      <c r="KHS50" s="16"/>
      <c r="KHT50" s="16"/>
      <c r="KHU50" s="16"/>
      <c r="KHV50" s="16"/>
      <c r="KHW50" s="16"/>
      <c r="KHX50" s="16"/>
      <c r="KHY50" s="16"/>
      <c r="KHZ50" s="16"/>
      <c r="KIA50" s="16"/>
      <c r="KIB50" s="16"/>
      <c r="KIC50" s="16"/>
      <c r="KID50" s="16"/>
      <c r="KIE50" s="16"/>
      <c r="KIF50" s="16"/>
      <c r="KIG50" s="16"/>
      <c r="KIH50" s="16"/>
      <c r="KII50" s="16"/>
      <c r="KIJ50" s="16"/>
      <c r="KIK50" s="16"/>
      <c r="KIL50" s="16"/>
      <c r="KIM50" s="16"/>
      <c r="KIN50" s="16"/>
      <c r="KIO50" s="16"/>
      <c r="KIP50" s="16"/>
      <c r="KIQ50" s="16"/>
      <c r="KIR50" s="16"/>
      <c r="KIS50" s="16"/>
      <c r="KIT50" s="16"/>
      <c r="KIU50" s="16"/>
      <c r="KIV50" s="16"/>
      <c r="KIW50" s="16"/>
      <c r="KIX50" s="16"/>
      <c r="KIY50" s="16"/>
      <c r="KIZ50" s="16"/>
      <c r="KJA50" s="16"/>
      <c r="KJB50" s="16"/>
      <c r="KJC50" s="16"/>
      <c r="KJD50" s="16"/>
      <c r="KJE50" s="16"/>
      <c r="KJF50" s="16"/>
      <c r="KJG50" s="16"/>
      <c r="KJH50" s="16"/>
      <c r="KJI50" s="16"/>
      <c r="KJJ50" s="16"/>
      <c r="KJK50" s="16"/>
      <c r="KJL50" s="16"/>
      <c r="KJM50" s="16"/>
      <c r="KJN50" s="16"/>
      <c r="KJO50" s="16"/>
      <c r="KJP50" s="16"/>
      <c r="KJQ50" s="16"/>
      <c r="KJR50" s="16"/>
      <c r="KJS50" s="16"/>
      <c r="KJT50" s="16"/>
      <c r="KJU50" s="16"/>
      <c r="KJV50" s="16"/>
      <c r="KJW50" s="16"/>
      <c r="KJX50" s="16"/>
      <c r="KJY50" s="16"/>
      <c r="KJZ50" s="16"/>
      <c r="KKA50" s="16"/>
      <c r="KKB50" s="16"/>
      <c r="KKC50" s="16"/>
      <c r="KKD50" s="16"/>
      <c r="KKE50" s="16"/>
      <c r="KKF50" s="16"/>
      <c r="KKG50" s="16"/>
      <c r="KKH50" s="16"/>
      <c r="KKI50" s="16"/>
      <c r="KKJ50" s="16"/>
      <c r="KKK50" s="16"/>
      <c r="KKL50" s="16"/>
      <c r="KKM50" s="16"/>
      <c r="KKN50" s="16"/>
      <c r="KKO50" s="16"/>
      <c r="KKP50" s="16"/>
      <c r="KKQ50" s="16"/>
      <c r="KKR50" s="16"/>
      <c r="KKS50" s="16"/>
      <c r="KKT50" s="16"/>
      <c r="KKU50" s="16"/>
      <c r="KKV50" s="16"/>
      <c r="KKW50" s="16"/>
      <c r="KKX50" s="16"/>
      <c r="KKY50" s="16"/>
      <c r="KKZ50" s="16"/>
      <c r="KLA50" s="16"/>
      <c r="KLB50" s="16"/>
      <c r="KLC50" s="16"/>
      <c r="KLD50" s="16"/>
      <c r="KLE50" s="16"/>
      <c r="KLF50" s="16"/>
      <c r="KLG50" s="16"/>
      <c r="KLH50" s="16"/>
      <c r="KLI50" s="16"/>
      <c r="KLJ50" s="16"/>
      <c r="KLK50" s="16"/>
      <c r="KLL50" s="16"/>
      <c r="KLM50" s="16"/>
      <c r="KLN50" s="16"/>
      <c r="KLO50" s="16"/>
      <c r="KLP50" s="16"/>
      <c r="KLQ50" s="16"/>
      <c r="KLR50" s="16"/>
      <c r="KLS50" s="16"/>
      <c r="KLT50" s="16"/>
      <c r="KLU50" s="16"/>
      <c r="KLV50" s="16"/>
      <c r="KLW50" s="16"/>
      <c r="KLX50" s="16"/>
      <c r="KLY50" s="16"/>
      <c r="KLZ50" s="16"/>
      <c r="KMA50" s="16"/>
      <c r="KMB50" s="16"/>
      <c r="KMC50" s="16"/>
      <c r="KMD50" s="16"/>
      <c r="KME50" s="16"/>
      <c r="KMF50" s="16"/>
      <c r="KMG50" s="16"/>
      <c r="KMH50" s="16"/>
      <c r="KMI50" s="16"/>
      <c r="KMJ50" s="16"/>
      <c r="KMK50" s="16"/>
      <c r="KML50" s="16"/>
      <c r="KMM50" s="16"/>
      <c r="KMN50" s="16"/>
      <c r="KMO50" s="16"/>
      <c r="KMP50" s="16"/>
      <c r="KMQ50" s="16"/>
      <c r="KMR50" s="16"/>
      <c r="KMS50" s="16"/>
      <c r="KMT50" s="16"/>
      <c r="KMU50" s="16"/>
      <c r="KMV50" s="16"/>
      <c r="KMW50" s="16"/>
      <c r="KMX50" s="16"/>
      <c r="KMY50" s="16"/>
      <c r="KMZ50" s="16"/>
      <c r="KNA50" s="16"/>
      <c r="KNB50" s="16"/>
      <c r="KNC50" s="16"/>
      <c r="KND50" s="16"/>
      <c r="KNE50" s="16"/>
      <c r="KNF50" s="16"/>
      <c r="KNG50" s="16"/>
      <c r="KNH50" s="16"/>
      <c r="KNI50" s="16"/>
      <c r="KNJ50" s="16"/>
      <c r="KNK50" s="16"/>
      <c r="KNL50" s="16"/>
      <c r="KNM50" s="16"/>
      <c r="KNN50" s="16"/>
      <c r="KNO50" s="16"/>
      <c r="KNP50" s="16"/>
      <c r="KNQ50" s="16"/>
      <c r="KNR50" s="16"/>
      <c r="KNS50" s="16"/>
      <c r="KNT50" s="16"/>
      <c r="KNU50" s="16"/>
      <c r="KNV50" s="16"/>
      <c r="KNW50" s="16"/>
      <c r="KNX50" s="16"/>
      <c r="KNY50" s="16"/>
      <c r="KNZ50" s="16"/>
      <c r="KOA50" s="16"/>
      <c r="KOB50" s="16"/>
      <c r="KOC50" s="16"/>
      <c r="KOD50" s="16"/>
      <c r="KOE50" s="16"/>
      <c r="KOF50" s="16"/>
      <c r="KOG50" s="16"/>
      <c r="KOH50" s="16"/>
      <c r="KOI50" s="16"/>
      <c r="KOJ50" s="16"/>
      <c r="KOK50" s="16"/>
      <c r="KOL50" s="16"/>
      <c r="KOM50" s="16"/>
      <c r="KON50" s="16"/>
      <c r="KOO50" s="16"/>
      <c r="KOP50" s="16"/>
      <c r="KOQ50" s="16"/>
      <c r="KOR50" s="16"/>
      <c r="KOS50" s="16"/>
      <c r="KOT50" s="16"/>
      <c r="KOU50" s="16"/>
      <c r="KOV50" s="16"/>
      <c r="KOW50" s="16"/>
      <c r="KOX50" s="16"/>
      <c r="KOY50" s="16"/>
      <c r="KOZ50" s="16"/>
      <c r="KPA50" s="16"/>
      <c r="KPB50" s="16"/>
      <c r="KPC50" s="16"/>
      <c r="KPD50" s="16"/>
      <c r="KPE50" s="16"/>
      <c r="KPF50" s="16"/>
      <c r="KPG50" s="16"/>
      <c r="KPH50" s="16"/>
      <c r="KPI50" s="16"/>
      <c r="KPJ50" s="16"/>
      <c r="KPK50" s="16"/>
      <c r="KPL50" s="16"/>
      <c r="KPM50" s="16"/>
      <c r="KPN50" s="16"/>
      <c r="KPO50" s="16"/>
      <c r="KPP50" s="16"/>
      <c r="KPQ50" s="16"/>
      <c r="KPR50" s="16"/>
      <c r="KPS50" s="16"/>
      <c r="KPT50" s="16"/>
      <c r="KPU50" s="16"/>
      <c r="KPV50" s="16"/>
      <c r="KPW50" s="16"/>
      <c r="KPX50" s="16"/>
      <c r="KPY50" s="16"/>
      <c r="KPZ50" s="16"/>
      <c r="KQA50" s="16"/>
      <c r="KQB50" s="16"/>
      <c r="KQC50" s="16"/>
      <c r="KQD50" s="16"/>
      <c r="KQE50" s="16"/>
      <c r="KQF50" s="16"/>
      <c r="KQG50" s="16"/>
      <c r="KQH50" s="16"/>
      <c r="KQI50" s="16"/>
      <c r="KQJ50" s="16"/>
      <c r="KQK50" s="16"/>
      <c r="KQL50" s="16"/>
      <c r="KQM50" s="16"/>
      <c r="KQN50" s="16"/>
      <c r="KQO50" s="16"/>
      <c r="KQP50" s="16"/>
      <c r="KQQ50" s="16"/>
      <c r="KQR50" s="16"/>
      <c r="KQS50" s="16"/>
      <c r="KQT50" s="16"/>
      <c r="KQU50" s="16"/>
      <c r="KQV50" s="16"/>
      <c r="KQW50" s="16"/>
      <c r="KQX50" s="16"/>
      <c r="KQY50" s="16"/>
      <c r="KQZ50" s="16"/>
      <c r="KRA50" s="16"/>
      <c r="KRB50" s="16"/>
      <c r="KRC50" s="16"/>
      <c r="KRD50" s="16"/>
      <c r="KRE50" s="16"/>
      <c r="KRF50" s="16"/>
      <c r="KRG50" s="16"/>
      <c r="KRH50" s="16"/>
      <c r="KRI50" s="16"/>
      <c r="KRJ50" s="16"/>
      <c r="KRK50" s="16"/>
      <c r="KRL50" s="16"/>
      <c r="KRM50" s="16"/>
      <c r="KRN50" s="16"/>
      <c r="KRO50" s="16"/>
      <c r="KRP50" s="16"/>
      <c r="KRQ50" s="16"/>
      <c r="KRR50" s="16"/>
      <c r="KRS50" s="16"/>
      <c r="KRT50" s="16"/>
      <c r="KRU50" s="16"/>
      <c r="KRV50" s="16"/>
      <c r="KRW50" s="16"/>
      <c r="KRX50" s="16"/>
      <c r="KRY50" s="16"/>
      <c r="KRZ50" s="16"/>
      <c r="KSA50" s="16"/>
      <c r="KSB50" s="16"/>
      <c r="KSC50" s="16"/>
      <c r="KSD50" s="16"/>
      <c r="KSE50" s="16"/>
      <c r="KSF50" s="16"/>
      <c r="KSG50" s="16"/>
      <c r="KSH50" s="16"/>
      <c r="KSI50" s="16"/>
      <c r="KSJ50" s="16"/>
      <c r="KSK50" s="16"/>
      <c r="KSL50" s="16"/>
      <c r="KSM50" s="16"/>
      <c r="KSN50" s="16"/>
      <c r="KSO50" s="16"/>
      <c r="KSP50" s="16"/>
      <c r="KSQ50" s="16"/>
      <c r="KSR50" s="16"/>
      <c r="KSS50" s="16"/>
      <c r="KST50" s="16"/>
      <c r="KSU50" s="16"/>
      <c r="KSV50" s="16"/>
      <c r="KSW50" s="16"/>
      <c r="KSX50" s="16"/>
      <c r="KSY50" s="16"/>
      <c r="KSZ50" s="16"/>
      <c r="KTA50" s="16"/>
      <c r="KTB50" s="16"/>
      <c r="KTC50" s="16"/>
      <c r="KTD50" s="16"/>
      <c r="KTE50" s="16"/>
      <c r="KTF50" s="16"/>
      <c r="KTG50" s="16"/>
      <c r="KTH50" s="16"/>
      <c r="KTI50" s="16"/>
      <c r="KTJ50" s="16"/>
      <c r="KTK50" s="16"/>
      <c r="KTL50" s="16"/>
      <c r="KTM50" s="16"/>
      <c r="KTN50" s="16"/>
      <c r="KTO50" s="16"/>
      <c r="KTP50" s="16"/>
      <c r="KTQ50" s="16"/>
      <c r="KTR50" s="16"/>
      <c r="KTS50" s="16"/>
      <c r="KTT50" s="16"/>
      <c r="KTU50" s="16"/>
      <c r="KTV50" s="16"/>
      <c r="KTW50" s="16"/>
      <c r="KTX50" s="16"/>
      <c r="KTY50" s="16"/>
      <c r="KTZ50" s="16"/>
      <c r="KUA50" s="16"/>
      <c r="KUB50" s="16"/>
      <c r="KUC50" s="16"/>
      <c r="KUD50" s="16"/>
      <c r="KUE50" s="16"/>
      <c r="KUF50" s="16"/>
      <c r="KUG50" s="16"/>
      <c r="KUH50" s="16"/>
      <c r="KUI50" s="16"/>
      <c r="KUJ50" s="16"/>
      <c r="KUK50" s="16"/>
      <c r="KUL50" s="16"/>
      <c r="KUM50" s="16"/>
      <c r="KUN50" s="16"/>
      <c r="KUO50" s="16"/>
      <c r="KUP50" s="16"/>
      <c r="KUQ50" s="16"/>
      <c r="KUR50" s="16"/>
      <c r="KUS50" s="16"/>
      <c r="KUT50" s="16"/>
      <c r="KUU50" s="16"/>
      <c r="KUV50" s="16"/>
      <c r="KUW50" s="16"/>
      <c r="KUX50" s="16"/>
      <c r="KUY50" s="16"/>
      <c r="KUZ50" s="16"/>
      <c r="KVA50" s="16"/>
      <c r="KVB50" s="16"/>
      <c r="KVC50" s="16"/>
      <c r="KVD50" s="16"/>
      <c r="KVE50" s="16"/>
      <c r="KVF50" s="16"/>
      <c r="KVG50" s="16"/>
      <c r="KVH50" s="16"/>
      <c r="KVI50" s="16"/>
      <c r="KVJ50" s="16"/>
      <c r="KVK50" s="16"/>
      <c r="KVL50" s="16"/>
      <c r="KVM50" s="16"/>
      <c r="KVN50" s="16"/>
      <c r="KVO50" s="16"/>
      <c r="KVP50" s="16"/>
      <c r="KVQ50" s="16"/>
      <c r="KVR50" s="16"/>
      <c r="KVS50" s="16"/>
      <c r="KVT50" s="16"/>
      <c r="KVU50" s="16"/>
      <c r="KVV50" s="16"/>
      <c r="KVW50" s="16"/>
      <c r="KVX50" s="16"/>
      <c r="KVY50" s="16"/>
      <c r="KVZ50" s="16"/>
      <c r="KWA50" s="16"/>
      <c r="KWB50" s="16"/>
      <c r="KWC50" s="16"/>
      <c r="KWD50" s="16"/>
      <c r="KWE50" s="16"/>
      <c r="KWF50" s="16"/>
      <c r="KWG50" s="16"/>
      <c r="KWH50" s="16"/>
      <c r="KWI50" s="16"/>
      <c r="KWJ50" s="16"/>
      <c r="KWK50" s="16"/>
      <c r="KWL50" s="16"/>
      <c r="KWM50" s="16"/>
      <c r="KWN50" s="16"/>
      <c r="KWO50" s="16"/>
      <c r="KWP50" s="16"/>
      <c r="KWQ50" s="16"/>
      <c r="KWR50" s="16"/>
      <c r="KWS50" s="16"/>
      <c r="KWT50" s="16"/>
      <c r="KWU50" s="16"/>
      <c r="KWV50" s="16"/>
      <c r="KWW50" s="16"/>
      <c r="KWX50" s="16"/>
      <c r="KWY50" s="16"/>
      <c r="KWZ50" s="16"/>
      <c r="KXA50" s="16"/>
      <c r="KXB50" s="16"/>
      <c r="KXC50" s="16"/>
      <c r="KXD50" s="16"/>
      <c r="KXE50" s="16"/>
      <c r="KXF50" s="16"/>
      <c r="KXG50" s="16"/>
      <c r="KXH50" s="16"/>
      <c r="KXI50" s="16"/>
      <c r="KXJ50" s="16"/>
      <c r="KXK50" s="16"/>
      <c r="KXL50" s="16"/>
      <c r="KXM50" s="16"/>
      <c r="KXN50" s="16"/>
      <c r="KXO50" s="16"/>
      <c r="KXP50" s="16"/>
      <c r="KXQ50" s="16"/>
      <c r="KXR50" s="16"/>
      <c r="KXS50" s="16"/>
      <c r="KXT50" s="16"/>
      <c r="KXU50" s="16"/>
      <c r="KXV50" s="16"/>
      <c r="KXW50" s="16"/>
      <c r="KXX50" s="16"/>
      <c r="KXY50" s="16"/>
      <c r="KXZ50" s="16"/>
      <c r="KYA50" s="16"/>
      <c r="KYB50" s="16"/>
      <c r="KYC50" s="16"/>
      <c r="KYD50" s="16"/>
      <c r="KYE50" s="16"/>
      <c r="KYF50" s="16"/>
      <c r="KYG50" s="16"/>
      <c r="KYH50" s="16"/>
      <c r="KYI50" s="16"/>
      <c r="KYJ50" s="16"/>
      <c r="KYK50" s="16"/>
      <c r="KYL50" s="16"/>
      <c r="KYM50" s="16"/>
      <c r="KYN50" s="16"/>
      <c r="KYO50" s="16"/>
      <c r="KYP50" s="16"/>
      <c r="KYQ50" s="16"/>
      <c r="KYR50" s="16"/>
      <c r="KYS50" s="16"/>
      <c r="KYT50" s="16"/>
      <c r="KYU50" s="16"/>
      <c r="KYV50" s="16"/>
      <c r="KYW50" s="16"/>
      <c r="KYX50" s="16"/>
      <c r="KYY50" s="16"/>
      <c r="KYZ50" s="16"/>
      <c r="KZA50" s="16"/>
      <c r="KZB50" s="16"/>
      <c r="KZC50" s="16"/>
      <c r="KZD50" s="16"/>
      <c r="KZE50" s="16"/>
      <c r="KZF50" s="16"/>
      <c r="KZG50" s="16"/>
      <c r="KZH50" s="16"/>
      <c r="KZI50" s="16"/>
      <c r="KZJ50" s="16"/>
      <c r="KZK50" s="16"/>
      <c r="KZL50" s="16"/>
      <c r="KZM50" s="16"/>
      <c r="KZN50" s="16"/>
      <c r="KZO50" s="16"/>
      <c r="KZP50" s="16"/>
      <c r="KZQ50" s="16"/>
      <c r="KZR50" s="16"/>
      <c r="KZS50" s="16"/>
      <c r="KZT50" s="16"/>
      <c r="KZU50" s="16"/>
      <c r="KZV50" s="16"/>
      <c r="KZW50" s="16"/>
      <c r="KZX50" s="16"/>
      <c r="KZY50" s="16"/>
      <c r="KZZ50" s="16"/>
      <c r="LAA50" s="16"/>
      <c r="LAB50" s="16"/>
      <c r="LAC50" s="16"/>
      <c r="LAD50" s="16"/>
      <c r="LAE50" s="16"/>
      <c r="LAF50" s="16"/>
      <c r="LAG50" s="16"/>
      <c r="LAH50" s="16"/>
      <c r="LAI50" s="16"/>
      <c r="LAJ50" s="16"/>
      <c r="LAK50" s="16"/>
      <c r="LAL50" s="16"/>
      <c r="LAM50" s="16"/>
      <c r="LAN50" s="16"/>
      <c r="LAO50" s="16"/>
      <c r="LAP50" s="16"/>
      <c r="LAQ50" s="16"/>
      <c r="LAR50" s="16"/>
      <c r="LAS50" s="16"/>
      <c r="LAT50" s="16"/>
      <c r="LAU50" s="16"/>
      <c r="LAV50" s="16"/>
      <c r="LAW50" s="16"/>
      <c r="LAX50" s="16"/>
      <c r="LAY50" s="16"/>
      <c r="LAZ50" s="16"/>
      <c r="LBA50" s="16"/>
      <c r="LBB50" s="16"/>
      <c r="LBC50" s="16"/>
      <c r="LBD50" s="16"/>
      <c r="LBE50" s="16"/>
      <c r="LBF50" s="16"/>
      <c r="LBG50" s="16"/>
      <c r="LBH50" s="16"/>
      <c r="LBI50" s="16"/>
      <c r="LBJ50" s="16"/>
      <c r="LBK50" s="16"/>
      <c r="LBL50" s="16"/>
      <c r="LBM50" s="16"/>
      <c r="LBN50" s="16"/>
      <c r="LBO50" s="16"/>
      <c r="LBP50" s="16"/>
      <c r="LBQ50" s="16"/>
      <c r="LBR50" s="16"/>
      <c r="LBS50" s="16"/>
      <c r="LBT50" s="16"/>
      <c r="LBU50" s="16"/>
      <c r="LBV50" s="16"/>
      <c r="LBW50" s="16"/>
      <c r="LBX50" s="16"/>
      <c r="LBY50" s="16"/>
      <c r="LBZ50" s="16"/>
      <c r="LCA50" s="16"/>
      <c r="LCB50" s="16"/>
      <c r="LCC50" s="16"/>
      <c r="LCD50" s="16"/>
      <c r="LCE50" s="16"/>
      <c r="LCF50" s="16"/>
      <c r="LCG50" s="16"/>
      <c r="LCH50" s="16"/>
      <c r="LCI50" s="16"/>
      <c r="LCJ50" s="16"/>
      <c r="LCK50" s="16"/>
      <c r="LCL50" s="16"/>
      <c r="LCM50" s="16"/>
      <c r="LCN50" s="16"/>
      <c r="LCO50" s="16"/>
      <c r="LCP50" s="16"/>
      <c r="LCQ50" s="16"/>
      <c r="LCR50" s="16"/>
      <c r="LCS50" s="16"/>
      <c r="LCT50" s="16"/>
      <c r="LCU50" s="16"/>
      <c r="LCV50" s="16"/>
      <c r="LCW50" s="16"/>
      <c r="LCX50" s="16"/>
      <c r="LCY50" s="16"/>
      <c r="LCZ50" s="16"/>
      <c r="LDA50" s="16"/>
      <c r="LDB50" s="16"/>
      <c r="LDC50" s="16"/>
      <c r="LDD50" s="16"/>
      <c r="LDE50" s="16"/>
      <c r="LDF50" s="16"/>
      <c r="LDG50" s="16"/>
      <c r="LDH50" s="16"/>
      <c r="LDI50" s="16"/>
      <c r="LDJ50" s="16"/>
      <c r="LDK50" s="16"/>
      <c r="LDL50" s="16"/>
      <c r="LDM50" s="16"/>
      <c r="LDN50" s="16"/>
      <c r="LDO50" s="16"/>
      <c r="LDP50" s="16"/>
      <c r="LDQ50" s="16"/>
      <c r="LDR50" s="16"/>
      <c r="LDS50" s="16"/>
      <c r="LDT50" s="16"/>
      <c r="LDU50" s="16"/>
      <c r="LDV50" s="16"/>
      <c r="LDW50" s="16"/>
      <c r="LDX50" s="16"/>
      <c r="LDY50" s="16"/>
      <c r="LDZ50" s="16"/>
      <c r="LEA50" s="16"/>
      <c r="LEB50" s="16"/>
      <c r="LEC50" s="16"/>
      <c r="LED50" s="16"/>
      <c r="LEE50" s="16"/>
      <c r="LEF50" s="16"/>
      <c r="LEG50" s="16"/>
      <c r="LEH50" s="16"/>
      <c r="LEI50" s="16"/>
      <c r="LEJ50" s="16"/>
      <c r="LEK50" s="16"/>
      <c r="LEL50" s="16"/>
      <c r="LEM50" s="16"/>
      <c r="LEN50" s="16"/>
      <c r="LEO50" s="16"/>
      <c r="LEP50" s="16"/>
      <c r="LEQ50" s="16"/>
      <c r="LER50" s="16"/>
      <c r="LES50" s="16"/>
      <c r="LET50" s="16"/>
      <c r="LEU50" s="16"/>
      <c r="LEV50" s="16"/>
      <c r="LEW50" s="16"/>
      <c r="LEX50" s="16"/>
      <c r="LEY50" s="16"/>
      <c r="LEZ50" s="16"/>
      <c r="LFA50" s="16"/>
      <c r="LFB50" s="16"/>
      <c r="LFC50" s="16"/>
      <c r="LFD50" s="16"/>
      <c r="LFE50" s="16"/>
      <c r="LFF50" s="16"/>
      <c r="LFG50" s="16"/>
      <c r="LFH50" s="16"/>
      <c r="LFI50" s="16"/>
      <c r="LFJ50" s="16"/>
      <c r="LFK50" s="16"/>
      <c r="LFL50" s="16"/>
      <c r="LFM50" s="16"/>
      <c r="LFN50" s="16"/>
      <c r="LFO50" s="16"/>
      <c r="LFP50" s="16"/>
      <c r="LFQ50" s="16"/>
      <c r="LFR50" s="16"/>
      <c r="LFS50" s="16"/>
      <c r="LFT50" s="16"/>
      <c r="LFU50" s="16"/>
      <c r="LFV50" s="16"/>
      <c r="LFW50" s="16"/>
      <c r="LFX50" s="16"/>
      <c r="LFY50" s="16"/>
      <c r="LFZ50" s="16"/>
      <c r="LGA50" s="16"/>
      <c r="LGB50" s="16"/>
      <c r="LGC50" s="16"/>
      <c r="LGD50" s="16"/>
      <c r="LGE50" s="16"/>
      <c r="LGF50" s="16"/>
      <c r="LGG50" s="16"/>
      <c r="LGH50" s="16"/>
      <c r="LGI50" s="16"/>
      <c r="LGJ50" s="16"/>
      <c r="LGK50" s="16"/>
      <c r="LGL50" s="16"/>
      <c r="LGM50" s="16"/>
      <c r="LGN50" s="16"/>
      <c r="LGO50" s="16"/>
      <c r="LGP50" s="16"/>
      <c r="LGQ50" s="16"/>
      <c r="LGR50" s="16"/>
      <c r="LGS50" s="16"/>
      <c r="LGT50" s="16"/>
      <c r="LGU50" s="16"/>
      <c r="LGV50" s="16"/>
      <c r="LGW50" s="16"/>
      <c r="LGX50" s="16"/>
      <c r="LGY50" s="16"/>
      <c r="LGZ50" s="16"/>
      <c r="LHA50" s="16"/>
      <c r="LHB50" s="16"/>
      <c r="LHC50" s="16"/>
      <c r="LHD50" s="16"/>
      <c r="LHE50" s="16"/>
      <c r="LHF50" s="16"/>
      <c r="LHG50" s="16"/>
      <c r="LHH50" s="16"/>
      <c r="LHI50" s="16"/>
      <c r="LHJ50" s="16"/>
      <c r="LHK50" s="16"/>
      <c r="LHL50" s="16"/>
      <c r="LHM50" s="16"/>
      <c r="LHN50" s="16"/>
      <c r="LHO50" s="16"/>
      <c r="LHP50" s="16"/>
      <c r="LHQ50" s="16"/>
      <c r="LHR50" s="16"/>
      <c r="LHS50" s="16"/>
      <c r="LHT50" s="16"/>
      <c r="LHU50" s="16"/>
      <c r="LHV50" s="16"/>
      <c r="LHW50" s="16"/>
      <c r="LHX50" s="16"/>
      <c r="LHY50" s="16"/>
      <c r="LHZ50" s="16"/>
      <c r="LIA50" s="16"/>
      <c r="LIB50" s="16"/>
      <c r="LIC50" s="16"/>
      <c r="LID50" s="16"/>
      <c r="LIE50" s="16"/>
      <c r="LIF50" s="16"/>
      <c r="LIG50" s="16"/>
      <c r="LIH50" s="16"/>
      <c r="LII50" s="16"/>
      <c r="LIJ50" s="16"/>
      <c r="LIK50" s="16"/>
      <c r="LIL50" s="16"/>
      <c r="LIM50" s="16"/>
      <c r="LIN50" s="16"/>
      <c r="LIO50" s="16"/>
      <c r="LIP50" s="16"/>
      <c r="LIQ50" s="16"/>
      <c r="LIR50" s="16"/>
      <c r="LIS50" s="16"/>
      <c r="LIT50" s="16"/>
      <c r="LIU50" s="16"/>
      <c r="LIV50" s="16"/>
      <c r="LIW50" s="16"/>
      <c r="LIX50" s="16"/>
      <c r="LIY50" s="16"/>
      <c r="LIZ50" s="16"/>
      <c r="LJA50" s="16"/>
      <c r="LJB50" s="16"/>
      <c r="LJC50" s="16"/>
      <c r="LJD50" s="16"/>
      <c r="LJE50" s="16"/>
      <c r="LJF50" s="16"/>
      <c r="LJG50" s="16"/>
      <c r="LJH50" s="16"/>
      <c r="LJI50" s="16"/>
      <c r="LJJ50" s="16"/>
      <c r="LJK50" s="16"/>
      <c r="LJL50" s="16"/>
      <c r="LJM50" s="16"/>
      <c r="LJN50" s="16"/>
      <c r="LJO50" s="16"/>
      <c r="LJP50" s="16"/>
      <c r="LJQ50" s="16"/>
      <c r="LJR50" s="16"/>
      <c r="LJS50" s="16"/>
      <c r="LJT50" s="16"/>
      <c r="LJU50" s="16"/>
      <c r="LJV50" s="16"/>
      <c r="LJW50" s="16"/>
      <c r="LJX50" s="16"/>
      <c r="LJY50" s="16"/>
      <c r="LJZ50" s="16"/>
      <c r="LKA50" s="16"/>
      <c r="LKB50" s="16"/>
      <c r="LKC50" s="16"/>
      <c r="LKD50" s="16"/>
      <c r="LKE50" s="16"/>
      <c r="LKF50" s="16"/>
      <c r="LKG50" s="16"/>
      <c r="LKH50" s="16"/>
      <c r="LKI50" s="16"/>
      <c r="LKJ50" s="16"/>
      <c r="LKK50" s="16"/>
      <c r="LKL50" s="16"/>
      <c r="LKM50" s="16"/>
      <c r="LKN50" s="16"/>
      <c r="LKO50" s="16"/>
      <c r="LKP50" s="16"/>
      <c r="LKQ50" s="16"/>
      <c r="LKR50" s="16"/>
      <c r="LKS50" s="16"/>
      <c r="LKT50" s="16"/>
      <c r="LKU50" s="16"/>
      <c r="LKV50" s="16"/>
      <c r="LKW50" s="16"/>
      <c r="LKX50" s="16"/>
      <c r="LKY50" s="16"/>
      <c r="LKZ50" s="16"/>
      <c r="LLA50" s="16"/>
      <c r="LLB50" s="16"/>
      <c r="LLC50" s="16"/>
      <c r="LLD50" s="16"/>
      <c r="LLE50" s="16"/>
      <c r="LLF50" s="16"/>
      <c r="LLG50" s="16"/>
      <c r="LLH50" s="16"/>
      <c r="LLI50" s="16"/>
      <c r="LLJ50" s="16"/>
      <c r="LLK50" s="16"/>
      <c r="LLL50" s="16"/>
      <c r="LLM50" s="16"/>
      <c r="LLN50" s="16"/>
      <c r="LLO50" s="16"/>
      <c r="LLP50" s="16"/>
      <c r="LLQ50" s="16"/>
      <c r="LLR50" s="16"/>
      <c r="LLS50" s="16"/>
      <c r="LLT50" s="16"/>
      <c r="LLU50" s="16"/>
      <c r="LLV50" s="16"/>
      <c r="LLW50" s="16"/>
      <c r="LLX50" s="16"/>
      <c r="LLY50" s="16"/>
      <c r="LLZ50" s="16"/>
      <c r="LMA50" s="16"/>
      <c r="LMB50" s="16"/>
      <c r="LMC50" s="16"/>
      <c r="LMD50" s="16"/>
      <c r="LME50" s="16"/>
      <c r="LMF50" s="16"/>
      <c r="LMG50" s="16"/>
      <c r="LMH50" s="16"/>
      <c r="LMI50" s="16"/>
      <c r="LMJ50" s="16"/>
      <c r="LMK50" s="16"/>
      <c r="LML50" s="16"/>
      <c r="LMM50" s="16"/>
      <c r="LMN50" s="16"/>
      <c r="LMO50" s="16"/>
      <c r="LMP50" s="16"/>
      <c r="LMQ50" s="16"/>
      <c r="LMR50" s="16"/>
      <c r="LMS50" s="16"/>
      <c r="LMT50" s="16"/>
      <c r="LMU50" s="16"/>
      <c r="LMV50" s="16"/>
      <c r="LMW50" s="16"/>
      <c r="LMX50" s="16"/>
      <c r="LMY50" s="16"/>
      <c r="LMZ50" s="16"/>
      <c r="LNA50" s="16"/>
      <c r="LNB50" s="16"/>
      <c r="LNC50" s="16"/>
      <c r="LND50" s="16"/>
      <c r="LNE50" s="16"/>
      <c r="LNF50" s="16"/>
      <c r="LNG50" s="16"/>
      <c r="LNH50" s="16"/>
      <c r="LNI50" s="16"/>
      <c r="LNJ50" s="16"/>
      <c r="LNK50" s="16"/>
      <c r="LNL50" s="16"/>
      <c r="LNM50" s="16"/>
      <c r="LNN50" s="16"/>
      <c r="LNO50" s="16"/>
      <c r="LNP50" s="16"/>
      <c r="LNQ50" s="16"/>
      <c r="LNR50" s="16"/>
      <c r="LNS50" s="16"/>
      <c r="LNT50" s="16"/>
      <c r="LNU50" s="16"/>
      <c r="LNV50" s="16"/>
      <c r="LNW50" s="16"/>
      <c r="LNX50" s="16"/>
      <c r="LNY50" s="16"/>
      <c r="LNZ50" s="16"/>
      <c r="LOA50" s="16"/>
      <c r="LOB50" s="16"/>
      <c r="LOC50" s="16"/>
      <c r="LOD50" s="16"/>
      <c r="LOE50" s="16"/>
      <c r="LOF50" s="16"/>
      <c r="LOG50" s="16"/>
      <c r="LOH50" s="16"/>
      <c r="LOI50" s="16"/>
      <c r="LOJ50" s="16"/>
      <c r="LOK50" s="16"/>
      <c r="LOL50" s="16"/>
      <c r="LOM50" s="16"/>
      <c r="LON50" s="16"/>
      <c r="LOO50" s="16"/>
      <c r="LOP50" s="16"/>
      <c r="LOQ50" s="16"/>
      <c r="LOR50" s="16"/>
      <c r="LOS50" s="16"/>
      <c r="LOT50" s="16"/>
      <c r="LOU50" s="16"/>
      <c r="LOV50" s="16"/>
      <c r="LOW50" s="16"/>
      <c r="LOX50" s="16"/>
      <c r="LOY50" s="16"/>
      <c r="LOZ50" s="16"/>
      <c r="LPA50" s="16"/>
      <c r="LPB50" s="16"/>
      <c r="LPC50" s="16"/>
      <c r="LPD50" s="16"/>
      <c r="LPE50" s="16"/>
      <c r="LPF50" s="16"/>
      <c r="LPG50" s="16"/>
      <c r="LPH50" s="16"/>
      <c r="LPI50" s="16"/>
      <c r="LPJ50" s="16"/>
      <c r="LPK50" s="16"/>
      <c r="LPL50" s="16"/>
      <c r="LPM50" s="16"/>
      <c r="LPN50" s="16"/>
      <c r="LPO50" s="16"/>
      <c r="LPP50" s="16"/>
      <c r="LPQ50" s="16"/>
      <c r="LPR50" s="16"/>
      <c r="LPS50" s="16"/>
      <c r="LPT50" s="16"/>
      <c r="LPU50" s="16"/>
      <c r="LPV50" s="16"/>
      <c r="LPW50" s="16"/>
      <c r="LPX50" s="16"/>
      <c r="LPY50" s="16"/>
      <c r="LPZ50" s="16"/>
      <c r="LQA50" s="16"/>
      <c r="LQB50" s="16"/>
      <c r="LQC50" s="16"/>
      <c r="LQD50" s="16"/>
      <c r="LQE50" s="16"/>
      <c r="LQF50" s="16"/>
      <c r="LQG50" s="16"/>
      <c r="LQH50" s="16"/>
      <c r="LQI50" s="16"/>
      <c r="LQJ50" s="16"/>
      <c r="LQK50" s="16"/>
      <c r="LQL50" s="16"/>
      <c r="LQM50" s="16"/>
      <c r="LQN50" s="16"/>
      <c r="LQO50" s="16"/>
      <c r="LQP50" s="16"/>
      <c r="LQQ50" s="16"/>
      <c r="LQR50" s="16"/>
      <c r="LQS50" s="16"/>
      <c r="LQT50" s="16"/>
      <c r="LQU50" s="16"/>
      <c r="LQV50" s="16"/>
      <c r="LQW50" s="16"/>
      <c r="LQX50" s="16"/>
      <c r="LQY50" s="16"/>
      <c r="LQZ50" s="16"/>
      <c r="LRA50" s="16"/>
      <c r="LRB50" s="16"/>
      <c r="LRC50" s="16"/>
      <c r="LRD50" s="16"/>
      <c r="LRE50" s="16"/>
      <c r="LRF50" s="16"/>
      <c r="LRG50" s="16"/>
      <c r="LRH50" s="16"/>
      <c r="LRI50" s="16"/>
      <c r="LRJ50" s="16"/>
      <c r="LRK50" s="16"/>
      <c r="LRL50" s="16"/>
      <c r="LRM50" s="16"/>
      <c r="LRN50" s="16"/>
      <c r="LRO50" s="16"/>
      <c r="LRP50" s="16"/>
      <c r="LRQ50" s="16"/>
      <c r="LRR50" s="16"/>
      <c r="LRS50" s="16"/>
      <c r="LRT50" s="16"/>
      <c r="LRU50" s="16"/>
      <c r="LRV50" s="16"/>
      <c r="LRW50" s="16"/>
      <c r="LRX50" s="16"/>
      <c r="LRY50" s="16"/>
      <c r="LRZ50" s="16"/>
      <c r="LSA50" s="16"/>
      <c r="LSB50" s="16"/>
      <c r="LSC50" s="16"/>
      <c r="LSD50" s="16"/>
      <c r="LSE50" s="16"/>
      <c r="LSF50" s="16"/>
      <c r="LSG50" s="16"/>
      <c r="LSH50" s="16"/>
      <c r="LSI50" s="16"/>
      <c r="LSJ50" s="16"/>
      <c r="LSK50" s="16"/>
      <c r="LSL50" s="16"/>
      <c r="LSM50" s="16"/>
      <c r="LSN50" s="16"/>
      <c r="LSO50" s="16"/>
      <c r="LSP50" s="16"/>
      <c r="LSQ50" s="16"/>
      <c r="LSR50" s="16"/>
      <c r="LSS50" s="16"/>
      <c r="LST50" s="16"/>
      <c r="LSU50" s="16"/>
      <c r="LSV50" s="16"/>
      <c r="LSW50" s="16"/>
      <c r="LSX50" s="16"/>
      <c r="LSY50" s="16"/>
      <c r="LSZ50" s="16"/>
      <c r="LTA50" s="16"/>
      <c r="LTB50" s="16"/>
      <c r="LTC50" s="16"/>
      <c r="LTD50" s="16"/>
      <c r="LTE50" s="16"/>
      <c r="LTF50" s="16"/>
      <c r="LTG50" s="16"/>
      <c r="LTH50" s="16"/>
      <c r="LTI50" s="16"/>
      <c r="LTJ50" s="16"/>
      <c r="LTK50" s="16"/>
      <c r="LTL50" s="16"/>
      <c r="LTM50" s="16"/>
      <c r="LTN50" s="16"/>
      <c r="LTO50" s="16"/>
      <c r="LTP50" s="16"/>
      <c r="LTQ50" s="16"/>
      <c r="LTR50" s="16"/>
      <c r="LTS50" s="16"/>
      <c r="LTT50" s="16"/>
      <c r="LTU50" s="16"/>
      <c r="LTV50" s="16"/>
      <c r="LTW50" s="16"/>
      <c r="LTX50" s="16"/>
      <c r="LTY50" s="16"/>
      <c r="LTZ50" s="16"/>
      <c r="LUA50" s="16"/>
      <c r="LUB50" s="16"/>
      <c r="LUC50" s="16"/>
      <c r="LUD50" s="16"/>
      <c r="LUE50" s="16"/>
      <c r="LUF50" s="16"/>
      <c r="LUG50" s="16"/>
      <c r="LUH50" s="16"/>
      <c r="LUI50" s="16"/>
      <c r="LUJ50" s="16"/>
      <c r="LUK50" s="16"/>
      <c r="LUL50" s="16"/>
      <c r="LUM50" s="16"/>
      <c r="LUN50" s="16"/>
      <c r="LUO50" s="16"/>
      <c r="LUP50" s="16"/>
      <c r="LUQ50" s="16"/>
      <c r="LUR50" s="16"/>
      <c r="LUS50" s="16"/>
      <c r="LUT50" s="16"/>
      <c r="LUU50" s="16"/>
      <c r="LUV50" s="16"/>
      <c r="LUW50" s="16"/>
      <c r="LUX50" s="16"/>
      <c r="LUY50" s="16"/>
      <c r="LUZ50" s="16"/>
      <c r="LVA50" s="16"/>
      <c r="LVB50" s="16"/>
      <c r="LVC50" s="16"/>
      <c r="LVD50" s="16"/>
      <c r="LVE50" s="16"/>
      <c r="LVF50" s="16"/>
      <c r="LVG50" s="16"/>
      <c r="LVH50" s="16"/>
      <c r="LVI50" s="16"/>
      <c r="LVJ50" s="16"/>
      <c r="LVK50" s="16"/>
      <c r="LVL50" s="16"/>
      <c r="LVM50" s="16"/>
      <c r="LVN50" s="16"/>
      <c r="LVO50" s="16"/>
      <c r="LVP50" s="16"/>
      <c r="LVQ50" s="16"/>
      <c r="LVR50" s="16"/>
      <c r="LVS50" s="16"/>
      <c r="LVT50" s="16"/>
      <c r="LVU50" s="16"/>
      <c r="LVV50" s="16"/>
      <c r="LVW50" s="16"/>
      <c r="LVX50" s="16"/>
      <c r="LVY50" s="16"/>
      <c r="LVZ50" s="16"/>
      <c r="LWA50" s="16"/>
      <c r="LWB50" s="16"/>
      <c r="LWC50" s="16"/>
      <c r="LWD50" s="16"/>
      <c r="LWE50" s="16"/>
      <c r="LWF50" s="16"/>
      <c r="LWG50" s="16"/>
      <c r="LWH50" s="16"/>
      <c r="LWI50" s="16"/>
      <c r="LWJ50" s="16"/>
      <c r="LWK50" s="16"/>
      <c r="LWL50" s="16"/>
      <c r="LWM50" s="16"/>
      <c r="LWN50" s="16"/>
      <c r="LWO50" s="16"/>
      <c r="LWP50" s="16"/>
      <c r="LWQ50" s="16"/>
      <c r="LWR50" s="16"/>
      <c r="LWS50" s="16"/>
      <c r="LWT50" s="16"/>
      <c r="LWU50" s="16"/>
      <c r="LWV50" s="16"/>
      <c r="LWW50" s="16"/>
      <c r="LWX50" s="16"/>
      <c r="LWY50" s="16"/>
      <c r="LWZ50" s="16"/>
      <c r="LXA50" s="16"/>
      <c r="LXB50" s="16"/>
      <c r="LXC50" s="16"/>
      <c r="LXD50" s="16"/>
      <c r="LXE50" s="16"/>
      <c r="LXF50" s="16"/>
      <c r="LXG50" s="16"/>
      <c r="LXH50" s="16"/>
      <c r="LXI50" s="16"/>
      <c r="LXJ50" s="16"/>
      <c r="LXK50" s="16"/>
      <c r="LXL50" s="16"/>
      <c r="LXM50" s="16"/>
      <c r="LXN50" s="16"/>
      <c r="LXO50" s="16"/>
      <c r="LXP50" s="16"/>
      <c r="LXQ50" s="16"/>
      <c r="LXR50" s="16"/>
      <c r="LXS50" s="16"/>
      <c r="LXT50" s="16"/>
      <c r="LXU50" s="16"/>
      <c r="LXV50" s="16"/>
      <c r="LXW50" s="16"/>
      <c r="LXX50" s="16"/>
      <c r="LXY50" s="16"/>
      <c r="LXZ50" s="16"/>
      <c r="LYA50" s="16"/>
      <c r="LYB50" s="16"/>
      <c r="LYC50" s="16"/>
      <c r="LYD50" s="16"/>
      <c r="LYE50" s="16"/>
      <c r="LYF50" s="16"/>
      <c r="LYG50" s="16"/>
      <c r="LYH50" s="16"/>
      <c r="LYI50" s="16"/>
      <c r="LYJ50" s="16"/>
      <c r="LYK50" s="16"/>
      <c r="LYL50" s="16"/>
      <c r="LYM50" s="16"/>
      <c r="LYN50" s="16"/>
      <c r="LYO50" s="16"/>
      <c r="LYP50" s="16"/>
      <c r="LYQ50" s="16"/>
      <c r="LYR50" s="16"/>
      <c r="LYS50" s="16"/>
      <c r="LYT50" s="16"/>
      <c r="LYU50" s="16"/>
      <c r="LYV50" s="16"/>
      <c r="LYW50" s="16"/>
      <c r="LYX50" s="16"/>
      <c r="LYY50" s="16"/>
      <c r="LYZ50" s="16"/>
      <c r="LZA50" s="16"/>
      <c r="LZB50" s="16"/>
      <c r="LZC50" s="16"/>
      <c r="LZD50" s="16"/>
      <c r="LZE50" s="16"/>
      <c r="LZF50" s="16"/>
      <c r="LZG50" s="16"/>
      <c r="LZH50" s="16"/>
      <c r="LZI50" s="16"/>
      <c r="LZJ50" s="16"/>
      <c r="LZK50" s="16"/>
      <c r="LZL50" s="16"/>
      <c r="LZM50" s="16"/>
      <c r="LZN50" s="16"/>
      <c r="LZO50" s="16"/>
      <c r="LZP50" s="16"/>
      <c r="LZQ50" s="16"/>
      <c r="LZR50" s="16"/>
      <c r="LZS50" s="16"/>
      <c r="LZT50" s="16"/>
      <c r="LZU50" s="16"/>
      <c r="LZV50" s="16"/>
      <c r="LZW50" s="16"/>
      <c r="LZX50" s="16"/>
      <c r="LZY50" s="16"/>
      <c r="LZZ50" s="16"/>
      <c r="MAA50" s="16"/>
      <c r="MAB50" s="16"/>
      <c r="MAC50" s="16"/>
      <c r="MAD50" s="16"/>
      <c r="MAE50" s="16"/>
      <c r="MAF50" s="16"/>
      <c r="MAG50" s="16"/>
      <c r="MAH50" s="16"/>
      <c r="MAI50" s="16"/>
      <c r="MAJ50" s="16"/>
      <c r="MAK50" s="16"/>
      <c r="MAL50" s="16"/>
      <c r="MAM50" s="16"/>
      <c r="MAN50" s="16"/>
      <c r="MAO50" s="16"/>
      <c r="MAP50" s="16"/>
      <c r="MAQ50" s="16"/>
      <c r="MAR50" s="16"/>
      <c r="MAS50" s="16"/>
      <c r="MAT50" s="16"/>
      <c r="MAU50" s="16"/>
      <c r="MAV50" s="16"/>
      <c r="MAW50" s="16"/>
      <c r="MAX50" s="16"/>
      <c r="MAY50" s="16"/>
      <c r="MAZ50" s="16"/>
      <c r="MBA50" s="16"/>
      <c r="MBB50" s="16"/>
      <c r="MBC50" s="16"/>
      <c r="MBD50" s="16"/>
      <c r="MBE50" s="16"/>
      <c r="MBF50" s="16"/>
      <c r="MBG50" s="16"/>
      <c r="MBH50" s="16"/>
      <c r="MBI50" s="16"/>
      <c r="MBJ50" s="16"/>
      <c r="MBK50" s="16"/>
      <c r="MBL50" s="16"/>
      <c r="MBM50" s="16"/>
      <c r="MBN50" s="16"/>
      <c r="MBO50" s="16"/>
      <c r="MBP50" s="16"/>
      <c r="MBQ50" s="16"/>
      <c r="MBR50" s="16"/>
      <c r="MBS50" s="16"/>
      <c r="MBT50" s="16"/>
      <c r="MBU50" s="16"/>
      <c r="MBV50" s="16"/>
      <c r="MBW50" s="16"/>
      <c r="MBX50" s="16"/>
      <c r="MBY50" s="16"/>
      <c r="MBZ50" s="16"/>
      <c r="MCA50" s="16"/>
      <c r="MCB50" s="16"/>
      <c r="MCC50" s="16"/>
      <c r="MCD50" s="16"/>
      <c r="MCE50" s="16"/>
      <c r="MCF50" s="16"/>
      <c r="MCG50" s="16"/>
      <c r="MCH50" s="16"/>
      <c r="MCI50" s="16"/>
      <c r="MCJ50" s="16"/>
      <c r="MCK50" s="16"/>
      <c r="MCL50" s="16"/>
      <c r="MCM50" s="16"/>
      <c r="MCN50" s="16"/>
      <c r="MCO50" s="16"/>
      <c r="MCP50" s="16"/>
      <c r="MCQ50" s="16"/>
      <c r="MCR50" s="16"/>
      <c r="MCS50" s="16"/>
      <c r="MCT50" s="16"/>
      <c r="MCU50" s="16"/>
      <c r="MCV50" s="16"/>
      <c r="MCW50" s="16"/>
      <c r="MCX50" s="16"/>
      <c r="MCY50" s="16"/>
      <c r="MCZ50" s="16"/>
      <c r="MDA50" s="16"/>
      <c r="MDB50" s="16"/>
      <c r="MDC50" s="16"/>
      <c r="MDD50" s="16"/>
      <c r="MDE50" s="16"/>
      <c r="MDF50" s="16"/>
      <c r="MDG50" s="16"/>
      <c r="MDH50" s="16"/>
      <c r="MDI50" s="16"/>
      <c r="MDJ50" s="16"/>
      <c r="MDK50" s="16"/>
      <c r="MDL50" s="16"/>
      <c r="MDM50" s="16"/>
      <c r="MDN50" s="16"/>
      <c r="MDO50" s="16"/>
      <c r="MDP50" s="16"/>
      <c r="MDQ50" s="16"/>
      <c r="MDR50" s="16"/>
      <c r="MDS50" s="16"/>
      <c r="MDT50" s="16"/>
      <c r="MDU50" s="16"/>
      <c r="MDV50" s="16"/>
      <c r="MDW50" s="16"/>
      <c r="MDX50" s="16"/>
      <c r="MDY50" s="16"/>
      <c r="MDZ50" s="16"/>
      <c r="MEA50" s="16"/>
      <c r="MEB50" s="16"/>
      <c r="MEC50" s="16"/>
      <c r="MED50" s="16"/>
      <c r="MEE50" s="16"/>
      <c r="MEF50" s="16"/>
      <c r="MEG50" s="16"/>
      <c r="MEH50" s="16"/>
      <c r="MEI50" s="16"/>
      <c r="MEJ50" s="16"/>
      <c r="MEK50" s="16"/>
      <c r="MEL50" s="16"/>
      <c r="MEM50" s="16"/>
      <c r="MEN50" s="16"/>
      <c r="MEO50" s="16"/>
      <c r="MEP50" s="16"/>
      <c r="MEQ50" s="16"/>
      <c r="MER50" s="16"/>
      <c r="MES50" s="16"/>
      <c r="MET50" s="16"/>
      <c r="MEU50" s="16"/>
      <c r="MEV50" s="16"/>
      <c r="MEW50" s="16"/>
      <c r="MEX50" s="16"/>
      <c r="MEY50" s="16"/>
      <c r="MEZ50" s="16"/>
      <c r="MFA50" s="16"/>
      <c r="MFB50" s="16"/>
      <c r="MFC50" s="16"/>
      <c r="MFD50" s="16"/>
      <c r="MFE50" s="16"/>
      <c r="MFF50" s="16"/>
      <c r="MFG50" s="16"/>
      <c r="MFH50" s="16"/>
      <c r="MFI50" s="16"/>
      <c r="MFJ50" s="16"/>
      <c r="MFK50" s="16"/>
      <c r="MFL50" s="16"/>
      <c r="MFM50" s="16"/>
      <c r="MFN50" s="16"/>
      <c r="MFO50" s="16"/>
      <c r="MFP50" s="16"/>
      <c r="MFQ50" s="16"/>
      <c r="MFR50" s="16"/>
      <c r="MFS50" s="16"/>
      <c r="MFT50" s="16"/>
      <c r="MFU50" s="16"/>
      <c r="MFV50" s="16"/>
      <c r="MFW50" s="16"/>
      <c r="MFX50" s="16"/>
      <c r="MFY50" s="16"/>
      <c r="MFZ50" s="16"/>
      <c r="MGA50" s="16"/>
      <c r="MGB50" s="16"/>
      <c r="MGC50" s="16"/>
      <c r="MGD50" s="16"/>
      <c r="MGE50" s="16"/>
      <c r="MGF50" s="16"/>
      <c r="MGG50" s="16"/>
      <c r="MGH50" s="16"/>
      <c r="MGI50" s="16"/>
      <c r="MGJ50" s="16"/>
      <c r="MGK50" s="16"/>
      <c r="MGL50" s="16"/>
      <c r="MGM50" s="16"/>
      <c r="MGN50" s="16"/>
      <c r="MGO50" s="16"/>
      <c r="MGP50" s="16"/>
      <c r="MGQ50" s="16"/>
      <c r="MGR50" s="16"/>
      <c r="MGS50" s="16"/>
      <c r="MGT50" s="16"/>
      <c r="MGU50" s="16"/>
      <c r="MGV50" s="16"/>
      <c r="MGW50" s="16"/>
      <c r="MGX50" s="16"/>
      <c r="MGY50" s="16"/>
      <c r="MGZ50" s="16"/>
      <c r="MHA50" s="16"/>
      <c r="MHB50" s="16"/>
      <c r="MHC50" s="16"/>
      <c r="MHD50" s="16"/>
      <c r="MHE50" s="16"/>
      <c r="MHF50" s="16"/>
      <c r="MHG50" s="16"/>
      <c r="MHH50" s="16"/>
      <c r="MHI50" s="16"/>
      <c r="MHJ50" s="16"/>
      <c r="MHK50" s="16"/>
      <c r="MHL50" s="16"/>
      <c r="MHM50" s="16"/>
      <c r="MHN50" s="16"/>
      <c r="MHO50" s="16"/>
      <c r="MHP50" s="16"/>
      <c r="MHQ50" s="16"/>
      <c r="MHR50" s="16"/>
      <c r="MHS50" s="16"/>
      <c r="MHT50" s="16"/>
      <c r="MHU50" s="16"/>
      <c r="MHV50" s="16"/>
      <c r="MHW50" s="16"/>
      <c r="MHX50" s="16"/>
      <c r="MHY50" s="16"/>
      <c r="MHZ50" s="16"/>
      <c r="MIA50" s="16"/>
      <c r="MIB50" s="16"/>
      <c r="MIC50" s="16"/>
      <c r="MID50" s="16"/>
      <c r="MIE50" s="16"/>
      <c r="MIF50" s="16"/>
      <c r="MIG50" s="16"/>
      <c r="MIH50" s="16"/>
      <c r="MII50" s="16"/>
      <c r="MIJ50" s="16"/>
      <c r="MIK50" s="16"/>
      <c r="MIL50" s="16"/>
      <c r="MIM50" s="16"/>
      <c r="MIN50" s="16"/>
      <c r="MIO50" s="16"/>
      <c r="MIP50" s="16"/>
      <c r="MIQ50" s="16"/>
      <c r="MIR50" s="16"/>
      <c r="MIS50" s="16"/>
      <c r="MIT50" s="16"/>
      <c r="MIU50" s="16"/>
      <c r="MIV50" s="16"/>
      <c r="MIW50" s="16"/>
      <c r="MIX50" s="16"/>
      <c r="MIY50" s="16"/>
      <c r="MIZ50" s="16"/>
      <c r="MJA50" s="16"/>
      <c r="MJB50" s="16"/>
      <c r="MJC50" s="16"/>
      <c r="MJD50" s="16"/>
      <c r="MJE50" s="16"/>
      <c r="MJF50" s="16"/>
      <c r="MJG50" s="16"/>
      <c r="MJH50" s="16"/>
      <c r="MJI50" s="16"/>
      <c r="MJJ50" s="16"/>
      <c r="MJK50" s="16"/>
      <c r="MJL50" s="16"/>
      <c r="MJM50" s="16"/>
      <c r="MJN50" s="16"/>
      <c r="MJO50" s="16"/>
      <c r="MJP50" s="16"/>
      <c r="MJQ50" s="16"/>
      <c r="MJR50" s="16"/>
      <c r="MJS50" s="16"/>
      <c r="MJT50" s="16"/>
      <c r="MJU50" s="16"/>
      <c r="MJV50" s="16"/>
      <c r="MJW50" s="16"/>
      <c r="MJX50" s="16"/>
      <c r="MJY50" s="16"/>
      <c r="MJZ50" s="16"/>
      <c r="MKA50" s="16"/>
      <c r="MKB50" s="16"/>
      <c r="MKC50" s="16"/>
      <c r="MKD50" s="16"/>
      <c r="MKE50" s="16"/>
      <c r="MKF50" s="16"/>
      <c r="MKG50" s="16"/>
      <c r="MKH50" s="16"/>
      <c r="MKI50" s="16"/>
      <c r="MKJ50" s="16"/>
      <c r="MKK50" s="16"/>
      <c r="MKL50" s="16"/>
      <c r="MKM50" s="16"/>
      <c r="MKN50" s="16"/>
      <c r="MKO50" s="16"/>
      <c r="MKP50" s="16"/>
      <c r="MKQ50" s="16"/>
      <c r="MKR50" s="16"/>
      <c r="MKS50" s="16"/>
      <c r="MKT50" s="16"/>
      <c r="MKU50" s="16"/>
      <c r="MKV50" s="16"/>
      <c r="MKW50" s="16"/>
      <c r="MKX50" s="16"/>
      <c r="MKY50" s="16"/>
      <c r="MKZ50" s="16"/>
      <c r="MLA50" s="16"/>
      <c r="MLB50" s="16"/>
      <c r="MLC50" s="16"/>
      <c r="MLD50" s="16"/>
      <c r="MLE50" s="16"/>
      <c r="MLF50" s="16"/>
      <c r="MLG50" s="16"/>
      <c r="MLH50" s="16"/>
      <c r="MLI50" s="16"/>
      <c r="MLJ50" s="16"/>
      <c r="MLK50" s="16"/>
      <c r="MLL50" s="16"/>
      <c r="MLM50" s="16"/>
      <c r="MLN50" s="16"/>
      <c r="MLO50" s="16"/>
      <c r="MLP50" s="16"/>
      <c r="MLQ50" s="16"/>
      <c r="MLR50" s="16"/>
      <c r="MLS50" s="16"/>
      <c r="MLT50" s="16"/>
      <c r="MLU50" s="16"/>
      <c r="MLV50" s="16"/>
      <c r="MLW50" s="16"/>
      <c r="MLX50" s="16"/>
      <c r="MLY50" s="16"/>
      <c r="MLZ50" s="16"/>
      <c r="MMA50" s="16"/>
      <c r="MMB50" s="16"/>
      <c r="MMC50" s="16"/>
      <c r="MMD50" s="16"/>
      <c r="MME50" s="16"/>
      <c r="MMF50" s="16"/>
      <c r="MMG50" s="16"/>
      <c r="MMH50" s="16"/>
      <c r="MMI50" s="16"/>
      <c r="MMJ50" s="16"/>
      <c r="MMK50" s="16"/>
      <c r="MML50" s="16"/>
      <c r="MMM50" s="16"/>
      <c r="MMN50" s="16"/>
      <c r="MMO50" s="16"/>
      <c r="MMP50" s="16"/>
      <c r="MMQ50" s="16"/>
      <c r="MMR50" s="16"/>
      <c r="MMS50" s="16"/>
      <c r="MMT50" s="16"/>
      <c r="MMU50" s="16"/>
      <c r="MMV50" s="16"/>
      <c r="MMW50" s="16"/>
      <c r="MMX50" s="16"/>
      <c r="MMY50" s="16"/>
      <c r="MMZ50" s="16"/>
      <c r="MNA50" s="16"/>
      <c r="MNB50" s="16"/>
      <c r="MNC50" s="16"/>
      <c r="MND50" s="16"/>
      <c r="MNE50" s="16"/>
      <c r="MNF50" s="16"/>
      <c r="MNG50" s="16"/>
      <c r="MNH50" s="16"/>
      <c r="MNI50" s="16"/>
      <c r="MNJ50" s="16"/>
      <c r="MNK50" s="16"/>
      <c r="MNL50" s="16"/>
      <c r="MNM50" s="16"/>
      <c r="MNN50" s="16"/>
      <c r="MNO50" s="16"/>
      <c r="MNP50" s="16"/>
      <c r="MNQ50" s="16"/>
      <c r="MNR50" s="16"/>
      <c r="MNS50" s="16"/>
      <c r="MNT50" s="16"/>
      <c r="MNU50" s="16"/>
      <c r="MNV50" s="16"/>
      <c r="MNW50" s="16"/>
      <c r="MNX50" s="16"/>
      <c r="MNY50" s="16"/>
      <c r="MNZ50" s="16"/>
      <c r="MOA50" s="16"/>
      <c r="MOB50" s="16"/>
      <c r="MOC50" s="16"/>
      <c r="MOD50" s="16"/>
      <c r="MOE50" s="16"/>
      <c r="MOF50" s="16"/>
      <c r="MOG50" s="16"/>
      <c r="MOH50" s="16"/>
      <c r="MOI50" s="16"/>
      <c r="MOJ50" s="16"/>
      <c r="MOK50" s="16"/>
      <c r="MOL50" s="16"/>
      <c r="MOM50" s="16"/>
      <c r="MON50" s="16"/>
      <c r="MOO50" s="16"/>
      <c r="MOP50" s="16"/>
      <c r="MOQ50" s="16"/>
      <c r="MOR50" s="16"/>
      <c r="MOS50" s="16"/>
      <c r="MOT50" s="16"/>
      <c r="MOU50" s="16"/>
      <c r="MOV50" s="16"/>
      <c r="MOW50" s="16"/>
      <c r="MOX50" s="16"/>
      <c r="MOY50" s="16"/>
      <c r="MOZ50" s="16"/>
      <c r="MPA50" s="16"/>
      <c r="MPB50" s="16"/>
      <c r="MPC50" s="16"/>
      <c r="MPD50" s="16"/>
      <c r="MPE50" s="16"/>
      <c r="MPF50" s="16"/>
      <c r="MPG50" s="16"/>
      <c r="MPH50" s="16"/>
      <c r="MPI50" s="16"/>
      <c r="MPJ50" s="16"/>
      <c r="MPK50" s="16"/>
      <c r="MPL50" s="16"/>
      <c r="MPM50" s="16"/>
      <c r="MPN50" s="16"/>
      <c r="MPO50" s="16"/>
      <c r="MPP50" s="16"/>
      <c r="MPQ50" s="16"/>
      <c r="MPR50" s="16"/>
      <c r="MPS50" s="16"/>
      <c r="MPT50" s="16"/>
      <c r="MPU50" s="16"/>
      <c r="MPV50" s="16"/>
      <c r="MPW50" s="16"/>
      <c r="MPX50" s="16"/>
      <c r="MPY50" s="16"/>
      <c r="MPZ50" s="16"/>
      <c r="MQA50" s="16"/>
      <c r="MQB50" s="16"/>
      <c r="MQC50" s="16"/>
      <c r="MQD50" s="16"/>
      <c r="MQE50" s="16"/>
      <c r="MQF50" s="16"/>
      <c r="MQG50" s="16"/>
      <c r="MQH50" s="16"/>
      <c r="MQI50" s="16"/>
      <c r="MQJ50" s="16"/>
      <c r="MQK50" s="16"/>
      <c r="MQL50" s="16"/>
      <c r="MQM50" s="16"/>
      <c r="MQN50" s="16"/>
      <c r="MQO50" s="16"/>
      <c r="MQP50" s="16"/>
      <c r="MQQ50" s="16"/>
      <c r="MQR50" s="16"/>
      <c r="MQS50" s="16"/>
      <c r="MQT50" s="16"/>
      <c r="MQU50" s="16"/>
      <c r="MQV50" s="16"/>
      <c r="MQW50" s="16"/>
      <c r="MQX50" s="16"/>
      <c r="MQY50" s="16"/>
      <c r="MQZ50" s="16"/>
      <c r="MRA50" s="16"/>
      <c r="MRB50" s="16"/>
      <c r="MRC50" s="16"/>
      <c r="MRD50" s="16"/>
      <c r="MRE50" s="16"/>
      <c r="MRF50" s="16"/>
      <c r="MRG50" s="16"/>
      <c r="MRH50" s="16"/>
      <c r="MRI50" s="16"/>
      <c r="MRJ50" s="16"/>
      <c r="MRK50" s="16"/>
      <c r="MRL50" s="16"/>
      <c r="MRM50" s="16"/>
      <c r="MRN50" s="16"/>
      <c r="MRO50" s="16"/>
      <c r="MRP50" s="16"/>
      <c r="MRQ50" s="16"/>
      <c r="MRR50" s="16"/>
      <c r="MRS50" s="16"/>
      <c r="MRT50" s="16"/>
      <c r="MRU50" s="16"/>
      <c r="MRV50" s="16"/>
      <c r="MRW50" s="16"/>
      <c r="MRX50" s="16"/>
      <c r="MRY50" s="16"/>
      <c r="MRZ50" s="16"/>
      <c r="MSA50" s="16"/>
      <c r="MSB50" s="16"/>
      <c r="MSC50" s="16"/>
      <c r="MSD50" s="16"/>
      <c r="MSE50" s="16"/>
      <c r="MSF50" s="16"/>
      <c r="MSG50" s="16"/>
      <c r="MSH50" s="16"/>
      <c r="MSI50" s="16"/>
      <c r="MSJ50" s="16"/>
      <c r="MSK50" s="16"/>
      <c r="MSL50" s="16"/>
      <c r="MSM50" s="16"/>
      <c r="MSN50" s="16"/>
      <c r="MSO50" s="16"/>
      <c r="MSP50" s="16"/>
      <c r="MSQ50" s="16"/>
      <c r="MSR50" s="16"/>
      <c r="MSS50" s="16"/>
      <c r="MST50" s="16"/>
      <c r="MSU50" s="16"/>
      <c r="MSV50" s="16"/>
      <c r="MSW50" s="16"/>
      <c r="MSX50" s="16"/>
      <c r="MSY50" s="16"/>
      <c r="MSZ50" s="16"/>
      <c r="MTA50" s="16"/>
      <c r="MTB50" s="16"/>
      <c r="MTC50" s="16"/>
      <c r="MTD50" s="16"/>
      <c r="MTE50" s="16"/>
      <c r="MTF50" s="16"/>
      <c r="MTG50" s="16"/>
      <c r="MTH50" s="16"/>
      <c r="MTI50" s="16"/>
      <c r="MTJ50" s="16"/>
      <c r="MTK50" s="16"/>
      <c r="MTL50" s="16"/>
      <c r="MTM50" s="16"/>
      <c r="MTN50" s="16"/>
      <c r="MTO50" s="16"/>
      <c r="MTP50" s="16"/>
      <c r="MTQ50" s="16"/>
      <c r="MTR50" s="16"/>
      <c r="MTS50" s="16"/>
      <c r="MTT50" s="16"/>
      <c r="MTU50" s="16"/>
      <c r="MTV50" s="16"/>
      <c r="MTW50" s="16"/>
      <c r="MTX50" s="16"/>
      <c r="MTY50" s="16"/>
      <c r="MTZ50" s="16"/>
      <c r="MUA50" s="16"/>
      <c r="MUB50" s="16"/>
      <c r="MUC50" s="16"/>
      <c r="MUD50" s="16"/>
      <c r="MUE50" s="16"/>
      <c r="MUF50" s="16"/>
      <c r="MUG50" s="16"/>
      <c r="MUH50" s="16"/>
      <c r="MUI50" s="16"/>
      <c r="MUJ50" s="16"/>
      <c r="MUK50" s="16"/>
      <c r="MUL50" s="16"/>
      <c r="MUM50" s="16"/>
      <c r="MUN50" s="16"/>
      <c r="MUO50" s="16"/>
      <c r="MUP50" s="16"/>
      <c r="MUQ50" s="16"/>
      <c r="MUR50" s="16"/>
      <c r="MUS50" s="16"/>
      <c r="MUT50" s="16"/>
      <c r="MUU50" s="16"/>
      <c r="MUV50" s="16"/>
      <c r="MUW50" s="16"/>
      <c r="MUX50" s="16"/>
      <c r="MUY50" s="16"/>
      <c r="MUZ50" s="16"/>
      <c r="MVA50" s="16"/>
      <c r="MVB50" s="16"/>
      <c r="MVC50" s="16"/>
      <c r="MVD50" s="16"/>
      <c r="MVE50" s="16"/>
      <c r="MVF50" s="16"/>
      <c r="MVG50" s="16"/>
      <c r="MVH50" s="16"/>
      <c r="MVI50" s="16"/>
      <c r="MVJ50" s="16"/>
      <c r="MVK50" s="16"/>
      <c r="MVL50" s="16"/>
      <c r="MVM50" s="16"/>
      <c r="MVN50" s="16"/>
      <c r="MVO50" s="16"/>
      <c r="MVP50" s="16"/>
      <c r="MVQ50" s="16"/>
      <c r="MVR50" s="16"/>
      <c r="MVS50" s="16"/>
      <c r="MVT50" s="16"/>
      <c r="MVU50" s="16"/>
      <c r="MVV50" s="16"/>
      <c r="MVW50" s="16"/>
      <c r="MVX50" s="16"/>
      <c r="MVY50" s="16"/>
      <c r="MVZ50" s="16"/>
      <c r="MWA50" s="16"/>
      <c r="MWB50" s="16"/>
      <c r="MWC50" s="16"/>
      <c r="MWD50" s="16"/>
      <c r="MWE50" s="16"/>
      <c r="MWF50" s="16"/>
      <c r="MWG50" s="16"/>
      <c r="MWH50" s="16"/>
      <c r="MWI50" s="16"/>
      <c r="MWJ50" s="16"/>
      <c r="MWK50" s="16"/>
      <c r="MWL50" s="16"/>
      <c r="MWM50" s="16"/>
      <c r="MWN50" s="16"/>
      <c r="MWO50" s="16"/>
      <c r="MWP50" s="16"/>
      <c r="MWQ50" s="16"/>
      <c r="MWR50" s="16"/>
      <c r="MWS50" s="16"/>
      <c r="MWT50" s="16"/>
      <c r="MWU50" s="16"/>
      <c r="MWV50" s="16"/>
      <c r="MWW50" s="16"/>
      <c r="MWX50" s="16"/>
      <c r="MWY50" s="16"/>
      <c r="MWZ50" s="16"/>
      <c r="MXA50" s="16"/>
      <c r="MXB50" s="16"/>
      <c r="MXC50" s="16"/>
      <c r="MXD50" s="16"/>
      <c r="MXE50" s="16"/>
      <c r="MXF50" s="16"/>
      <c r="MXG50" s="16"/>
      <c r="MXH50" s="16"/>
      <c r="MXI50" s="16"/>
      <c r="MXJ50" s="16"/>
      <c r="MXK50" s="16"/>
      <c r="MXL50" s="16"/>
      <c r="MXM50" s="16"/>
      <c r="MXN50" s="16"/>
      <c r="MXO50" s="16"/>
      <c r="MXP50" s="16"/>
      <c r="MXQ50" s="16"/>
      <c r="MXR50" s="16"/>
      <c r="MXS50" s="16"/>
      <c r="MXT50" s="16"/>
      <c r="MXU50" s="16"/>
      <c r="MXV50" s="16"/>
      <c r="MXW50" s="16"/>
      <c r="MXX50" s="16"/>
      <c r="MXY50" s="16"/>
      <c r="MXZ50" s="16"/>
      <c r="MYA50" s="16"/>
      <c r="MYB50" s="16"/>
      <c r="MYC50" s="16"/>
      <c r="MYD50" s="16"/>
      <c r="MYE50" s="16"/>
      <c r="MYF50" s="16"/>
      <c r="MYG50" s="16"/>
      <c r="MYH50" s="16"/>
      <c r="MYI50" s="16"/>
      <c r="MYJ50" s="16"/>
      <c r="MYK50" s="16"/>
      <c r="MYL50" s="16"/>
      <c r="MYM50" s="16"/>
      <c r="MYN50" s="16"/>
      <c r="MYO50" s="16"/>
      <c r="MYP50" s="16"/>
      <c r="MYQ50" s="16"/>
      <c r="MYR50" s="16"/>
      <c r="MYS50" s="16"/>
      <c r="MYT50" s="16"/>
      <c r="MYU50" s="16"/>
      <c r="MYV50" s="16"/>
      <c r="MYW50" s="16"/>
      <c r="MYX50" s="16"/>
      <c r="MYY50" s="16"/>
      <c r="MYZ50" s="16"/>
      <c r="MZA50" s="16"/>
      <c r="MZB50" s="16"/>
      <c r="MZC50" s="16"/>
      <c r="MZD50" s="16"/>
      <c r="MZE50" s="16"/>
      <c r="MZF50" s="16"/>
      <c r="MZG50" s="16"/>
      <c r="MZH50" s="16"/>
      <c r="MZI50" s="16"/>
      <c r="MZJ50" s="16"/>
      <c r="MZK50" s="16"/>
      <c r="MZL50" s="16"/>
      <c r="MZM50" s="16"/>
      <c r="MZN50" s="16"/>
      <c r="MZO50" s="16"/>
      <c r="MZP50" s="16"/>
      <c r="MZQ50" s="16"/>
      <c r="MZR50" s="16"/>
      <c r="MZS50" s="16"/>
      <c r="MZT50" s="16"/>
      <c r="MZU50" s="16"/>
      <c r="MZV50" s="16"/>
      <c r="MZW50" s="16"/>
      <c r="MZX50" s="16"/>
      <c r="MZY50" s="16"/>
      <c r="MZZ50" s="16"/>
      <c r="NAA50" s="16"/>
      <c r="NAB50" s="16"/>
      <c r="NAC50" s="16"/>
      <c r="NAD50" s="16"/>
      <c r="NAE50" s="16"/>
      <c r="NAF50" s="16"/>
      <c r="NAG50" s="16"/>
      <c r="NAH50" s="16"/>
      <c r="NAI50" s="16"/>
      <c r="NAJ50" s="16"/>
      <c r="NAK50" s="16"/>
      <c r="NAL50" s="16"/>
      <c r="NAM50" s="16"/>
      <c r="NAN50" s="16"/>
      <c r="NAO50" s="16"/>
      <c r="NAP50" s="16"/>
      <c r="NAQ50" s="16"/>
      <c r="NAR50" s="16"/>
      <c r="NAS50" s="16"/>
      <c r="NAT50" s="16"/>
      <c r="NAU50" s="16"/>
      <c r="NAV50" s="16"/>
      <c r="NAW50" s="16"/>
      <c r="NAX50" s="16"/>
      <c r="NAY50" s="16"/>
      <c r="NAZ50" s="16"/>
      <c r="NBA50" s="16"/>
      <c r="NBB50" s="16"/>
      <c r="NBC50" s="16"/>
      <c r="NBD50" s="16"/>
      <c r="NBE50" s="16"/>
      <c r="NBF50" s="16"/>
      <c r="NBG50" s="16"/>
      <c r="NBH50" s="16"/>
      <c r="NBI50" s="16"/>
      <c r="NBJ50" s="16"/>
      <c r="NBK50" s="16"/>
      <c r="NBL50" s="16"/>
      <c r="NBM50" s="16"/>
      <c r="NBN50" s="16"/>
      <c r="NBO50" s="16"/>
      <c r="NBP50" s="16"/>
      <c r="NBQ50" s="16"/>
      <c r="NBR50" s="16"/>
      <c r="NBS50" s="16"/>
      <c r="NBT50" s="16"/>
      <c r="NBU50" s="16"/>
      <c r="NBV50" s="16"/>
      <c r="NBW50" s="16"/>
      <c r="NBX50" s="16"/>
      <c r="NBY50" s="16"/>
      <c r="NBZ50" s="16"/>
      <c r="NCA50" s="16"/>
      <c r="NCB50" s="16"/>
      <c r="NCC50" s="16"/>
      <c r="NCD50" s="16"/>
      <c r="NCE50" s="16"/>
      <c r="NCF50" s="16"/>
      <c r="NCG50" s="16"/>
      <c r="NCH50" s="16"/>
      <c r="NCI50" s="16"/>
      <c r="NCJ50" s="16"/>
      <c r="NCK50" s="16"/>
      <c r="NCL50" s="16"/>
      <c r="NCM50" s="16"/>
      <c r="NCN50" s="16"/>
      <c r="NCO50" s="16"/>
      <c r="NCP50" s="16"/>
      <c r="NCQ50" s="16"/>
      <c r="NCR50" s="16"/>
      <c r="NCS50" s="16"/>
      <c r="NCT50" s="16"/>
      <c r="NCU50" s="16"/>
      <c r="NCV50" s="16"/>
      <c r="NCW50" s="16"/>
      <c r="NCX50" s="16"/>
      <c r="NCY50" s="16"/>
      <c r="NCZ50" s="16"/>
      <c r="NDA50" s="16"/>
      <c r="NDB50" s="16"/>
      <c r="NDC50" s="16"/>
      <c r="NDD50" s="16"/>
      <c r="NDE50" s="16"/>
      <c r="NDF50" s="16"/>
      <c r="NDG50" s="16"/>
      <c r="NDH50" s="16"/>
      <c r="NDI50" s="16"/>
      <c r="NDJ50" s="16"/>
      <c r="NDK50" s="16"/>
      <c r="NDL50" s="16"/>
      <c r="NDM50" s="16"/>
      <c r="NDN50" s="16"/>
      <c r="NDO50" s="16"/>
      <c r="NDP50" s="16"/>
      <c r="NDQ50" s="16"/>
      <c r="NDR50" s="16"/>
      <c r="NDS50" s="16"/>
      <c r="NDT50" s="16"/>
      <c r="NDU50" s="16"/>
      <c r="NDV50" s="16"/>
      <c r="NDW50" s="16"/>
      <c r="NDX50" s="16"/>
      <c r="NDY50" s="16"/>
      <c r="NDZ50" s="16"/>
      <c r="NEA50" s="16"/>
      <c r="NEB50" s="16"/>
      <c r="NEC50" s="16"/>
      <c r="NED50" s="16"/>
      <c r="NEE50" s="16"/>
      <c r="NEF50" s="16"/>
      <c r="NEG50" s="16"/>
      <c r="NEH50" s="16"/>
      <c r="NEI50" s="16"/>
      <c r="NEJ50" s="16"/>
      <c r="NEK50" s="16"/>
      <c r="NEL50" s="16"/>
      <c r="NEM50" s="16"/>
      <c r="NEN50" s="16"/>
      <c r="NEO50" s="16"/>
      <c r="NEP50" s="16"/>
      <c r="NEQ50" s="16"/>
      <c r="NER50" s="16"/>
      <c r="NES50" s="16"/>
      <c r="NET50" s="16"/>
      <c r="NEU50" s="16"/>
      <c r="NEV50" s="16"/>
      <c r="NEW50" s="16"/>
      <c r="NEX50" s="16"/>
      <c r="NEY50" s="16"/>
      <c r="NEZ50" s="16"/>
      <c r="NFA50" s="16"/>
      <c r="NFB50" s="16"/>
      <c r="NFC50" s="16"/>
      <c r="NFD50" s="16"/>
      <c r="NFE50" s="16"/>
      <c r="NFF50" s="16"/>
      <c r="NFG50" s="16"/>
      <c r="NFH50" s="16"/>
      <c r="NFI50" s="16"/>
      <c r="NFJ50" s="16"/>
      <c r="NFK50" s="16"/>
      <c r="NFL50" s="16"/>
      <c r="NFM50" s="16"/>
      <c r="NFN50" s="16"/>
      <c r="NFO50" s="16"/>
      <c r="NFP50" s="16"/>
      <c r="NFQ50" s="16"/>
      <c r="NFR50" s="16"/>
      <c r="NFS50" s="16"/>
      <c r="NFT50" s="16"/>
      <c r="NFU50" s="16"/>
      <c r="NFV50" s="16"/>
      <c r="NFW50" s="16"/>
      <c r="NFX50" s="16"/>
      <c r="NFY50" s="16"/>
      <c r="NFZ50" s="16"/>
      <c r="NGA50" s="16"/>
      <c r="NGB50" s="16"/>
      <c r="NGC50" s="16"/>
      <c r="NGD50" s="16"/>
      <c r="NGE50" s="16"/>
      <c r="NGF50" s="16"/>
      <c r="NGG50" s="16"/>
      <c r="NGH50" s="16"/>
      <c r="NGI50" s="16"/>
      <c r="NGJ50" s="16"/>
      <c r="NGK50" s="16"/>
      <c r="NGL50" s="16"/>
      <c r="NGM50" s="16"/>
      <c r="NGN50" s="16"/>
      <c r="NGO50" s="16"/>
      <c r="NGP50" s="16"/>
      <c r="NGQ50" s="16"/>
      <c r="NGR50" s="16"/>
      <c r="NGS50" s="16"/>
      <c r="NGT50" s="16"/>
      <c r="NGU50" s="16"/>
      <c r="NGV50" s="16"/>
      <c r="NGW50" s="16"/>
      <c r="NGX50" s="16"/>
      <c r="NGY50" s="16"/>
      <c r="NGZ50" s="16"/>
      <c r="NHA50" s="16"/>
      <c r="NHB50" s="16"/>
      <c r="NHC50" s="16"/>
      <c r="NHD50" s="16"/>
      <c r="NHE50" s="16"/>
      <c r="NHF50" s="16"/>
      <c r="NHG50" s="16"/>
      <c r="NHH50" s="16"/>
      <c r="NHI50" s="16"/>
      <c r="NHJ50" s="16"/>
      <c r="NHK50" s="16"/>
      <c r="NHL50" s="16"/>
      <c r="NHM50" s="16"/>
      <c r="NHN50" s="16"/>
      <c r="NHO50" s="16"/>
      <c r="NHP50" s="16"/>
      <c r="NHQ50" s="16"/>
      <c r="NHR50" s="16"/>
      <c r="NHS50" s="16"/>
      <c r="NHT50" s="16"/>
      <c r="NHU50" s="16"/>
      <c r="NHV50" s="16"/>
      <c r="NHW50" s="16"/>
      <c r="NHX50" s="16"/>
      <c r="NHY50" s="16"/>
      <c r="NHZ50" s="16"/>
      <c r="NIA50" s="16"/>
      <c r="NIB50" s="16"/>
      <c r="NIC50" s="16"/>
      <c r="NID50" s="16"/>
      <c r="NIE50" s="16"/>
      <c r="NIF50" s="16"/>
      <c r="NIG50" s="16"/>
      <c r="NIH50" s="16"/>
      <c r="NII50" s="16"/>
      <c r="NIJ50" s="16"/>
      <c r="NIK50" s="16"/>
      <c r="NIL50" s="16"/>
      <c r="NIM50" s="16"/>
      <c r="NIN50" s="16"/>
      <c r="NIO50" s="16"/>
      <c r="NIP50" s="16"/>
      <c r="NIQ50" s="16"/>
      <c r="NIR50" s="16"/>
      <c r="NIS50" s="16"/>
      <c r="NIT50" s="16"/>
      <c r="NIU50" s="16"/>
      <c r="NIV50" s="16"/>
      <c r="NIW50" s="16"/>
      <c r="NIX50" s="16"/>
      <c r="NIY50" s="16"/>
      <c r="NIZ50" s="16"/>
      <c r="NJA50" s="16"/>
      <c r="NJB50" s="16"/>
      <c r="NJC50" s="16"/>
      <c r="NJD50" s="16"/>
      <c r="NJE50" s="16"/>
      <c r="NJF50" s="16"/>
      <c r="NJG50" s="16"/>
      <c r="NJH50" s="16"/>
      <c r="NJI50" s="16"/>
      <c r="NJJ50" s="16"/>
      <c r="NJK50" s="16"/>
      <c r="NJL50" s="16"/>
      <c r="NJM50" s="16"/>
      <c r="NJN50" s="16"/>
      <c r="NJO50" s="16"/>
      <c r="NJP50" s="16"/>
      <c r="NJQ50" s="16"/>
      <c r="NJR50" s="16"/>
      <c r="NJS50" s="16"/>
      <c r="NJT50" s="16"/>
      <c r="NJU50" s="16"/>
      <c r="NJV50" s="16"/>
      <c r="NJW50" s="16"/>
      <c r="NJX50" s="16"/>
      <c r="NJY50" s="16"/>
      <c r="NJZ50" s="16"/>
      <c r="NKA50" s="16"/>
      <c r="NKB50" s="16"/>
      <c r="NKC50" s="16"/>
      <c r="NKD50" s="16"/>
      <c r="NKE50" s="16"/>
      <c r="NKF50" s="16"/>
      <c r="NKG50" s="16"/>
      <c r="NKH50" s="16"/>
      <c r="NKI50" s="16"/>
      <c r="NKJ50" s="16"/>
      <c r="NKK50" s="16"/>
      <c r="NKL50" s="16"/>
      <c r="NKM50" s="16"/>
      <c r="NKN50" s="16"/>
      <c r="NKO50" s="16"/>
      <c r="NKP50" s="16"/>
      <c r="NKQ50" s="16"/>
      <c r="NKR50" s="16"/>
      <c r="NKS50" s="16"/>
      <c r="NKT50" s="16"/>
      <c r="NKU50" s="16"/>
      <c r="NKV50" s="16"/>
      <c r="NKW50" s="16"/>
      <c r="NKX50" s="16"/>
      <c r="NKY50" s="16"/>
      <c r="NKZ50" s="16"/>
      <c r="NLA50" s="16"/>
      <c r="NLB50" s="16"/>
      <c r="NLC50" s="16"/>
      <c r="NLD50" s="16"/>
      <c r="NLE50" s="16"/>
      <c r="NLF50" s="16"/>
      <c r="NLG50" s="16"/>
      <c r="NLH50" s="16"/>
      <c r="NLI50" s="16"/>
      <c r="NLJ50" s="16"/>
      <c r="NLK50" s="16"/>
      <c r="NLL50" s="16"/>
      <c r="NLM50" s="16"/>
      <c r="NLN50" s="16"/>
      <c r="NLO50" s="16"/>
      <c r="NLP50" s="16"/>
      <c r="NLQ50" s="16"/>
      <c r="NLR50" s="16"/>
      <c r="NLS50" s="16"/>
      <c r="NLT50" s="16"/>
      <c r="NLU50" s="16"/>
      <c r="NLV50" s="16"/>
      <c r="NLW50" s="16"/>
      <c r="NLX50" s="16"/>
      <c r="NLY50" s="16"/>
      <c r="NLZ50" s="16"/>
      <c r="NMA50" s="16"/>
      <c r="NMB50" s="16"/>
      <c r="NMC50" s="16"/>
      <c r="NMD50" s="16"/>
      <c r="NME50" s="16"/>
      <c r="NMF50" s="16"/>
      <c r="NMG50" s="16"/>
      <c r="NMH50" s="16"/>
      <c r="NMI50" s="16"/>
      <c r="NMJ50" s="16"/>
      <c r="NMK50" s="16"/>
      <c r="NML50" s="16"/>
      <c r="NMM50" s="16"/>
      <c r="NMN50" s="16"/>
      <c r="NMO50" s="16"/>
      <c r="NMP50" s="16"/>
      <c r="NMQ50" s="16"/>
      <c r="NMR50" s="16"/>
      <c r="NMS50" s="16"/>
      <c r="NMT50" s="16"/>
      <c r="NMU50" s="16"/>
      <c r="NMV50" s="16"/>
      <c r="NMW50" s="16"/>
      <c r="NMX50" s="16"/>
      <c r="NMY50" s="16"/>
      <c r="NMZ50" s="16"/>
      <c r="NNA50" s="16"/>
      <c r="NNB50" s="16"/>
      <c r="NNC50" s="16"/>
      <c r="NND50" s="16"/>
      <c r="NNE50" s="16"/>
      <c r="NNF50" s="16"/>
      <c r="NNG50" s="16"/>
      <c r="NNH50" s="16"/>
      <c r="NNI50" s="16"/>
      <c r="NNJ50" s="16"/>
      <c r="NNK50" s="16"/>
      <c r="NNL50" s="16"/>
      <c r="NNM50" s="16"/>
      <c r="NNN50" s="16"/>
      <c r="NNO50" s="16"/>
      <c r="NNP50" s="16"/>
      <c r="NNQ50" s="16"/>
      <c r="NNR50" s="16"/>
      <c r="NNS50" s="16"/>
      <c r="NNT50" s="16"/>
      <c r="NNU50" s="16"/>
      <c r="NNV50" s="16"/>
      <c r="NNW50" s="16"/>
      <c r="NNX50" s="16"/>
      <c r="NNY50" s="16"/>
      <c r="NNZ50" s="16"/>
      <c r="NOA50" s="16"/>
      <c r="NOB50" s="16"/>
      <c r="NOC50" s="16"/>
      <c r="NOD50" s="16"/>
      <c r="NOE50" s="16"/>
      <c r="NOF50" s="16"/>
      <c r="NOG50" s="16"/>
      <c r="NOH50" s="16"/>
      <c r="NOI50" s="16"/>
      <c r="NOJ50" s="16"/>
      <c r="NOK50" s="16"/>
      <c r="NOL50" s="16"/>
      <c r="NOM50" s="16"/>
      <c r="NON50" s="16"/>
      <c r="NOO50" s="16"/>
      <c r="NOP50" s="16"/>
      <c r="NOQ50" s="16"/>
      <c r="NOR50" s="16"/>
      <c r="NOS50" s="16"/>
      <c r="NOT50" s="16"/>
      <c r="NOU50" s="16"/>
      <c r="NOV50" s="16"/>
      <c r="NOW50" s="16"/>
      <c r="NOX50" s="16"/>
      <c r="NOY50" s="16"/>
      <c r="NOZ50" s="16"/>
      <c r="NPA50" s="16"/>
      <c r="NPB50" s="16"/>
      <c r="NPC50" s="16"/>
      <c r="NPD50" s="16"/>
      <c r="NPE50" s="16"/>
      <c r="NPF50" s="16"/>
      <c r="NPG50" s="16"/>
      <c r="NPH50" s="16"/>
      <c r="NPI50" s="16"/>
      <c r="NPJ50" s="16"/>
      <c r="NPK50" s="16"/>
      <c r="NPL50" s="16"/>
      <c r="NPM50" s="16"/>
      <c r="NPN50" s="16"/>
      <c r="NPO50" s="16"/>
      <c r="NPP50" s="16"/>
      <c r="NPQ50" s="16"/>
      <c r="NPR50" s="16"/>
      <c r="NPS50" s="16"/>
      <c r="NPT50" s="16"/>
      <c r="NPU50" s="16"/>
      <c r="NPV50" s="16"/>
      <c r="NPW50" s="16"/>
      <c r="NPX50" s="16"/>
      <c r="NPY50" s="16"/>
      <c r="NPZ50" s="16"/>
      <c r="NQA50" s="16"/>
      <c r="NQB50" s="16"/>
      <c r="NQC50" s="16"/>
      <c r="NQD50" s="16"/>
      <c r="NQE50" s="16"/>
      <c r="NQF50" s="16"/>
      <c r="NQG50" s="16"/>
      <c r="NQH50" s="16"/>
      <c r="NQI50" s="16"/>
      <c r="NQJ50" s="16"/>
      <c r="NQK50" s="16"/>
      <c r="NQL50" s="16"/>
      <c r="NQM50" s="16"/>
      <c r="NQN50" s="16"/>
      <c r="NQO50" s="16"/>
      <c r="NQP50" s="16"/>
      <c r="NQQ50" s="16"/>
      <c r="NQR50" s="16"/>
      <c r="NQS50" s="16"/>
      <c r="NQT50" s="16"/>
      <c r="NQU50" s="16"/>
      <c r="NQV50" s="16"/>
      <c r="NQW50" s="16"/>
      <c r="NQX50" s="16"/>
      <c r="NQY50" s="16"/>
      <c r="NQZ50" s="16"/>
      <c r="NRA50" s="16"/>
      <c r="NRB50" s="16"/>
      <c r="NRC50" s="16"/>
      <c r="NRD50" s="16"/>
      <c r="NRE50" s="16"/>
      <c r="NRF50" s="16"/>
      <c r="NRG50" s="16"/>
      <c r="NRH50" s="16"/>
      <c r="NRI50" s="16"/>
      <c r="NRJ50" s="16"/>
      <c r="NRK50" s="16"/>
      <c r="NRL50" s="16"/>
      <c r="NRM50" s="16"/>
      <c r="NRN50" s="16"/>
      <c r="NRO50" s="16"/>
      <c r="NRP50" s="16"/>
      <c r="NRQ50" s="16"/>
      <c r="NRR50" s="16"/>
      <c r="NRS50" s="16"/>
      <c r="NRT50" s="16"/>
      <c r="NRU50" s="16"/>
      <c r="NRV50" s="16"/>
      <c r="NRW50" s="16"/>
      <c r="NRX50" s="16"/>
      <c r="NRY50" s="16"/>
      <c r="NRZ50" s="16"/>
      <c r="NSA50" s="16"/>
      <c r="NSB50" s="16"/>
      <c r="NSC50" s="16"/>
      <c r="NSD50" s="16"/>
      <c r="NSE50" s="16"/>
      <c r="NSF50" s="16"/>
      <c r="NSG50" s="16"/>
      <c r="NSH50" s="16"/>
      <c r="NSI50" s="16"/>
      <c r="NSJ50" s="16"/>
      <c r="NSK50" s="16"/>
      <c r="NSL50" s="16"/>
      <c r="NSM50" s="16"/>
      <c r="NSN50" s="16"/>
      <c r="NSO50" s="16"/>
      <c r="NSP50" s="16"/>
      <c r="NSQ50" s="16"/>
      <c r="NSR50" s="16"/>
      <c r="NSS50" s="16"/>
      <c r="NST50" s="16"/>
      <c r="NSU50" s="16"/>
      <c r="NSV50" s="16"/>
      <c r="NSW50" s="16"/>
      <c r="NSX50" s="16"/>
      <c r="NSY50" s="16"/>
      <c r="NSZ50" s="16"/>
      <c r="NTA50" s="16"/>
      <c r="NTB50" s="16"/>
      <c r="NTC50" s="16"/>
      <c r="NTD50" s="16"/>
      <c r="NTE50" s="16"/>
      <c r="NTF50" s="16"/>
      <c r="NTG50" s="16"/>
      <c r="NTH50" s="16"/>
      <c r="NTI50" s="16"/>
      <c r="NTJ50" s="16"/>
      <c r="NTK50" s="16"/>
      <c r="NTL50" s="16"/>
      <c r="NTM50" s="16"/>
      <c r="NTN50" s="16"/>
      <c r="NTO50" s="16"/>
      <c r="NTP50" s="16"/>
      <c r="NTQ50" s="16"/>
      <c r="NTR50" s="16"/>
      <c r="NTS50" s="16"/>
      <c r="NTT50" s="16"/>
      <c r="NTU50" s="16"/>
      <c r="NTV50" s="16"/>
      <c r="NTW50" s="16"/>
      <c r="NTX50" s="16"/>
      <c r="NTY50" s="16"/>
      <c r="NTZ50" s="16"/>
      <c r="NUA50" s="16"/>
      <c r="NUB50" s="16"/>
      <c r="NUC50" s="16"/>
      <c r="NUD50" s="16"/>
      <c r="NUE50" s="16"/>
      <c r="NUF50" s="16"/>
      <c r="NUG50" s="16"/>
      <c r="NUH50" s="16"/>
      <c r="NUI50" s="16"/>
      <c r="NUJ50" s="16"/>
      <c r="NUK50" s="16"/>
      <c r="NUL50" s="16"/>
      <c r="NUM50" s="16"/>
      <c r="NUN50" s="16"/>
      <c r="NUO50" s="16"/>
      <c r="NUP50" s="16"/>
      <c r="NUQ50" s="16"/>
      <c r="NUR50" s="16"/>
      <c r="NUS50" s="16"/>
      <c r="NUT50" s="16"/>
      <c r="NUU50" s="16"/>
      <c r="NUV50" s="16"/>
      <c r="NUW50" s="16"/>
      <c r="NUX50" s="16"/>
      <c r="NUY50" s="16"/>
      <c r="NUZ50" s="16"/>
      <c r="NVA50" s="16"/>
      <c r="NVB50" s="16"/>
      <c r="NVC50" s="16"/>
      <c r="NVD50" s="16"/>
      <c r="NVE50" s="16"/>
      <c r="NVF50" s="16"/>
      <c r="NVG50" s="16"/>
      <c r="NVH50" s="16"/>
      <c r="NVI50" s="16"/>
      <c r="NVJ50" s="16"/>
      <c r="NVK50" s="16"/>
      <c r="NVL50" s="16"/>
      <c r="NVM50" s="16"/>
      <c r="NVN50" s="16"/>
      <c r="NVO50" s="16"/>
      <c r="NVP50" s="16"/>
      <c r="NVQ50" s="16"/>
      <c r="NVR50" s="16"/>
      <c r="NVS50" s="16"/>
      <c r="NVT50" s="16"/>
      <c r="NVU50" s="16"/>
      <c r="NVV50" s="16"/>
      <c r="NVW50" s="16"/>
      <c r="NVX50" s="16"/>
      <c r="NVY50" s="16"/>
      <c r="NVZ50" s="16"/>
      <c r="NWA50" s="16"/>
      <c r="NWB50" s="16"/>
      <c r="NWC50" s="16"/>
      <c r="NWD50" s="16"/>
      <c r="NWE50" s="16"/>
      <c r="NWF50" s="16"/>
      <c r="NWG50" s="16"/>
      <c r="NWH50" s="16"/>
      <c r="NWI50" s="16"/>
      <c r="NWJ50" s="16"/>
      <c r="NWK50" s="16"/>
      <c r="NWL50" s="16"/>
      <c r="NWM50" s="16"/>
      <c r="NWN50" s="16"/>
      <c r="NWO50" s="16"/>
      <c r="NWP50" s="16"/>
      <c r="NWQ50" s="16"/>
      <c r="NWR50" s="16"/>
      <c r="NWS50" s="16"/>
      <c r="NWT50" s="16"/>
      <c r="NWU50" s="16"/>
      <c r="NWV50" s="16"/>
      <c r="NWW50" s="16"/>
      <c r="NWX50" s="16"/>
      <c r="NWY50" s="16"/>
      <c r="NWZ50" s="16"/>
      <c r="NXA50" s="16"/>
      <c r="NXB50" s="16"/>
      <c r="NXC50" s="16"/>
      <c r="NXD50" s="16"/>
      <c r="NXE50" s="16"/>
      <c r="NXF50" s="16"/>
      <c r="NXG50" s="16"/>
      <c r="NXH50" s="16"/>
      <c r="NXI50" s="16"/>
      <c r="NXJ50" s="16"/>
      <c r="NXK50" s="16"/>
      <c r="NXL50" s="16"/>
      <c r="NXM50" s="16"/>
      <c r="NXN50" s="16"/>
      <c r="NXO50" s="16"/>
      <c r="NXP50" s="16"/>
      <c r="NXQ50" s="16"/>
      <c r="NXR50" s="16"/>
      <c r="NXS50" s="16"/>
      <c r="NXT50" s="16"/>
      <c r="NXU50" s="16"/>
      <c r="NXV50" s="16"/>
      <c r="NXW50" s="16"/>
      <c r="NXX50" s="16"/>
      <c r="NXY50" s="16"/>
      <c r="NXZ50" s="16"/>
      <c r="NYA50" s="16"/>
      <c r="NYB50" s="16"/>
      <c r="NYC50" s="16"/>
      <c r="NYD50" s="16"/>
      <c r="NYE50" s="16"/>
      <c r="NYF50" s="16"/>
      <c r="NYG50" s="16"/>
      <c r="NYH50" s="16"/>
      <c r="NYI50" s="16"/>
      <c r="NYJ50" s="16"/>
      <c r="NYK50" s="16"/>
      <c r="NYL50" s="16"/>
      <c r="NYM50" s="16"/>
      <c r="NYN50" s="16"/>
      <c r="NYO50" s="16"/>
      <c r="NYP50" s="16"/>
      <c r="NYQ50" s="16"/>
      <c r="NYR50" s="16"/>
      <c r="NYS50" s="16"/>
      <c r="NYT50" s="16"/>
      <c r="NYU50" s="16"/>
      <c r="NYV50" s="16"/>
      <c r="NYW50" s="16"/>
      <c r="NYX50" s="16"/>
      <c r="NYY50" s="16"/>
      <c r="NYZ50" s="16"/>
      <c r="NZA50" s="16"/>
      <c r="NZB50" s="16"/>
      <c r="NZC50" s="16"/>
      <c r="NZD50" s="16"/>
      <c r="NZE50" s="16"/>
      <c r="NZF50" s="16"/>
      <c r="NZG50" s="16"/>
      <c r="NZH50" s="16"/>
      <c r="NZI50" s="16"/>
      <c r="NZJ50" s="16"/>
      <c r="NZK50" s="16"/>
      <c r="NZL50" s="16"/>
      <c r="NZM50" s="16"/>
      <c r="NZN50" s="16"/>
      <c r="NZO50" s="16"/>
      <c r="NZP50" s="16"/>
      <c r="NZQ50" s="16"/>
      <c r="NZR50" s="16"/>
      <c r="NZS50" s="16"/>
      <c r="NZT50" s="16"/>
      <c r="NZU50" s="16"/>
      <c r="NZV50" s="16"/>
      <c r="NZW50" s="16"/>
      <c r="NZX50" s="16"/>
      <c r="NZY50" s="16"/>
      <c r="NZZ50" s="16"/>
      <c r="OAA50" s="16"/>
      <c r="OAB50" s="16"/>
      <c r="OAC50" s="16"/>
      <c r="OAD50" s="16"/>
      <c r="OAE50" s="16"/>
      <c r="OAF50" s="16"/>
      <c r="OAG50" s="16"/>
      <c r="OAH50" s="16"/>
      <c r="OAI50" s="16"/>
      <c r="OAJ50" s="16"/>
      <c r="OAK50" s="16"/>
      <c r="OAL50" s="16"/>
      <c r="OAM50" s="16"/>
      <c r="OAN50" s="16"/>
      <c r="OAO50" s="16"/>
      <c r="OAP50" s="16"/>
      <c r="OAQ50" s="16"/>
      <c r="OAR50" s="16"/>
      <c r="OAS50" s="16"/>
      <c r="OAT50" s="16"/>
      <c r="OAU50" s="16"/>
      <c r="OAV50" s="16"/>
      <c r="OAW50" s="16"/>
      <c r="OAX50" s="16"/>
      <c r="OAY50" s="16"/>
      <c r="OAZ50" s="16"/>
      <c r="OBA50" s="16"/>
      <c r="OBB50" s="16"/>
      <c r="OBC50" s="16"/>
      <c r="OBD50" s="16"/>
      <c r="OBE50" s="16"/>
      <c r="OBF50" s="16"/>
      <c r="OBG50" s="16"/>
      <c r="OBH50" s="16"/>
      <c r="OBI50" s="16"/>
      <c r="OBJ50" s="16"/>
      <c r="OBK50" s="16"/>
      <c r="OBL50" s="16"/>
      <c r="OBM50" s="16"/>
      <c r="OBN50" s="16"/>
      <c r="OBO50" s="16"/>
      <c r="OBP50" s="16"/>
      <c r="OBQ50" s="16"/>
      <c r="OBR50" s="16"/>
      <c r="OBS50" s="16"/>
      <c r="OBT50" s="16"/>
      <c r="OBU50" s="16"/>
      <c r="OBV50" s="16"/>
      <c r="OBW50" s="16"/>
      <c r="OBX50" s="16"/>
      <c r="OBY50" s="16"/>
      <c r="OBZ50" s="16"/>
      <c r="OCA50" s="16"/>
      <c r="OCB50" s="16"/>
      <c r="OCC50" s="16"/>
      <c r="OCD50" s="16"/>
      <c r="OCE50" s="16"/>
      <c r="OCF50" s="16"/>
      <c r="OCG50" s="16"/>
      <c r="OCH50" s="16"/>
      <c r="OCI50" s="16"/>
      <c r="OCJ50" s="16"/>
      <c r="OCK50" s="16"/>
      <c r="OCL50" s="16"/>
      <c r="OCM50" s="16"/>
      <c r="OCN50" s="16"/>
      <c r="OCO50" s="16"/>
      <c r="OCP50" s="16"/>
      <c r="OCQ50" s="16"/>
      <c r="OCR50" s="16"/>
      <c r="OCS50" s="16"/>
      <c r="OCT50" s="16"/>
      <c r="OCU50" s="16"/>
      <c r="OCV50" s="16"/>
      <c r="OCW50" s="16"/>
      <c r="OCX50" s="16"/>
      <c r="OCY50" s="16"/>
      <c r="OCZ50" s="16"/>
      <c r="ODA50" s="16"/>
      <c r="ODB50" s="16"/>
      <c r="ODC50" s="16"/>
      <c r="ODD50" s="16"/>
      <c r="ODE50" s="16"/>
      <c r="ODF50" s="16"/>
      <c r="ODG50" s="16"/>
      <c r="ODH50" s="16"/>
      <c r="ODI50" s="16"/>
      <c r="ODJ50" s="16"/>
      <c r="ODK50" s="16"/>
      <c r="ODL50" s="16"/>
      <c r="ODM50" s="16"/>
      <c r="ODN50" s="16"/>
      <c r="ODO50" s="16"/>
      <c r="ODP50" s="16"/>
      <c r="ODQ50" s="16"/>
      <c r="ODR50" s="16"/>
      <c r="ODS50" s="16"/>
      <c r="ODT50" s="16"/>
      <c r="ODU50" s="16"/>
      <c r="ODV50" s="16"/>
      <c r="ODW50" s="16"/>
      <c r="ODX50" s="16"/>
      <c r="ODY50" s="16"/>
      <c r="ODZ50" s="16"/>
      <c r="OEA50" s="16"/>
      <c r="OEB50" s="16"/>
      <c r="OEC50" s="16"/>
      <c r="OED50" s="16"/>
      <c r="OEE50" s="16"/>
      <c r="OEF50" s="16"/>
      <c r="OEG50" s="16"/>
      <c r="OEH50" s="16"/>
      <c r="OEI50" s="16"/>
      <c r="OEJ50" s="16"/>
      <c r="OEK50" s="16"/>
      <c r="OEL50" s="16"/>
      <c r="OEM50" s="16"/>
      <c r="OEN50" s="16"/>
      <c r="OEO50" s="16"/>
      <c r="OEP50" s="16"/>
      <c r="OEQ50" s="16"/>
      <c r="OER50" s="16"/>
      <c r="OES50" s="16"/>
      <c r="OET50" s="16"/>
      <c r="OEU50" s="16"/>
      <c r="OEV50" s="16"/>
      <c r="OEW50" s="16"/>
      <c r="OEX50" s="16"/>
      <c r="OEY50" s="16"/>
      <c r="OEZ50" s="16"/>
      <c r="OFA50" s="16"/>
      <c r="OFB50" s="16"/>
      <c r="OFC50" s="16"/>
      <c r="OFD50" s="16"/>
      <c r="OFE50" s="16"/>
      <c r="OFF50" s="16"/>
      <c r="OFG50" s="16"/>
      <c r="OFH50" s="16"/>
      <c r="OFI50" s="16"/>
      <c r="OFJ50" s="16"/>
      <c r="OFK50" s="16"/>
      <c r="OFL50" s="16"/>
      <c r="OFM50" s="16"/>
      <c r="OFN50" s="16"/>
      <c r="OFO50" s="16"/>
      <c r="OFP50" s="16"/>
      <c r="OFQ50" s="16"/>
      <c r="OFR50" s="16"/>
      <c r="OFS50" s="16"/>
      <c r="OFT50" s="16"/>
      <c r="OFU50" s="16"/>
      <c r="OFV50" s="16"/>
      <c r="OFW50" s="16"/>
      <c r="OFX50" s="16"/>
      <c r="OFY50" s="16"/>
      <c r="OFZ50" s="16"/>
      <c r="OGA50" s="16"/>
      <c r="OGB50" s="16"/>
      <c r="OGC50" s="16"/>
      <c r="OGD50" s="16"/>
      <c r="OGE50" s="16"/>
      <c r="OGF50" s="16"/>
      <c r="OGG50" s="16"/>
      <c r="OGH50" s="16"/>
      <c r="OGI50" s="16"/>
      <c r="OGJ50" s="16"/>
      <c r="OGK50" s="16"/>
      <c r="OGL50" s="16"/>
      <c r="OGM50" s="16"/>
      <c r="OGN50" s="16"/>
      <c r="OGO50" s="16"/>
      <c r="OGP50" s="16"/>
      <c r="OGQ50" s="16"/>
      <c r="OGR50" s="16"/>
      <c r="OGS50" s="16"/>
      <c r="OGT50" s="16"/>
      <c r="OGU50" s="16"/>
      <c r="OGV50" s="16"/>
      <c r="OGW50" s="16"/>
      <c r="OGX50" s="16"/>
      <c r="OGY50" s="16"/>
      <c r="OGZ50" s="16"/>
      <c r="OHA50" s="16"/>
      <c r="OHB50" s="16"/>
      <c r="OHC50" s="16"/>
      <c r="OHD50" s="16"/>
      <c r="OHE50" s="16"/>
      <c r="OHF50" s="16"/>
      <c r="OHG50" s="16"/>
      <c r="OHH50" s="16"/>
      <c r="OHI50" s="16"/>
      <c r="OHJ50" s="16"/>
      <c r="OHK50" s="16"/>
      <c r="OHL50" s="16"/>
      <c r="OHM50" s="16"/>
      <c r="OHN50" s="16"/>
      <c r="OHO50" s="16"/>
      <c r="OHP50" s="16"/>
      <c r="OHQ50" s="16"/>
      <c r="OHR50" s="16"/>
      <c r="OHS50" s="16"/>
      <c r="OHT50" s="16"/>
      <c r="OHU50" s="16"/>
      <c r="OHV50" s="16"/>
      <c r="OHW50" s="16"/>
      <c r="OHX50" s="16"/>
      <c r="OHY50" s="16"/>
      <c r="OHZ50" s="16"/>
      <c r="OIA50" s="16"/>
      <c r="OIB50" s="16"/>
      <c r="OIC50" s="16"/>
      <c r="OID50" s="16"/>
      <c r="OIE50" s="16"/>
      <c r="OIF50" s="16"/>
      <c r="OIG50" s="16"/>
      <c r="OIH50" s="16"/>
      <c r="OII50" s="16"/>
      <c r="OIJ50" s="16"/>
      <c r="OIK50" s="16"/>
      <c r="OIL50" s="16"/>
      <c r="OIM50" s="16"/>
      <c r="OIN50" s="16"/>
      <c r="OIO50" s="16"/>
      <c r="OIP50" s="16"/>
      <c r="OIQ50" s="16"/>
      <c r="OIR50" s="16"/>
      <c r="OIS50" s="16"/>
      <c r="OIT50" s="16"/>
      <c r="OIU50" s="16"/>
      <c r="OIV50" s="16"/>
      <c r="OIW50" s="16"/>
      <c r="OIX50" s="16"/>
      <c r="OIY50" s="16"/>
      <c r="OIZ50" s="16"/>
      <c r="OJA50" s="16"/>
      <c r="OJB50" s="16"/>
      <c r="OJC50" s="16"/>
      <c r="OJD50" s="16"/>
      <c r="OJE50" s="16"/>
      <c r="OJF50" s="16"/>
      <c r="OJG50" s="16"/>
      <c r="OJH50" s="16"/>
      <c r="OJI50" s="16"/>
      <c r="OJJ50" s="16"/>
      <c r="OJK50" s="16"/>
      <c r="OJL50" s="16"/>
      <c r="OJM50" s="16"/>
      <c r="OJN50" s="16"/>
      <c r="OJO50" s="16"/>
      <c r="OJP50" s="16"/>
      <c r="OJQ50" s="16"/>
      <c r="OJR50" s="16"/>
      <c r="OJS50" s="16"/>
      <c r="OJT50" s="16"/>
      <c r="OJU50" s="16"/>
      <c r="OJV50" s="16"/>
      <c r="OJW50" s="16"/>
      <c r="OJX50" s="16"/>
      <c r="OJY50" s="16"/>
      <c r="OJZ50" s="16"/>
      <c r="OKA50" s="16"/>
      <c r="OKB50" s="16"/>
      <c r="OKC50" s="16"/>
      <c r="OKD50" s="16"/>
      <c r="OKE50" s="16"/>
      <c r="OKF50" s="16"/>
      <c r="OKG50" s="16"/>
      <c r="OKH50" s="16"/>
      <c r="OKI50" s="16"/>
      <c r="OKJ50" s="16"/>
      <c r="OKK50" s="16"/>
      <c r="OKL50" s="16"/>
      <c r="OKM50" s="16"/>
      <c r="OKN50" s="16"/>
      <c r="OKO50" s="16"/>
      <c r="OKP50" s="16"/>
      <c r="OKQ50" s="16"/>
      <c r="OKR50" s="16"/>
      <c r="OKS50" s="16"/>
      <c r="OKT50" s="16"/>
      <c r="OKU50" s="16"/>
      <c r="OKV50" s="16"/>
      <c r="OKW50" s="16"/>
      <c r="OKX50" s="16"/>
      <c r="OKY50" s="16"/>
      <c r="OKZ50" s="16"/>
      <c r="OLA50" s="16"/>
      <c r="OLB50" s="16"/>
      <c r="OLC50" s="16"/>
      <c r="OLD50" s="16"/>
      <c r="OLE50" s="16"/>
      <c r="OLF50" s="16"/>
      <c r="OLG50" s="16"/>
      <c r="OLH50" s="16"/>
      <c r="OLI50" s="16"/>
      <c r="OLJ50" s="16"/>
      <c r="OLK50" s="16"/>
      <c r="OLL50" s="16"/>
      <c r="OLM50" s="16"/>
      <c r="OLN50" s="16"/>
      <c r="OLO50" s="16"/>
      <c r="OLP50" s="16"/>
      <c r="OLQ50" s="16"/>
      <c r="OLR50" s="16"/>
      <c r="OLS50" s="16"/>
      <c r="OLT50" s="16"/>
      <c r="OLU50" s="16"/>
      <c r="OLV50" s="16"/>
      <c r="OLW50" s="16"/>
      <c r="OLX50" s="16"/>
      <c r="OLY50" s="16"/>
      <c r="OLZ50" s="16"/>
      <c r="OMA50" s="16"/>
      <c r="OMB50" s="16"/>
      <c r="OMC50" s="16"/>
      <c r="OMD50" s="16"/>
      <c r="OME50" s="16"/>
      <c r="OMF50" s="16"/>
      <c r="OMG50" s="16"/>
      <c r="OMH50" s="16"/>
      <c r="OMI50" s="16"/>
      <c r="OMJ50" s="16"/>
      <c r="OMK50" s="16"/>
      <c r="OML50" s="16"/>
      <c r="OMM50" s="16"/>
      <c r="OMN50" s="16"/>
      <c r="OMO50" s="16"/>
      <c r="OMP50" s="16"/>
      <c r="OMQ50" s="16"/>
      <c r="OMR50" s="16"/>
      <c r="OMS50" s="16"/>
      <c r="OMT50" s="16"/>
      <c r="OMU50" s="16"/>
      <c r="OMV50" s="16"/>
      <c r="OMW50" s="16"/>
      <c r="OMX50" s="16"/>
      <c r="OMY50" s="16"/>
      <c r="OMZ50" s="16"/>
      <c r="ONA50" s="16"/>
      <c r="ONB50" s="16"/>
      <c r="ONC50" s="16"/>
      <c r="OND50" s="16"/>
      <c r="ONE50" s="16"/>
      <c r="ONF50" s="16"/>
      <c r="ONG50" s="16"/>
      <c r="ONH50" s="16"/>
      <c r="ONI50" s="16"/>
      <c r="ONJ50" s="16"/>
      <c r="ONK50" s="16"/>
      <c r="ONL50" s="16"/>
      <c r="ONM50" s="16"/>
      <c r="ONN50" s="16"/>
      <c r="ONO50" s="16"/>
      <c r="ONP50" s="16"/>
      <c r="ONQ50" s="16"/>
      <c r="ONR50" s="16"/>
      <c r="ONS50" s="16"/>
      <c r="ONT50" s="16"/>
      <c r="ONU50" s="16"/>
      <c r="ONV50" s="16"/>
      <c r="ONW50" s="16"/>
      <c r="ONX50" s="16"/>
      <c r="ONY50" s="16"/>
      <c r="ONZ50" s="16"/>
      <c r="OOA50" s="16"/>
      <c r="OOB50" s="16"/>
      <c r="OOC50" s="16"/>
      <c r="OOD50" s="16"/>
      <c r="OOE50" s="16"/>
      <c r="OOF50" s="16"/>
      <c r="OOG50" s="16"/>
      <c r="OOH50" s="16"/>
      <c r="OOI50" s="16"/>
      <c r="OOJ50" s="16"/>
      <c r="OOK50" s="16"/>
      <c r="OOL50" s="16"/>
      <c r="OOM50" s="16"/>
      <c r="OON50" s="16"/>
      <c r="OOO50" s="16"/>
      <c r="OOP50" s="16"/>
      <c r="OOQ50" s="16"/>
      <c r="OOR50" s="16"/>
      <c r="OOS50" s="16"/>
      <c r="OOT50" s="16"/>
      <c r="OOU50" s="16"/>
      <c r="OOV50" s="16"/>
      <c r="OOW50" s="16"/>
      <c r="OOX50" s="16"/>
      <c r="OOY50" s="16"/>
      <c r="OOZ50" s="16"/>
      <c r="OPA50" s="16"/>
      <c r="OPB50" s="16"/>
      <c r="OPC50" s="16"/>
      <c r="OPD50" s="16"/>
      <c r="OPE50" s="16"/>
      <c r="OPF50" s="16"/>
      <c r="OPG50" s="16"/>
      <c r="OPH50" s="16"/>
      <c r="OPI50" s="16"/>
      <c r="OPJ50" s="16"/>
      <c r="OPK50" s="16"/>
      <c r="OPL50" s="16"/>
      <c r="OPM50" s="16"/>
      <c r="OPN50" s="16"/>
      <c r="OPO50" s="16"/>
      <c r="OPP50" s="16"/>
      <c r="OPQ50" s="16"/>
      <c r="OPR50" s="16"/>
      <c r="OPS50" s="16"/>
      <c r="OPT50" s="16"/>
      <c r="OPU50" s="16"/>
      <c r="OPV50" s="16"/>
      <c r="OPW50" s="16"/>
      <c r="OPX50" s="16"/>
      <c r="OPY50" s="16"/>
      <c r="OPZ50" s="16"/>
      <c r="OQA50" s="16"/>
      <c r="OQB50" s="16"/>
      <c r="OQC50" s="16"/>
      <c r="OQD50" s="16"/>
      <c r="OQE50" s="16"/>
      <c r="OQF50" s="16"/>
      <c r="OQG50" s="16"/>
      <c r="OQH50" s="16"/>
      <c r="OQI50" s="16"/>
      <c r="OQJ50" s="16"/>
      <c r="OQK50" s="16"/>
      <c r="OQL50" s="16"/>
      <c r="OQM50" s="16"/>
      <c r="OQN50" s="16"/>
      <c r="OQO50" s="16"/>
      <c r="OQP50" s="16"/>
      <c r="OQQ50" s="16"/>
      <c r="OQR50" s="16"/>
      <c r="OQS50" s="16"/>
      <c r="OQT50" s="16"/>
      <c r="OQU50" s="16"/>
      <c r="OQV50" s="16"/>
      <c r="OQW50" s="16"/>
      <c r="OQX50" s="16"/>
      <c r="OQY50" s="16"/>
      <c r="OQZ50" s="16"/>
      <c r="ORA50" s="16"/>
      <c r="ORB50" s="16"/>
      <c r="ORC50" s="16"/>
      <c r="ORD50" s="16"/>
      <c r="ORE50" s="16"/>
      <c r="ORF50" s="16"/>
      <c r="ORG50" s="16"/>
      <c r="ORH50" s="16"/>
      <c r="ORI50" s="16"/>
      <c r="ORJ50" s="16"/>
      <c r="ORK50" s="16"/>
      <c r="ORL50" s="16"/>
      <c r="ORM50" s="16"/>
      <c r="ORN50" s="16"/>
      <c r="ORO50" s="16"/>
      <c r="ORP50" s="16"/>
      <c r="ORQ50" s="16"/>
      <c r="ORR50" s="16"/>
      <c r="ORS50" s="16"/>
      <c r="ORT50" s="16"/>
      <c r="ORU50" s="16"/>
      <c r="ORV50" s="16"/>
      <c r="ORW50" s="16"/>
      <c r="ORX50" s="16"/>
      <c r="ORY50" s="16"/>
      <c r="ORZ50" s="16"/>
      <c r="OSA50" s="16"/>
      <c r="OSB50" s="16"/>
      <c r="OSC50" s="16"/>
      <c r="OSD50" s="16"/>
      <c r="OSE50" s="16"/>
      <c r="OSF50" s="16"/>
      <c r="OSG50" s="16"/>
      <c r="OSH50" s="16"/>
      <c r="OSI50" s="16"/>
      <c r="OSJ50" s="16"/>
      <c r="OSK50" s="16"/>
      <c r="OSL50" s="16"/>
      <c r="OSM50" s="16"/>
      <c r="OSN50" s="16"/>
      <c r="OSO50" s="16"/>
      <c r="OSP50" s="16"/>
      <c r="OSQ50" s="16"/>
      <c r="OSR50" s="16"/>
      <c r="OSS50" s="16"/>
      <c r="OST50" s="16"/>
      <c r="OSU50" s="16"/>
      <c r="OSV50" s="16"/>
      <c r="OSW50" s="16"/>
      <c r="OSX50" s="16"/>
      <c r="OSY50" s="16"/>
      <c r="OSZ50" s="16"/>
      <c r="OTA50" s="16"/>
      <c r="OTB50" s="16"/>
      <c r="OTC50" s="16"/>
      <c r="OTD50" s="16"/>
      <c r="OTE50" s="16"/>
      <c r="OTF50" s="16"/>
      <c r="OTG50" s="16"/>
      <c r="OTH50" s="16"/>
      <c r="OTI50" s="16"/>
      <c r="OTJ50" s="16"/>
      <c r="OTK50" s="16"/>
      <c r="OTL50" s="16"/>
      <c r="OTM50" s="16"/>
      <c r="OTN50" s="16"/>
      <c r="OTO50" s="16"/>
      <c r="OTP50" s="16"/>
      <c r="OTQ50" s="16"/>
      <c r="OTR50" s="16"/>
      <c r="OTS50" s="16"/>
      <c r="OTT50" s="16"/>
      <c r="OTU50" s="16"/>
      <c r="OTV50" s="16"/>
      <c r="OTW50" s="16"/>
      <c r="OTX50" s="16"/>
      <c r="OTY50" s="16"/>
      <c r="OTZ50" s="16"/>
      <c r="OUA50" s="16"/>
      <c r="OUB50" s="16"/>
      <c r="OUC50" s="16"/>
      <c r="OUD50" s="16"/>
      <c r="OUE50" s="16"/>
      <c r="OUF50" s="16"/>
      <c r="OUG50" s="16"/>
      <c r="OUH50" s="16"/>
      <c r="OUI50" s="16"/>
      <c r="OUJ50" s="16"/>
      <c r="OUK50" s="16"/>
      <c r="OUL50" s="16"/>
      <c r="OUM50" s="16"/>
      <c r="OUN50" s="16"/>
      <c r="OUO50" s="16"/>
      <c r="OUP50" s="16"/>
      <c r="OUQ50" s="16"/>
      <c r="OUR50" s="16"/>
      <c r="OUS50" s="16"/>
      <c r="OUT50" s="16"/>
      <c r="OUU50" s="16"/>
      <c r="OUV50" s="16"/>
      <c r="OUW50" s="16"/>
      <c r="OUX50" s="16"/>
      <c r="OUY50" s="16"/>
      <c r="OUZ50" s="16"/>
      <c r="OVA50" s="16"/>
      <c r="OVB50" s="16"/>
      <c r="OVC50" s="16"/>
      <c r="OVD50" s="16"/>
      <c r="OVE50" s="16"/>
      <c r="OVF50" s="16"/>
      <c r="OVG50" s="16"/>
      <c r="OVH50" s="16"/>
      <c r="OVI50" s="16"/>
      <c r="OVJ50" s="16"/>
      <c r="OVK50" s="16"/>
      <c r="OVL50" s="16"/>
      <c r="OVM50" s="16"/>
      <c r="OVN50" s="16"/>
      <c r="OVO50" s="16"/>
      <c r="OVP50" s="16"/>
      <c r="OVQ50" s="16"/>
      <c r="OVR50" s="16"/>
      <c r="OVS50" s="16"/>
      <c r="OVT50" s="16"/>
      <c r="OVU50" s="16"/>
      <c r="OVV50" s="16"/>
      <c r="OVW50" s="16"/>
      <c r="OVX50" s="16"/>
      <c r="OVY50" s="16"/>
      <c r="OVZ50" s="16"/>
      <c r="OWA50" s="16"/>
      <c r="OWB50" s="16"/>
      <c r="OWC50" s="16"/>
      <c r="OWD50" s="16"/>
      <c r="OWE50" s="16"/>
      <c r="OWF50" s="16"/>
      <c r="OWG50" s="16"/>
      <c r="OWH50" s="16"/>
      <c r="OWI50" s="16"/>
      <c r="OWJ50" s="16"/>
      <c r="OWK50" s="16"/>
      <c r="OWL50" s="16"/>
      <c r="OWM50" s="16"/>
      <c r="OWN50" s="16"/>
      <c r="OWO50" s="16"/>
      <c r="OWP50" s="16"/>
      <c r="OWQ50" s="16"/>
      <c r="OWR50" s="16"/>
      <c r="OWS50" s="16"/>
      <c r="OWT50" s="16"/>
      <c r="OWU50" s="16"/>
      <c r="OWV50" s="16"/>
      <c r="OWW50" s="16"/>
      <c r="OWX50" s="16"/>
      <c r="OWY50" s="16"/>
      <c r="OWZ50" s="16"/>
      <c r="OXA50" s="16"/>
      <c r="OXB50" s="16"/>
      <c r="OXC50" s="16"/>
      <c r="OXD50" s="16"/>
      <c r="OXE50" s="16"/>
      <c r="OXF50" s="16"/>
      <c r="OXG50" s="16"/>
      <c r="OXH50" s="16"/>
      <c r="OXI50" s="16"/>
      <c r="OXJ50" s="16"/>
      <c r="OXK50" s="16"/>
      <c r="OXL50" s="16"/>
      <c r="OXM50" s="16"/>
      <c r="OXN50" s="16"/>
      <c r="OXO50" s="16"/>
      <c r="OXP50" s="16"/>
      <c r="OXQ50" s="16"/>
      <c r="OXR50" s="16"/>
      <c r="OXS50" s="16"/>
      <c r="OXT50" s="16"/>
      <c r="OXU50" s="16"/>
      <c r="OXV50" s="16"/>
      <c r="OXW50" s="16"/>
      <c r="OXX50" s="16"/>
      <c r="OXY50" s="16"/>
      <c r="OXZ50" s="16"/>
      <c r="OYA50" s="16"/>
      <c r="OYB50" s="16"/>
      <c r="OYC50" s="16"/>
      <c r="OYD50" s="16"/>
      <c r="OYE50" s="16"/>
      <c r="OYF50" s="16"/>
      <c r="OYG50" s="16"/>
      <c r="OYH50" s="16"/>
      <c r="OYI50" s="16"/>
      <c r="OYJ50" s="16"/>
      <c r="OYK50" s="16"/>
      <c r="OYL50" s="16"/>
      <c r="OYM50" s="16"/>
      <c r="OYN50" s="16"/>
      <c r="OYO50" s="16"/>
      <c r="OYP50" s="16"/>
      <c r="OYQ50" s="16"/>
      <c r="OYR50" s="16"/>
      <c r="OYS50" s="16"/>
      <c r="OYT50" s="16"/>
      <c r="OYU50" s="16"/>
      <c r="OYV50" s="16"/>
      <c r="OYW50" s="16"/>
      <c r="OYX50" s="16"/>
      <c r="OYY50" s="16"/>
      <c r="OYZ50" s="16"/>
      <c r="OZA50" s="16"/>
      <c r="OZB50" s="16"/>
      <c r="OZC50" s="16"/>
      <c r="OZD50" s="16"/>
      <c r="OZE50" s="16"/>
      <c r="OZF50" s="16"/>
      <c r="OZG50" s="16"/>
      <c r="OZH50" s="16"/>
      <c r="OZI50" s="16"/>
      <c r="OZJ50" s="16"/>
      <c r="OZK50" s="16"/>
      <c r="OZL50" s="16"/>
      <c r="OZM50" s="16"/>
      <c r="OZN50" s="16"/>
      <c r="OZO50" s="16"/>
      <c r="OZP50" s="16"/>
      <c r="OZQ50" s="16"/>
      <c r="OZR50" s="16"/>
      <c r="OZS50" s="16"/>
      <c r="OZT50" s="16"/>
      <c r="OZU50" s="16"/>
      <c r="OZV50" s="16"/>
      <c r="OZW50" s="16"/>
      <c r="OZX50" s="16"/>
      <c r="OZY50" s="16"/>
      <c r="OZZ50" s="16"/>
      <c r="PAA50" s="16"/>
      <c r="PAB50" s="16"/>
      <c r="PAC50" s="16"/>
      <c r="PAD50" s="16"/>
      <c r="PAE50" s="16"/>
      <c r="PAF50" s="16"/>
      <c r="PAG50" s="16"/>
      <c r="PAH50" s="16"/>
      <c r="PAI50" s="16"/>
      <c r="PAJ50" s="16"/>
      <c r="PAK50" s="16"/>
      <c r="PAL50" s="16"/>
      <c r="PAM50" s="16"/>
      <c r="PAN50" s="16"/>
      <c r="PAO50" s="16"/>
      <c r="PAP50" s="16"/>
      <c r="PAQ50" s="16"/>
      <c r="PAR50" s="16"/>
      <c r="PAS50" s="16"/>
      <c r="PAT50" s="16"/>
      <c r="PAU50" s="16"/>
      <c r="PAV50" s="16"/>
      <c r="PAW50" s="16"/>
      <c r="PAX50" s="16"/>
      <c r="PAY50" s="16"/>
      <c r="PAZ50" s="16"/>
      <c r="PBA50" s="16"/>
      <c r="PBB50" s="16"/>
      <c r="PBC50" s="16"/>
      <c r="PBD50" s="16"/>
      <c r="PBE50" s="16"/>
      <c r="PBF50" s="16"/>
      <c r="PBG50" s="16"/>
      <c r="PBH50" s="16"/>
      <c r="PBI50" s="16"/>
      <c r="PBJ50" s="16"/>
      <c r="PBK50" s="16"/>
      <c r="PBL50" s="16"/>
      <c r="PBM50" s="16"/>
      <c r="PBN50" s="16"/>
      <c r="PBO50" s="16"/>
      <c r="PBP50" s="16"/>
      <c r="PBQ50" s="16"/>
      <c r="PBR50" s="16"/>
      <c r="PBS50" s="16"/>
      <c r="PBT50" s="16"/>
      <c r="PBU50" s="16"/>
      <c r="PBV50" s="16"/>
      <c r="PBW50" s="16"/>
      <c r="PBX50" s="16"/>
      <c r="PBY50" s="16"/>
      <c r="PBZ50" s="16"/>
      <c r="PCA50" s="16"/>
      <c r="PCB50" s="16"/>
      <c r="PCC50" s="16"/>
      <c r="PCD50" s="16"/>
      <c r="PCE50" s="16"/>
      <c r="PCF50" s="16"/>
      <c r="PCG50" s="16"/>
      <c r="PCH50" s="16"/>
      <c r="PCI50" s="16"/>
      <c r="PCJ50" s="16"/>
      <c r="PCK50" s="16"/>
      <c r="PCL50" s="16"/>
      <c r="PCM50" s="16"/>
      <c r="PCN50" s="16"/>
      <c r="PCO50" s="16"/>
      <c r="PCP50" s="16"/>
      <c r="PCQ50" s="16"/>
      <c r="PCR50" s="16"/>
      <c r="PCS50" s="16"/>
      <c r="PCT50" s="16"/>
      <c r="PCU50" s="16"/>
      <c r="PCV50" s="16"/>
      <c r="PCW50" s="16"/>
      <c r="PCX50" s="16"/>
      <c r="PCY50" s="16"/>
      <c r="PCZ50" s="16"/>
      <c r="PDA50" s="16"/>
      <c r="PDB50" s="16"/>
      <c r="PDC50" s="16"/>
      <c r="PDD50" s="16"/>
      <c r="PDE50" s="16"/>
      <c r="PDF50" s="16"/>
      <c r="PDG50" s="16"/>
      <c r="PDH50" s="16"/>
      <c r="PDI50" s="16"/>
      <c r="PDJ50" s="16"/>
      <c r="PDK50" s="16"/>
      <c r="PDL50" s="16"/>
      <c r="PDM50" s="16"/>
      <c r="PDN50" s="16"/>
      <c r="PDO50" s="16"/>
      <c r="PDP50" s="16"/>
      <c r="PDQ50" s="16"/>
      <c r="PDR50" s="16"/>
      <c r="PDS50" s="16"/>
      <c r="PDT50" s="16"/>
      <c r="PDU50" s="16"/>
      <c r="PDV50" s="16"/>
      <c r="PDW50" s="16"/>
      <c r="PDX50" s="16"/>
      <c r="PDY50" s="16"/>
      <c r="PDZ50" s="16"/>
      <c r="PEA50" s="16"/>
      <c r="PEB50" s="16"/>
      <c r="PEC50" s="16"/>
      <c r="PED50" s="16"/>
      <c r="PEE50" s="16"/>
      <c r="PEF50" s="16"/>
      <c r="PEG50" s="16"/>
      <c r="PEH50" s="16"/>
      <c r="PEI50" s="16"/>
      <c r="PEJ50" s="16"/>
      <c r="PEK50" s="16"/>
      <c r="PEL50" s="16"/>
      <c r="PEM50" s="16"/>
      <c r="PEN50" s="16"/>
      <c r="PEO50" s="16"/>
      <c r="PEP50" s="16"/>
      <c r="PEQ50" s="16"/>
      <c r="PER50" s="16"/>
      <c r="PES50" s="16"/>
      <c r="PET50" s="16"/>
      <c r="PEU50" s="16"/>
      <c r="PEV50" s="16"/>
      <c r="PEW50" s="16"/>
      <c r="PEX50" s="16"/>
      <c r="PEY50" s="16"/>
      <c r="PEZ50" s="16"/>
      <c r="PFA50" s="16"/>
      <c r="PFB50" s="16"/>
      <c r="PFC50" s="16"/>
      <c r="PFD50" s="16"/>
      <c r="PFE50" s="16"/>
      <c r="PFF50" s="16"/>
      <c r="PFG50" s="16"/>
      <c r="PFH50" s="16"/>
      <c r="PFI50" s="16"/>
      <c r="PFJ50" s="16"/>
      <c r="PFK50" s="16"/>
      <c r="PFL50" s="16"/>
      <c r="PFM50" s="16"/>
      <c r="PFN50" s="16"/>
      <c r="PFO50" s="16"/>
      <c r="PFP50" s="16"/>
      <c r="PFQ50" s="16"/>
      <c r="PFR50" s="16"/>
      <c r="PFS50" s="16"/>
      <c r="PFT50" s="16"/>
      <c r="PFU50" s="16"/>
      <c r="PFV50" s="16"/>
      <c r="PFW50" s="16"/>
      <c r="PFX50" s="16"/>
      <c r="PFY50" s="16"/>
      <c r="PFZ50" s="16"/>
      <c r="PGA50" s="16"/>
      <c r="PGB50" s="16"/>
      <c r="PGC50" s="16"/>
      <c r="PGD50" s="16"/>
      <c r="PGE50" s="16"/>
      <c r="PGF50" s="16"/>
      <c r="PGG50" s="16"/>
      <c r="PGH50" s="16"/>
      <c r="PGI50" s="16"/>
      <c r="PGJ50" s="16"/>
      <c r="PGK50" s="16"/>
      <c r="PGL50" s="16"/>
      <c r="PGM50" s="16"/>
      <c r="PGN50" s="16"/>
      <c r="PGO50" s="16"/>
      <c r="PGP50" s="16"/>
      <c r="PGQ50" s="16"/>
      <c r="PGR50" s="16"/>
      <c r="PGS50" s="16"/>
      <c r="PGT50" s="16"/>
      <c r="PGU50" s="16"/>
      <c r="PGV50" s="16"/>
      <c r="PGW50" s="16"/>
      <c r="PGX50" s="16"/>
      <c r="PGY50" s="16"/>
      <c r="PGZ50" s="16"/>
      <c r="PHA50" s="16"/>
      <c r="PHB50" s="16"/>
      <c r="PHC50" s="16"/>
      <c r="PHD50" s="16"/>
      <c r="PHE50" s="16"/>
      <c r="PHF50" s="16"/>
      <c r="PHG50" s="16"/>
      <c r="PHH50" s="16"/>
      <c r="PHI50" s="16"/>
      <c r="PHJ50" s="16"/>
      <c r="PHK50" s="16"/>
      <c r="PHL50" s="16"/>
      <c r="PHM50" s="16"/>
      <c r="PHN50" s="16"/>
      <c r="PHO50" s="16"/>
      <c r="PHP50" s="16"/>
      <c r="PHQ50" s="16"/>
      <c r="PHR50" s="16"/>
      <c r="PHS50" s="16"/>
      <c r="PHT50" s="16"/>
      <c r="PHU50" s="16"/>
      <c r="PHV50" s="16"/>
      <c r="PHW50" s="16"/>
      <c r="PHX50" s="16"/>
      <c r="PHY50" s="16"/>
      <c r="PHZ50" s="16"/>
      <c r="PIA50" s="16"/>
      <c r="PIB50" s="16"/>
      <c r="PIC50" s="16"/>
      <c r="PID50" s="16"/>
      <c r="PIE50" s="16"/>
      <c r="PIF50" s="16"/>
      <c r="PIG50" s="16"/>
      <c r="PIH50" s="16"/>
      <c r="PII50" s="16"/>
      <c r="PIJ50" s="16"/>
      <c r="PIK50" s="16"/>
      <c r="PIL50" s="16"/>
      <c r="PIM50" s="16"/>
      <c r="PIN50" s="16"/>
      <c r="PIO50" s="16"/>
      <c r="PIP50" s="16"/>
      <c r="PIQ50" s="16"/>
      <c r="PIR50" s="16"/>
      <c r="PIS50" s="16"/>
      <c r="PIT50" s="16"/>
      <c r="PIU50" s="16"/>
      <c r="PIV50" s="16"/>
      <c r="PIW50" s="16"/>
      <c r="PIX50" s="16"/>
      <c r="PIY50" s="16"/>
      <c r="PIZ50" s="16"/>
      <c r="PJA50" s="16"/>
      <c r="PJB50" s="16"/>
      <c r="PJC50" s="16"/>
      <c r="PJD50" s="16"/>
      <c r="PJE50" s="16"/>
      <c r="PJF50" s="16"/>
      <c r="PJG50" s="16"/>
      <c r="PJH50" s="16"/>
      <c r="PJI50" s="16"/>
      <c r="PJJ50" s="16"/>
      <c r="PJK50" s="16"/>
      <c r="PJL50" s="16"/>
      <c r="PJM50" s="16"/>
      <c r="PJN50" s="16"/>
      <c r="PJO50" s="16"/>
      <c r="PJP50" s="16"/>
      <c r="PJQ50" s="16"/>
      <c r="PJR50" s="16"/>
      <c r="PJS50" s="16"/>
      <c r="PJT50" s="16"/>
      <c r="PJU50" s="16"/>
      <c r="PJV50" s="16"/>
      <c r="PJW50" s="16"/>
      <c r="PJX50" s="16"/>
      <c r="PJY50" s="16"/>
      <c r="PJZ50" s="16"/>
      <c r="PKA50" s="16"/>
      <c r="PKB50" s="16"/>
      <c r="PKC50" s="16"/>
      <c r="PKD50" s="16"/>
      <c r="PKE50" s="16"/>
      <c r="PKF50" s="16"/>
      <c r="PKG50" s="16"/>
      <c r="PKH50" s="16"/>
      <c r="PKI50" s="16"/>
      <c r="PKJ50" s="16"/>
      <c r="PKK50" s="16"/>
      <c r="PKL50" s="16"/>
      <c r="PKM50" s="16"/>
      <c r="PKN50" s="16"/>
      <c r="PKO50" s="16"/>
      <c r="PKP50" s="16"/>
      <c r="PKQ50" s="16"/>
      <c r="PKR50" s="16"/>
      <c r="PKS50" s="16"/>
      <c r="PKT50" s="16"/>
      <c r="PKU50" s="16"/>
      <c r="PKV50" s="16"/>
      <c r="PKW50" s="16"/>
      <c r="PKX50" s="16"/>
      <c r="PKY50" s="16"/>
      <c r="PKZ50" s="16"/>
      <c r="PLA50" s="16"/>
      <c r="PLB50" s="16"/>
      <c r="PLC50" s="16"/>
      <c r="PLD50" s="16"/>
      <c r="PLE50" s="16"/>
      <c r="PLF50" s="16"/>
      <c r="PLG50" s="16"/>
      <c r="PLH50" s="16"/>
      <c r="PLI50" s="16"/>
      <c r="PLJ50" s="16"/>
      <c r="PLK50" s="16"/>
      <c r="PLL50" s="16"/>
      <c r="PLM50" s="16"/>
      <c r="PLN50" s="16"/>
      <c r="PLO50" s="16"/>
      <c r="PLP50" s="16"/>
      <c r="PLQ50" s="16"/>
      <c r="PLR50" s="16"/>
      <c r="PLS50" s="16"/>
      <c r="PLT50" s="16"/>
      <c r="PLU50" s="16"/>
      <c r="PLV50" s="16"/>
      <c r="PLW50" s="16"/>
      <c r="PLX50" s="16"/>
      <c r="PLY50" s="16"/>
      <c r="PLZ50" s="16"/>
      <c r="PMA50" s="16"/>
      <c r="PMB50" s="16"/>
      <c r="PMC50" s="16"/>
      <c r="PMD50" s="16"/>
      <c r="PME50" s="16"/>
      <c r="PMF50" s="16"/>
      <c r="PMG50" s="16"/>
      <c r="PMH50" s="16"/>
      <c r="PMI50" s="16"/>
      <c r="PMJ50" s="16"/>
      <c r="PMK50" s="16"/>
      <c r="PML50" s="16"/>
      <c r="PMM50" s="16"/>
      <c r="PMN50" s="16"/>
      <c r="PMO50" s="16"/>
      <c r="PMP50" s="16"/>
      <c r="PMQ50" s="16"/>
      <c r="PMR50" s="16"/>
      <c r="PMS50" s="16"/>
      <c r="PMT50" s="16"/>
      <c r="PMU50" s="16"/>
      <c r="PMV50" s="16"/>
      <c r="PMW50" s="16"/>
      <c r="PMX50" s="16"/>
      <c r="PMY50" s="16"/>
      <c r="PMZ50" s="16"/>
      <c r="PNA50" s="16"/>
      <c r="PNB50" s="16"/>
      <c r="PNC50" s="16"/>
      <c r="PND50" s="16"/>
      <c r="PNE50" s="16"/>
      <c r="PNF50" s="16"/>
      <c r="PNG50" s="16"/>
      <c r="PNH50" s="16"/>
      <c r="PNI50" s="16"/>
      <c r="PNJ50" s="16"/>
      <c r="PNK50" s="16"/>
      <c r="PNL50" s="16"/>
      <c r="PNM50" s="16"/>
      <c r="PNN50" s="16"/>
      <c r="PNO50" s="16"/>
      <c r="PNP50" s="16"/>
      <c r="PNQ50" s="16"/>
      <c r="PNR50" s="16"/>
      <c r="PNS50" s="16"/>
      <c r="PNT50" s="16"/>
      <c r="PNU50" s="16"/>
      <c r="PNV50" s="16"/>
      <c r="PNW50" s="16"/>
      <c r="PNX50" s="16"/>
      <c r="PNY50" s="16"/>
      <c r="PNZ50" s="16"/>
      <c r="POA50" s="16"/>
      <c r="POB50" s="16"/>
      <c r="POC50" s="16"/>
      <c r="POD50" s="16"/>
      <c r="POE50" s="16"/>
      <c r="POF50" s="16"/>
      <c r="POG50" s="16"/>
      <c r="POH50" s="16"/>
      <c r="POI50" s="16"/>
      <c r="POJ50" s="16"/>
      <c r="POK50" s="16"/>
      <c r="POL50" s="16"/>
      <c r="POM50" s="16"/>
      <c r="PON50" s="16"/>
      <c r="POO50" s="16"/>
      <c r="POP50" s="16"/>
      <c r="POQ50" s="16"/>
      <c r="POR50" s="16"/>
      <c r="POS50" s="16"/>
      <c r="POT50" s="16"/>
      <c r="POU50" s="16"/>
      <c r="POV50" s="16"/>
      <c r="POW50" s="16"/>
      <c r="POX50" s="16"/>
      <c r="POY50" s="16"/>
      <c r="POZ50" s="16"/>
      <c r="PPA50" s="16"/>
      <c r="PPB50" s="16"/>
      <c r="PPC50" s="16"/>
      <c r="PPD50" s="16"/>
      <c r="PPE50" s="16"/>
      <c r="PPF50" s="16"/>
      <c r="PPG50" s="16"/>
      <c r="PPH50" s="16"/>
      <c r="PPI50" s="16"/>
      <c r="PPJ50" s="16"/>
      <c r="PPK50" s="16"/>
      <c r="PPL50" s="16"/>
      <c r="PPM50" s="16"/>
      <c r="PPN50" s="16"/>
      <c r="PPO50" s="16"/>
      <c r="PPP50" s="16"/>
      <c r="PPQ50" s="16"/>
      <c r="PPR50" s="16"/>
      <c r="PPS50" s="16"/>
      <c r="PPT50" s="16"/>
      <c r="PPU50" s="16"/>
      <c r="PPV50" s="16"/>
      <c r="PPW50" s="16"/>
      <c r="PPX50" s="16"/>
      <c r="PPY50" s="16"/>
      <c r="PPZ50" s="16"/>
      <c r="PQA50" s="16"/>
      <c r="PQB50" s="16"/>
      <c r="PQC50" s="16"/>
      <c r="PQD50" s="16"/>
      <c r="PQE50" s="16"/>
      <c r="PQF50" s="16"/>
      <c r="PQG50" s="16"/>
      <c r="PQH50" s="16"/>
      <c r="PQI50" s="16"/>
      <c r="PQJ50" s="16"/>
      <c r="PQK50" s="16"/>
      <c r="PQL50" s="16"/>
      <c r="PQM50" s="16"/>
      <c r="PQN50" s="16"/>
      <c r="PQO50" s="16"/>
      <c r="PQP50" s="16"/>
      <c r="PQQ50" s="16"/>
      <c r="PQR50" s="16"/>
      <c r="PQS50" s="16"/>
      <c r="PQT50" s="16"/>
      <c r="PQU50" s="16"/>
      <c r="PQV50" s="16"/>
      <c r="PQW50" s="16"/>
      <c r="PQX50" s="16"/>
      <c r="PQY50" s="16"/>
      <c r="PQZ50" s="16"/>
      <c r="PRA50" s="16"/>
      <c r="PRB50" s="16"/>
      <c r="PRC50" s="16"/>
      <c r="PRD50" s="16"/>
      <c r="PRE50" s="16"/>
      <c r="PRF50" s="16"/>
      <c r="PRG50" s="16"/>
      <c r="PRH50" s="16"/>
      <c r="PRI50" s="16"/>
      <c r="PRJ50" s="16"/>
      <c r="PRK50" s="16"/>
      <c r="PRL50" s="16"/>
      <c r="PRM50" s="16"/>
      <c r="PRN50" s="16"/>
      <c r="PRO50" s="16"/>
      <c r="PRP50" s="16"/>
      <c r="PRQ50" s="16"/>
      <c r="PRR50" s="16"/>
      <c r="PRS50" s="16"/>
      <c r="PRT50" s="16"/>
      <c r="PRU50" s="16"/>
      <c r="PRV50" s="16"/>
      <c r="PRW50" s="16"/>
      <c r="PRX50" s="16"/>
      <c r="PRY50" s="16"/>
      <c r="PRZ50" s="16"/>
      <c r="PSA50" s="16"/>
      <c r="PSB50" s="16"/>
      <c r="PSC50" s="16"/>
      <c r="PSD50" s="16"/>
      <c r="PSE50" s="16"/>
      <c r="PSF50" s="16"/>
      <c r="PSG50" s="16"/>
      <c r="PSH50" s="16"/>
      <c r="PSI50" s="16"/>
      <c r="PSJ50" s="16"/>
      <c r="PSK50" s="16"/>
      <c r="PSL50" s="16"/>
      <c r="PSM50" s="16"/>
      <c r="PSN50" s="16"/>
      <c r="PSO50" s="16"/>
      <c r="PSP50" s="16"/>
      <c r="PSQ50" s="16"/>
      <c r="PSR50" s="16"/>
      <c r="PSS50" s="16"/>
      <c r="PST50" s="16"/>
      <c r="PSU50" s="16"/>
      <c r="PSV50" s="16"/>
      <c r="PSW50" s="16"/>
      <c r="PSX50" s="16"/>
      <c r="PSY50" s="16"/>
      <c r="PSZ50" s="16"/>
      <c r="PTA50" s="16"/>
      <c r="PTB50" s="16"/>
      <c r="PTC50" s="16"/>
      <c r="PTD50" s="16"/>
      <c r="PTE50" s="16"/>
      <c r="PTF50" s="16"/>
      <c r="PTG50" s="16"/>
      <c r="PTH50" s="16"/>
      <c r="PTI50" s="16"/>
      <c r="PTJ50" s="16"/>
      <c r="PTK50" s="16"/>
      <c r="PTL50" s="16"/>
      <c r="PTM50" s="16"/>
      <c r="PTN50" s="16"/>
      <c r="PTO50" s="16"/>
      <c r="PTP50" s="16"/>
      <c r="PTQ50" s="16"/>
      <c r="PTR50" s="16"/>
      <c r="PTS50" s="16"/>
      <c r="PTT50" s="16"/>
      <c r="PTU50" s="16"/>
      <c r="PTV50" s="16"/>
      <c r="PTW50" s="16"/>
      <c r="PTX50" s="16"/>
      <c r="PTY50" s="16"/>
      <c r="PTZ50" s="16"/>
      <c r="PUA50" s="16"/>
      <c r="PUB50" s="16"/>
      <c r="PUC50" s="16"/>
      <c r="PUD50" s="16"/>
      <c r="PUE50" s="16"/>
      <c r="PUF50" s="16"/>
      <c r="PUG50" s="16"/>
      <c r="PUH50" s="16"/>
      <c r="PUI50" s="16"/>
      <c r="PUJ50" s="16"/>
      <c r="PUK50" s="16"/>
      <c r="PUL50" s="16"/>
      <c r="PUM50" s="16"/>
      <c r="PUN50" s="16"/>
      <c r="PUO50" s="16"/>
      <c r="PUP50" s="16"/>
      <c r="PUQ50" s="16"/>
      <c r="PUR50" s="16"/>
      <c r="PUS50" s="16"/>
      <c r="PUT50" s="16"/>
      <c r="PUU50" s="16"/>
      <c r="PUV50" s="16"/>
      <c r="PUW50" s="16"/>
      <c r="PUX50" s="16"/>
      <c r="PUY50" s="16"/>
      <c r="PUZ50" s="16"/>
      <c r="PVA50" s="16"/>
      <c r="PVB50" s="16"/>
      <c r="PVC50" s="16"/>
      <c r="PVD50" s="16"/>
      <c r="PVE50" s="16"/>
      <c r="PVF50" s="16"/>
      <c r="PVG50" s="16"/>
      <c r="PVH50" s="16"/>
      <c r="PVI50" s="16"/>
      <c r="PVJ50" s="16"/>
      <c r="PVK50" s="16"/>
      <c r="PVL50" s="16"/>
      <c r="PVM50" s="16"/>
      <c r="PVN50" s="16"/>
      <c r="PVO50" s="16"/>
      <c r="PVP50" s="16"/>
      <c r="PVQ50" s="16"/>
      <c r="PVR50" s="16"/>
      <c r="PVS50" s="16"/>
      <c r="PVT50" s="16"/>
      <c r="PVU50" s="16"/>
      <c r="PVV50" s="16"/>
      <c r="PVW50" s="16"/>
      <c r="PVX50" s="16"/>
      <c r="PVY50" s="16"/>
      <c r="PVZ50" s="16"/>
      <c r="PWA50" s="16"/>
      <c r="PWB50" s="16"/>
      <c r="PWC50" s="16"/>
      <c r="PWD50" s="16"/>
      <c r="PWE50" s="16"/>
      <c r="PWF50" s="16"/>
      <c r="PWG50" s="16"/>
      <c r="PWH50" s="16"/>
      <c r="PWI50" s="16"/>
      <c r="PWJ50" s="16"/>
      <c r="PWK50" s="16"/>
      <c r="PWL50" s="16"/>
      <c r="PWM50" s="16"/>
      <c r="PWN50" s="16"/>
      <c r="PWO50" s="16"/>
      <c r="PWP50" s="16"/>
      <c r="PWQ50" s="16"/>
      <c r="PWR50" s="16"/>
      <c r="PWS50" s="16"/>
      <c r="PWT50" s="16"/>
      <c r="PWU50" s="16"/>
      <c r="PWV50" s="16"/>
      <c r="PWW50" s="16"/>
      <c r="PWX50" s="16"/>
      <c r="PWY50" s="16"/>
      <c r="PWZ50" s="16"/>
      <c r="PXA50" s="16"/>
      <c r="PXB50" s="16"/>
      <c r="PXC50" s="16"/>
      <c r="PXD50" s="16"/>
      <c r="PXE50" s="16"/>
      <c r="PXF50" s="16"/>
      <c r="PXG50" s="16"/>
      <c r="PXH50" s="16"/>
      <c r="PXI50" s="16"/>
      <c r="PXJ50" s="16"/>
      <c r="PXK50" s="16"/>
      <c r="PXL50" s="16"/>
      <c r="PXM50" s="16"/>
      <c r="PXN50" s="16"/>
      <c r="PXO50" s="16"/>
      <c r="PXP50" s="16"/>
      <c r="PXQ50" s="16"/>
      <c r="PXR50" s="16"/>
      <c r="PXS50" s="16"/>
      <c r="PXT50" s="16"/>
      <c r="PXU50" s="16"/>
      <c r="PXV50" s="16"/>
      <c r="PXW50" s="16"/>
      <c r="PXX50" s="16"/>
      <c r="PXY50" s="16"/>
      <c r="PXZ50" s="16"/>
      <c r="PYA50" s="16"/>
      <c r="PYB50" s="16"/>
      <c r="PYC50" s="16"/>
      <c r="PYD50" s="16"/>
      <c r="PYE50" s="16"/>
      <c r="PYF50" s="16"/>
      <c r="PYG50" s="16"/>
      <c r="PYH50" s="16"/>
      <c r="PYI50" s="16"/>
      <c r="PYJ50" s="16"/>
      <c r="PYK50" s="16"/>
      <c r="PYL50" s="16"/>
      <c r="PYM50" s="16"/>
      <c r="PYN50" s="16"/>
      <c r="PYO50" s="16"/>
      <c r="PYP50" s="16"/>
      <c r="PYQ50" s="16"/>
      <c r="PYR50" s="16"/>
      <c r="PYS50" s="16"/>
      <c r="PYT50" s="16"/>
      <c r="PYU50" s="16"/>
      <c r="PYV50" s="16"/>
      <c r="PYW50" s="16"/>
      <c r="PYX50" s="16"/>
      <c r="PYY50" s="16"/>
      <c r="PYZ50" s="16"/>
      <c r="PZA50" s="16"/>
      <c r="PZB50" s="16"/>
      <c r="PZC50" s="16"/>
      <c r="PZD50" s="16"/>
      <c r="PZE50" s="16"/>
      <c r="PZF50" s="16"/>
      <c r="PZG50" s="16"/>
      <c r="PZH50" s="16"/>
      <c r="PZI50" s="16"/>
      <c r="PZJ50" s="16"/>
      <c r="PZK50" s="16"/>
      <c r="PZL50" s="16"/>
      <c r="PZM50" s="16"/>
      <c r="PZN50" s="16"/>
      <c r="PZO50" s="16"/>
      <c r="PZP50" s="16"/>
      <c r="PZQ50" s="16"/>
      <c r="PZR50" s="16"/>
      <c r="PZS50" s="16"/>
      <c r="PZT50" s="16"/>
      <c r="PZU50" s="16"/>
      <c r="PZV50" s="16"/>
      <c r="PZW50" s="16"/>
      <c r="PZX50" s="16"/>
      <c r="PZY50" s="16"/>
      <c r="PZZ50" s="16"/>
      <c r="QAA50" s="16"/>
      <c r="QAB50" s="16"/>
      <c r="QAC50" s="16"/>
      <c r="QAD50" s="16"/>
      <c r="QAE50" s="16"/>
      <c r="QAF50" s="16"/>
      <c r="QAG50" s="16"/>
      <c r="QAH50" s="16"/>
      <c r="QAI50" s="16"/>
      <c r="QAJ50" s="16"/>
      <c r="QAK50" s="16"/>
      <c r="QAL50" s="16"/>
      <c r="QAM50" s="16"/>
      <c r="QAN50" s="16"/>
      <c r="QAO50" s="16"/>
      <c r="QAP50" s="16"/>
      <c r="QAQ50" s="16"/>
      <c r="QAR50" s="16"/>
      <c r="QAS50" s="16"/>
      <c r="QAT50" s="16"/>
      <c r="QAU50" s="16"/>
      <c r="QAV50" s="16"/>
      <c r="QAW50" s="16"/>
      <c r="QAX50" s="16"/>
      <c r="QAY50" s="16"/>
      <c r="QAZ50" s="16"/>
      <c r="QBA50" s="16"/>
      <c r="QBB50" s="16"/>
      <c r="QBC50" s="16"/>
      <c r="QBD50" s="16"/>
      <c r="QBE50" s="16"/>
      <c r="QBF50" s="16"/>
      <c r="QBG50" s="16"/>
      <c r="QBH50" s="16"/>
      <c r="QBI50" s="16"/>
      <c r="QBJ50" s="16"/>
      <c r="QBK50" s="16"/>
      <c r="QBL50" s="16"/>
      <c r="QBM50" s="16"/>
      <c r="QBN50" s="16"/>
      <c r="QBO50" s="16"/>
      <c r="QBP50" s="16"/>
      <c r="QBQ50" s="16"/>
      <c r="QBR50" s="16"/>
      <c r="QBS50" s="16"/>
      <c r="QBT50" s="16"/>
      <c r="QBU50" s="16"/>
      <c r="QBV50" s="16"/>
      <c r="QBW50" s="16"/>
      <c r="QBX50" s="16"/>
      <c r="QBY50" s="16"/>
      <c r="QBZ50" s="16"/>
      <c r="QCA50" s="16"/>
      <c r="QCB50" s="16"/>
      <c r="QCC50" s="16"/>
      <c r="QCD50" s="16"/>
      <c r="QCE50" s="16"/>
      <c r="QCF50" s="16"/>
      <c r="QCG50" s="16"/>
      <c r="QCH50" s="16"/>
      <c r="QCI50" s="16"/>
      <c r="QCJ50" s="16"/>
      <c r="QCK50" s="16"/>
      <c r="QCL50" s="16"/>
      <c r="QCM50" s="16"/>
      <c r="QCN50" s="16"/>
      <c r="QCO50" s="16"/>
      <c r="QCP50" s="16"/>
      <c r="QCQ50" s="16"/>
      <c r="QCR50" s="16"/>
      <c r="QCS50" s="16"/>
      <c r="QCT50" s="16"/>
      <c r="QCU50" s="16"/>
      <c r="QCV50" s="16"/>
      <c r="QCW50" s="16"/>
      <c r="QCX50" s="16"/>
      <c r="QCY50" s="16"/>
      <c r="QCZ50" s="16"/>
      <c r="QDA50" s="16"/>
      <c r="QDB50" s="16"/>
      <c r="QDC50" s="16"/>
      <c r="QDD50" s="16"/>
      <c r="QDE50" s="16"/>
      <c r="QDF50" s="16"/>
      <c r="QDG50" s="16"/>
      <c r="QDH50" s="16"/>
      <c r="QDI50" s="16"/>
      <c r="QDJ50" s="16"/>
      <c r="QDK50" s="16"/>
      <c r="QDL50" s="16"/>
      <c r="QDM50" s="16"/>
      <c r="QDN50" s="16"/>
      <c r="QDO50" s="16"/>
      <c r="QDP50" s="16"/>
      <c r="QDQ50" s="16"/>
      <c r="QDR50" s="16"/>
      <c r="QDS50" s="16"/>
      <c r="QDT50" s="16"/>
      <c r="QDU50" s="16"/>
      <c r="QDV50" s="16"/>
      <c r="QDW50" s="16"/>
      <c r="QDX50" s="16"/>
      <c r="QDY50" s="16"/>
      <c r="QDZ50" s="16"/>
      <c r="QEA50" s="16"/>
      <c r="QEB50" s="16"/>
      <c r="QEC50" s="16"/>
      <c r="QED50" s="16"/>
      <c r="QEE50" s="16"/>
      <c r="QEF50" s="16"/>
      <c r="QEG50" s="16"/>
      <c r="QEH50" s="16"/>
      <c r="QEI50" s="16"/>
      <c r="QEJ50" s="16"/>
      <c r="QEK50" s="16"/>
      <c r="QEL50" s="16"/>
      <c r="QEM50" s="16"/>
      <c r="QEN50" s="16"/>
      <c r="QEO50" s="16"/>
      <c r="QEP50" s="16"/>
      <c r="QEQ50" s="16"/>
      <c r="QER50" s="16"/>
      <c r="QES50" s="16"/>
      <c r="QET50" s="16"/>
      <c r="QEU50" s="16"/>
      <c r="QEV50" s="16"/>
      <c r="QEW50" s="16"/>
      <c r="QEX50" s="16"/>
      <c r="QEY50" s="16"/>
      <c r="QEZ50" s="16"/>
      <c r="QFA50" s="16"/>
      <c r="QFB50" s="16"/>
      <c r="QFC50" s="16"/>
      <c r="QFD50" s="16"/>
      <c r="QFE50" s="16"/>
      <c r="QFF50" s="16"/>
      <c r="QFG50" s="16"/>
      <c r="QFH50" s="16"/>
      <c r="QFI50" s="16"/>
      <c r="QFJ50" s="16"/>
      <c r="QFK50" s="16"/>
      <c r="QFL50" s="16"/>
      <c r="QFM50" s="16"/>
      <c r="QFN50" s="16"/>
      <c r="QFO50" s="16"/>
      <c r="QFP50" s="16"/>
      <c r="QFQ50" s="16"/>
      <c r="QFR50" s="16"/>
      <c r="QFS50" s="16"/>
      <c r="QFT50" s="16"/>
      <c r="QFU50" s="16"/>
      <c r="QFV50" s="16"/>
      <c r="QFW50" s="16"/>
      <c r="QFX50" s="16"/>
      <c r="QFY50" s="16"/>
      <c r="QFZ50" s="16"/>
      <c r="QGA50" s="16"/>
      <c r="QGB50" s="16"/>
      <c r="QGC50" s="16"/>
      <c r="QGD50" s="16"/>
      <c r="QGE50" s="16"/>
      <c r="QGF50" s="16"/>
      <c r="QGG50" s="16"/>
      <c r="QGH50" s="16"/>
      <c r="QGI50" s="16"/>
      <c r="QGJ50" s="16"/>
      <c r="QGK50" s="16"/>
      <c r="QGL50" s="16"/>
      <c r="QGM50" s="16"/>
      <c r="QGN50" s="16"/>
      <c r="QGO50" s="16"/>
      <c r="QGP50" s="16"/>
      <c r="QGQ50" s="16"/>
      <c r="QGR50" s="16"/>
      <c r="QGS50" s="16"/>
      <c r="QGT50" s="16"/>
      <c r="QGU50" s="16"/>
      <c r="QGV50" s="16"/>
      <c r="QGW50" s="16"/>
      <c r="QGX50" s="16"/>
      <c r="QGY50" s="16"/>
      <c r="QGZ50" s="16"/>
      <c r="QHA50" s="16"/>
      <c r="QHB50" s="16"/>
      <c r="QHC50" s="16"/>
      <c r="QHD50" s="16"/>
      <c r="QHE50" s="16"/>
      <c r="QHF50" s="16"/>
      <c r="QHG50" s="16"/>
      <c r="QHH50" s="16"/>
      <c r="QHI50" s="16"/>
      <c r="QHJ50" s="16"/>
      <c r="QHK50" s="16"/>
      <c r="QHL50" s="16"/>
      <c r="QHM50" s="16"/>
      <c r="QHN50" s="16"/>
      <c r="QHO50" s="16"/>
      <c r="QHP50" s="16"/>
      <c r="QHQ50" s="16"/>
      <c r="QHR50" s="16"/>
      <c r="QHS50" s="16"/>
      <c r="QHT50" s="16"/>
      <c r="QHU50" s="16"/>
      <c r="QHV50" s="16"/>
      <c r="QHW50" s="16"/>
      <c r="QHX50" s="16"/>
      <c r="QHY50" s="16"/>
      <c r="QHZ50" s="16"/>
      <c r="QIA50" s="16"/>
      <c r="QIB50" s="16"/>
      <c r="QIC50" s="16"/>
      <c r="QID50" s="16"/>
      <c r="QIE50" s="16"/>
      <c r="QIF50" s="16"/>
      <c r="QIG50" s="16"/>
      <c r="QIH50" s="16"/>
      <c r="QII50" s="16"/>
      <c r="QIJ50" s="16"/>
      <c r="QIK50" s="16"/>
      <c r="QIL50" s="16"/>
      <c r="QIM50" s="16"/>
      <c r="QIN50" s="16"/>
      <c r="QIO50" s="16"/>
      <c r="QIP50" s="16"/>
      <c r="QIQ50" s="16"/>
      <c r="QIR50" s="16"/>
      <c r="QIS50" s="16"/>
      <c r="QIT50" s="16"/>
      <c r="QIU50" s="16"/>
      <c r="QIV50" s="16"/>
      <c r="QIW50" s="16"/>
      <c r="QIX50" s="16"/>
      <c r="QIY50" s="16"/>
      <c r="QIZ50" s="16"/>
      <c r="QJA50" s="16"/>
      <c r="QJB50" s="16"/>
      <c r="QJC50" s="16"/>
      <c r="QJD50" s="16"/>
      <c r="QJE50" s="16"/>
      <c r="QJF50" s="16"/>
      <c r="QJG50" s="16"/>
      <c r="QJH50" s="16"/>
      <c r="QJI50" s="16"/>
      <c r="QJJ50" s="16"/>
      <c r="QJK50" s="16"/>
      <c r="QJL50" s="16"/>
      <c r="QJM50" s="16"/>
      <c r="QJN50" s="16"/>
      <c r="QJO50" s="16"/>
      <c r="QJP50" s="16"/>
      <c r="QJQ50" s="16"/>
      <c r="QJR50" s="16"/>
      <c r="QJS50" s="16"/>
      <c r="QJT50" s="16"/>
      <c r="QJU50" s="16"/>
      <c r="QJV50" s="16"/>
      <c r="QJW50" s="16"/>
      <c r="QJX50" s="16"/>
      <c r="QJY50" s="16"/>
      <c r="QJZ50" s="16"/>
      <c r="QKA50" s="16"/>
      <c r="QKB50" s="16"/>
      <c r="QKC50" s="16"/>
      <c r="QKD50" s="16"/>
      <c r="QKE50" s="16"/>
      <c r="QKF50" s="16"/>
      <c r="QKG50" s="16"/>
      <c r="QKH50" s="16"/>
      <c r="QKI50" s="16"/>
      <c r="QKJ50" s="16"/>
      <c r="QKK50" s="16"/>
      <c r="QKL50" s="16"/>
      <c r="QKM50" s="16"/>
      <c r="QKN50" s="16"/>
      <c r="QKO50" s="16"/>
      <c r="QKP50" s="16"/>
      <c r="QKQ50" s="16"/>
      <c r="QKR50" s="16"/>
      <c r="QKS50" s="16"/>
      <c r="QKT50" s="16"/>
      <c r="QKU50" s="16"/>
      <c r="QKV50" s="16"/>
      <c r="QKW50" s="16"/>
      <c r="QKX50" s="16"/>
      <c r="QKY50" s="16"/>
      <c r="QKZ50" s="16"/>
      <c r="QLA50" s="16"/>
      <c r="QLB50" s="16"/>
      <c r="QLC50" s="16"/>
      <c r="QLD50" s="16"/>
      <c r="QLE50" s="16"/>
      <c r="QLF50" s="16"/>
      <c r="QLG50" s="16"/>
      <c r="QLH50" s="16"/>
      <c r="QLI50" s="16"/>
      <c r="QLJ50" s="16"/>
      <c r="QLK50" s="16"/>
      <c r="QLL50" s="16"/>
      <c r="QLM50" s="16"/>
      <c r="QLN50" s="16"/>
      <c r="QLO50" s="16"/>
      <c r="QLP50" s="16"/>
      <c r="QLQ50" s="16"/>
      <c r="QLR50" s="16"/>
      <c r="QLS50" s="16"/>
      <c r="QLT50" s="16"/>
      <c r="QLU50" s="16"/>
      <c r="QLV50" s="16"/>
      <c r="QLW50" s="16"/>
      <c r="QLX50" s="16"/>
      <c r="QLY50" s="16"/>
      <c r="QLZ50" s="16"/>
      <c r="QMA50" s="16"/>
      <c r="QMB50" s="16"/>
      <c r="QMC50" s="16"/>
      <c r="QMD50" s="16"/>
      <c r="QME50" s="16"/>
      <c r="QMF50" s="16"/>
      <c r="QMG50" s="16"/>
      <c r="QMH50" s="16"/>
      <c r="QMI50" s="16"/>
      <c r="QMJ50" s="16"/>
      <c r="QMK50" s="16"/>
      <c r="QML50" s="16"/>
      <c r="QMM50" s="16"/>
      <c r="QMN50" s="16"/>
      <c r="QMO50" s="16"/>
      <c r="QMP50" s="16"/>
      <c r="QMQ50" s="16"/>
      <c r="QMR50" s="16"/>
      <c r="QMS50" s="16"/>
      <c r="QMT50" s="16"/>
      <c r="QMU50" s="16"/>
      <c r="QMV50" s="16"/>
      <c r="QMW50" s="16"/>
      <c r="QMX50" s="16"/>
      <c r="QMY50" s="16"/>
      <c r="QMZ50" s="16"/>
      <c r="QNA50" s="16"/>
      <c r="QNB50" s="16"/>
      <c r="QNC50" s="16"/>
      <c r="QND50" s="16"/>
      <c r="QNE50" s="16"/>
      <c r="QNF50" s="16"/>
      <c r="QNG50" s="16"/>
      <c r="QNH50" s="16"/>
      <c r="QNI50" s="16"/>
      <c r="QNJ50" s="16"/>
      <c r="QNK50" s="16"/>
      <c r="QNL50" s="16"/>
      <c r="QNM50" s="16"/>
      <c r="QNN50" s="16"/>
      <c r="QNO50" s="16"/>
      <c r="QNP50" s="16"/>
      <c r="QNQ50" s="16"/>
      <c r="QNR50" s="16"/>
      <c r="QNS50" s="16"/>
      <c r="QNT50" s="16"/>
      <c r="QNU50" s="16"/>
      <c r="QNV50" s="16"/>
      <c r="QNW50" s="16"/>
      <c r="QNX50" s="16"/>
      <c r="QNY50" s="16"/>
      <c r="QNZ50" s="16"/>
      <c r="QOA50" s="16"/>
      <c r="QOB50" s="16"/>
      <c r="QOC50" s="16"/>
      <c r="QOD50" s="16"/>
      <c r="QOE50" s="16"/>
      <c r="QOF50" s="16"/>
      <c r="QOG50" s="16"/>
      <c r="QOH50" s="16"/>
      <c r="QOI50" s="16"/>
      <c r="QOJ50" s="16"/>
      <c r="QOK50" s="16"/>
      <c r="QOL50" s="16"/>
      <c r="QOM50" s="16"/>
      <c r="QON50" s="16"/>
      <c r="QOO50" s="16"/>
      <c r="QOP50" s="16"/>
      <c r="QOQ50" s="16"/>
      <c r="QOR50" s="16"/>
      <c r="QOS50" s="16"/>
      <c r="QOT50" s="16"/>
      <c r="QOU50" s="16"/>
      <c r="QOV50" s="16"/>
      <c r="QOW50" s="16"/>
      <c r="QOX50" s="16"/>
      <c r="QOY50" s="16"/>
      <c r="QOZ50" s="16"/>
      <c r="QPA50" s="16"/>
      <c r="QPB50" s="16"/>
      <c r="QPC50" s="16"/>
      <c r="QPD50" s="16"/>
      <c r="QPE50" s="16"/>
      <c r="QPF50" s="16"/>
      <c r="QPG50" s="16"/>
      <c r="QPH50" s="16"/>
      <c r="QPI50" s="16"/>
      <c r="QPJ50" s="16"/>
      <c r="QPK50" s="16"/>
      <c r="QPL50" s="16"/>
      <c r="QPM50" s="16"/>
      <c r="QPN50" s="16"/>
      <c r="QPO50" s="16"/>
      <c r="QPP50" s="16"/>
      <c r="QPQ50" s="16"/>
      <c r="QPR50" s="16"/>
      <c r="QPS50" s="16"/>
      <c r="QPT50" s="16"/>
      <c r="QPU50" s="16"/>
      <c r="QPV50" s="16"/>
      <c r="QPW50" s="16"/>
      <c r="QPX50" s="16"/>
      <c r="QPY50" s="16"/>
      <c r="QPZ50" s="16"/>
      <c r="QQA50" s="16"/>
      <c r="QQB50" s="16"/>
      <c r="QQC50" s="16"/>
      <c r="QQD50" s="16"/>
      <c r="QQE50" s="16"/>
      <c r="QQF50" s="16"/>
      <c r="QQG50" s="16"/>
      <c r="QQH50" s="16"/>
      <c r="QQI50" s="16"/>
      <c r="QQJ50" s="16"/>
      <c r="QQK50" s="16"/>
      <c r="QQL50" s="16"/>
      <c r="QQM50" s="16"/>
      <c r="QQN50" s="16"/>
      <c r="QQO50" s="16"/>
      <c r="QQP50" s="16"/>
      <c r="QQQ50" s="16"/>
      <c r="QQR50" s="16"/>
      <c r="QQS50" s="16"/>
      <c r="QQT50" s="16"/>
      <c r="QQU50" s="16"/>
      <c r="QQV50" s="16"/>
      <c r="QQW50" s="16"/>
      <c r="QQX50" s="16"/>
      <c r="QQY50" s="16"/>
      <c r="QQZ50" s="16"/>
      <c r="QRA50" s="16"/>
      <c r="QRB50" s="16"/>
      <c r="QRC50" s="16"/>
      <c r="QRD50" s="16"/>
      <c r="QRE50" s="16"/>
      <c r="QRF50" s="16"/>
      <c r="QRG50" s="16"/>
      <c r="QRH50" s="16"/>
      <c r="QRI50" s="16"/>
      <c r="QRJ50" s="16"/>
      <c r="QRK50" s="16"/>
      <c r="QRL50" s="16"/>
      <c r="QRM50" s="16"/>
      <c r="QRN50" s="16"/>
      <c r="QRO50" s="16"/>
      <c r="QRP50" s="16"/>
      <c r="QRQ50" s="16"/>
      <c r="QRR50" s="16"/>
      <c r="QRS50" s="16"/>
      <c r="QRT50" s="16"/>
      <c r="QRU50" s="16"/>
      <c r="QRV50" s="16"/>
      <c r="QRW50" s="16"/>
      <c r="QRX50" s="16"/>
      <c r="QRY50" s="16"/>
      <c r="QRZ50" s="16"/>
      <c r="QSA50" s="16"/>
      <c r="QSB50" s="16"/>
      <c r="QSC50" s="16"/>
      <c r="QSD50" s="16"/>
      <c r="QSE50" s="16"/>
      <c r="QSF50" s="16"/>
      <c r="QSG50" s="16"/>
      <c r="QSH50" s="16"/>
      <c r="QSI50" s="16"/>
      <c r="QSJ50" s="16"/>
      <c r="QSK50" s="16"/>
      <c r="QSL50" s="16"/>
      <c r="QSM50" s="16"/>
      <c r="QSN50" s="16"/>
      <c r="QSO50" s="16"/>
      <c r="QSP50" s="16"/>
      <c r="QSQ50" s="16"/>
      <c r="QSR50" s="16"/>
      <c r="QSS50" s="16"/>
      <c r="QST50" s="16"/>
      <c r="QSU50" s="16"/>
      <c r="QSV50" s="16"/>
      <c r="QSW50" s="16"/>
      <c r="QSX50" s="16"/>
      <c r="QSY50" s="16"/>
      <c r="QSZ50" s="16"/>
      <c r="QTA50" s="16"/>
      <c r="QTB50" s="16"/>
      <c r="QTC50" s="16"/>
      <c r="QTD50" s="16"/>
      <c r="QTE50" s="16"/>
      <c r="QTF50" s="16"/>
      <c r="QTG50" s="16"/>
      <c r="QTH50" s="16"/>
      <c r="QTI50" s="16"/>
      <c r="QTJ50" s="16"/>
      <c r="QTK50" s="16"/>
      <c r="QTL50" s="16"/>
      <c r="QTM50" s="16"/>
      <c r="QTN50" s="16"/>
      <c r="QTO50" s="16"/>
      <c r="QTP50" s="16"/>
      <c r="QTQ50" s="16"/>
      <c r="QTR50" s="16"/>
      <c r="QTS50" s="16"/>
      <c r="QTT50" s="16"/>
      <c r="QTU50" s="16"/>
      <c r="QTV50" s="16"/>
      <c r="QTW50" s="16"/>
      <c r="QTX50" s="16"/>
      <c r="QTY50" s="16"/>
      <c r="QTZ50" s="16"/>
      <c r="QUA50" s="16"/>
      <c r="QUB50" s="16"/>
      <c r="QUC50" s="16"/>
      <c r="QUD50" s="16"/>
      <c r="QUE50" s="16"/>
      <c r="QUF50" s="16"/>
      <c r="QUG50" s="16"/>
      <c r="QUH50" s="16"/>
      <c r="QUI50" s="16"/>
      <c r="QUJ50" s="16"/>
      <c r="QUK50" s="16"/>
      <c r="QUL50" s="16"/>
      <c r="QUM50" s="16"/>
      <c r="QUN50" s="16"/>
      <c r="QUO50" s="16"/>
      <c r="QUP50" s="16"/>
      <c r="QUQ50" s="16"/>
      <c r="QUR50" s="16"/>
      <c r="QUS50" s="16"/>
      <c r="QUT50" s="16"/>
      <c r="QUU50" s="16"/>
      <c r="QUV50" s="16"/>
      <c r="QUW50" s="16"/>
      <c r="QUX50" s="16"/>
      <c r="QUY50" s="16"/>
      <c r="QUZ50" s="16"/>
      <c r="QVA50" s="16"/>
      <c r="QVB50" s="16"/>
      <c r="QVC50" s="16"/>
      <c r="QVD50" s="16"/>
      <c r="QVE50" s="16"/>
      <c r="QVF50" s="16"/>
      <c r="QVG50" s="16"/>
      <c r="QVH50" s="16"/>
      <c r="QVI50" s="16"/>
      <c r="QVJ50" s="16"/>
      <c r="QVK50" s="16"/>
      <c r="QVL50" s="16"/>
      <c r="QVM50" s="16"/>
      <c r="QVN50" s="16"/>
      <c r="QVO50" s="16"/>
      <c r="QVP50" s="16"/>
      <c r="QVQ50" s="16"/>
      <c r="QVR50" s="16"/>
      <c r="QVS50" s="16"/>
      <c r="QVT50" s="16"/>
      <c r="QVU50" s="16"/>
      <c r="QVV50" s="16"/>
      <c r="QVW50" s="16"/>
      <c r="QVX50" s="16"/>
      <c r="QVY50" s="16"/>
      <c r="QVZ50" s="16"/>
      <c r="QWA50" s="16"/>
      <c r="QWB50" s="16"/>
      <c r="QWC50" s="16"/>
      <c r="QWD50" s="16"/>
      <c r="QWE50" s="16"/>
      <c r="QWF50" s="16"/>
      <c r="QWG50" s="16"/>
      <c r="QWH50" s="16"/>
      <c r="QWI50" s="16"/>
      <c r="QWJ50" s="16"/>
      <c r="QWK50" s="16"/>
      <c r="QWL50" s="16"/>
      <c r="QWM50" s="16"/>
      <c r="QWN50" s="16"/>
      <c r="QWO50" s="16"/>
      <c r="QWP50" s="16"/>
      <c r="QWQ50" s="16"/>
      <c r="QWR50" s="16"/>
      <c r="QWS50" s="16"/>
      <c r="QWT50" s="16"/>
      <c r="QWU50" s="16"/>
      <c r="QWV50" s="16"/>
      <c r="QWW50" s="16"/>
      <c r="QWX50" s="16"/>
      <c r="QWY50" s="16"/>
      <c r="QWZ50" s="16"/>
      <c r="QXA50" s="16"/>
      <c r="QXB50" s="16"/>
      <c r="QXC50" s="16"/>
      <c r="QXD50" s="16"/>
      <c r="QXE50" s="16"/>
      <c r="QXF50" s="16"/>
      <c r="QXG50" s="16"/>
      <c r="QXH50" s="16"/>
      <c r="QXI50" s="16"/>
      <c r="QXJ50" s="16"/>
      <c r="QXK50" s="16"/>
      <c r="QXL50" s="16"/>
      <c r="QXM50" s="16"/>
      <c r="QXN50" s="16"/>
      <c r="QXO50" s="16"/>
      <c r="QXP50" s="16"/>
      <c r="QXQ50" s="16"/>
      <c r="QXR50" s="16"/>
      <c r="QXS50" s="16"/>
      <c r="QXT50" s="16"/>
      <c r="QXU50" s="16"/>
      <c r="QXV50" s="16"/>
      <c r="QXW50" s="16"/>
      <c r="QXX50" s="16"/>
      <c r="QXY50" s="16"/>
      <c r="QXZ50" s="16"/>
      <c r="QYA50" s="16"/>
      <c r="QYB50" s="16"/>
      <c r="QYC50" s="16"/>
      <c r="QYD50" s="16"/>
      <c r="QYE50" s="16"/>
      <c r="QYF50" s="16"/>
      <c r="QYG50" s="16"/>
      <c r="QYH50" s="16"/>
      <c r="QYI50" s="16"/>
      <c r="QYJ50" s="16"/>
      <c r="QYK50" s="16"/>
      <c r="QYL50" s="16"/>
      <c r="QYM50" s="16"/>
      <c r="QYN50" s="16"/>
      <c r="QYO50" s="16"/>
      <c r="QYP50" s="16"/>
      <c r="QYQ50" s="16"/>
      <c r="QYR50" s="16"/>
      <c r="QYS50" s="16"/>
      <c r="QYT50" s="16"/>
      <c r="QYU50" s="16"/>
      <c r="QYV50" s="16"/>
      <c r="QYW50" s="16"/>
      <c r="QYX50" s="16"/>
      <c r="QYY50" s="16"/>
      <c r="QYZ50" s="16"/>
      <c r="QZA50" s="16"/>
      <c r="QZB50" s="16"/>
      <c r="QZC50" s="16"/>
      <c r="QZD50" s="16"/>
      <c r="QZE50" s="16"/>
      <c r="QZF50" s="16"/>
      <c r="QZG50" s="16"/>
      <c r="QZH50" s="16"/>
      <c r="QZI50" s="16"/>
      <c r="QZJ50" s="16"/>
      <c r="QZK50" s="16"/>
      <c r="QZL50" s="16"/>
      <c r="QZM50" s="16"/>
      <c r="QZN50" s="16"/>
      <c r="QZO50" s="16"/>
      <c r="QZP50" s="16"/>
      <c r="QZQ50" s="16"/>
      <c r="QZR50" s="16"/>
      <c r="QZS50" s="16"/>
      <c r="QZT50" s="16"/>
      <c r="QZU50" s="16"/>
      <c r="QZV50" s="16"/>
      <c r="QZW50" s="16"/>
      <c r="QZX50" s="16"/>
      <c r="QZY50" s="16"/>
      <c r="QZZ50" s="16"/>
      <c r="RAA50" s="16"/>
      <c r="RAB50" s="16"/>
      <c r="RAC50" s="16"/>
      <c r="RAD50" s="16"/>
      <c r="RAE50" s="16"/>
      <c r="RAF50" s="16"/>
      <c r="RAG50" s="16"/>
      <c r="RAH50" s="16"/>
      <c r="RAI50" s="16"/>
      <c r="RAJ50" s="16"/>
      <c r="RAK50" s="16"/>
      <c r="RAL50" s="16"/>
      <c r="RAM50" s="16"/>
      <c r="RAN50" s="16"/>
      <c r="RAO50" s="16"/>
      <c r="RAP50" s="16"/>
      <c r="RAQ50" s="16"/>
      <c r="RAR50" s="16"/>
      <c r="RAS50" s="16"/>
      <c r="RAT50" s="16"/>
      <c r="RAU50" s="16"/>
      <c r="RAV50" s="16"/>
      <c r="RAW50" s="16"/>
      <c r="RAX50" s="16"/>
      <c r="RAY50" s="16"/>
      <c r="RAZ50" s="16"/>
      <c r="RBA50" s="16"/>
      <c r="RBB50" s="16"/>
      <c r="RBC50" s="16"/>
      <c r="RBD50" s="16"/>
      <c r="RBE50" s="16"/>
      <c r="RBF50" s="16"/>
      <c r="RBG50" s="16"/>
      <c r="RBH50" s="16"/>
      <c r="RBI50" s="16"/>
      <c r="RBJ50" s="16"/>
      <c r="RBK50" s="16"/>
      <c r="RBL50" s="16"/>
      <c r="RBM50" s="16"/>
      <c r="RBN50" s="16"/>
      <c r="RBO50" s="16"/>
      <c r="RBP50" s="16"/>
      <c r="RBQ50" s="16"/>
      <c r="RBR50" s="16"/>
      <c r="RBS50" s="16"/>
      <c r="RBT50" s="16"/>
      <c r="RBU50" s="16"/>
      <c r="RBV50" s="16"/>
      <c r="RBW50" s="16"/>
      <c r="RBX50" s="16"/>
      <c r="RBY50" s="16"/>
      <c r="RBZ50" s="16"/>
      <c r="RCA50" s="16"/>
      <c r="RCB50" s="16"/>
      <c r="RCC50" s="16"/>
      <c r="RCD50" s="16"/>
      <c r="RCE50" s="16"/>
      <c r="RCF50" s="16"/>
      <c r="RCG50" s="16"/>
      <c r="RCH50" s="16"/>
      <c r="RCI50" s="16"/>
      <c r="RCJ50" s="16"/>
      <c r="RCK50" s="16"/>
      <c r="RCL50" s="16"/>
      <c r="RCM50" s="16"/>
      <c r="RCN50" s="16"/>
      <c r="RCO50" s="16"/>
      <c r="RCP50" s="16"/>
      <c r="RCQ50" s="16"/>
      <c r="RCR50" s="16"/>
      <c r="RCS50" s="16"/>
      <c r="RCT50" s="16"/>
      <c r="RCU50" s="16"/>
      <c r="RCV50" s="16"/>
      <c r="RCW50" s="16"/>
      <c r="RCX50" s="16"/>
      <c r="RCY50" s="16"/>
      <c r="RCZ50" s="16"/>
      <c r="RDA50" s="16"/>
      <c r="RDB50" s="16"/>
      <c r="RDC50" s="16"/>
      <c r="RDD50" s="16"/>
      <c r="RDE50" s="16"/>
      <c r="RDF50" s="16"/>
      <c r="RDG50" s="16"/>
      <c r="RDH50" s="16"/>
      <c r="RDI50" s="16"/>
      <c r="RDJ50" s="16"/>
      <c r="RDK50" s="16"/>
      <c r="RDL50" s="16"/>
      <c r="RDM50" s="16"/>
      <c r="RDN50" s="16"/>
      <c r="RDO50" s="16"/>
      <c r="RDP50" s="16"/>
      <c r="RDQ50" s="16"/>
      <c r="RDR50" s="16"/>
      <c r="RDS50" s="16"/>
      <c r="RDT50" s="16"/>
      <c r="RDU50" s="16"/>
      <c r="RDV50" s="16"/>
      <c r="RDW50" s="16"/>
      <c r="RDX50" s="16"/>
      <c r="RDY50" s="16"/>
      <c r="RDZ50" s="16"/>
      <c r="REA50" s="16"/>
      <c r="REB50" s="16"/>
      <c r="REC50" s="16"/>
      <c r="RED50" s="16"/>
      <c r="REE50" s="16"/>
      <c r="REF50" s="16"/>
      <c r="REG50" s="16"/>
      <c r="REH50" s="16"/>
      <c r="REI50" s="16"/>
      <c r="REJ50" s="16"/>
      <c r="REK50" s="16"/>
      <c r="REL50" s="16"/>
      <c r="REM50" s="16"/>
      <c r="REN50" s="16"/>
      <c r="REO50" s="16"/>
      <c r="REP50" s="16"/>
      <c r="REQ50" s="16"/>
      <c r="RER50" s="16"/>
      <c r="RES50" s="16"/>
      <c r="RET50" s="16"/>
      <c r="REU50" s="16"/>
      <c r="REV50" s="16"/>
      <c r="REW50" s="16"/>
      <c r="REX50" s="16"/>
      <c r="REY50" s="16"/>
      <c r="REZ50" s="16"/>
      <c r="RFA50" s="16"/>
      <c r="RFB50" s="16"/>
      <c r="RFC50" s="16"/>
      <c r="RFD50" s="16"/>
      <c r="RFE50" s="16"/>
      <c r="RFF50" s="16"/>
      <c r="RFG50" s="16"/>
      <c r="RFH50" s="16"/>
      <c r="RFI50" s="16"/>
      <c r="RFJ50" s="16"/>
      <c r="RFK50" s="16"/>
      <c r="RFL50" s="16"/>
      <c r="RFM50" s="16"/>
      <c r="RFN50" s="16"/>
      <c r="RFO50" s="16"/>
      <c r="RFP50" s="16"/>
      <c r="RFQ50" s="16"/>
      <c r="RFR50" s="16"/>
      <c r="RFS50" s="16"/>
      <c r="RFT50" s="16"/>
      <c r="RFU50" s="16"/>
      <c r="RFV50" s="16"/>
      <c r="RFW50" s="16"/>
      <c r="RFX50" s="16"/>
      <c r="RFY50" s="16"/>
      <c r="RFZ50" s="16"/>
      <c r="RGA50" s="16"/>
      <c r="RGB50" s="16"/>
      <c r="RGC50" s="16"/>
      <c r="RGD50" s="16"/>
      <c r="RGE50" s="16"/>
      <c r="RGF50" s="16"/>
      <c r="RGG50" s="16"/>
      <c r="RGH50" s="16"/>
      <c r="RGI50" s="16"/>
      <c r="RGJ50" s="16"/>
      <c r="RGK50" s="16"/>
      <c r="RGL50" s="16"/>
      <c r="RGM50" s="16"/>
      <c r="RGN50" s="16"/>
      <c r="RGO50" s="16"/>
      <c r="RGP50" s="16"/>
      <c r="RGQ50" s="16"/>
      <c r="RGR50" s="16"/>
      <c r="RGS50" s="16"/>
      <c r="RGT50" s="16"/>
      <c r="RGU50" s="16"/>
      <c r="RGV50" s="16"/>
      <c r="RGW50" s="16"/>
      <c r="RGX50" s="16"/>
      <c r="RGY50" s="16"/>
      <c r="RGZ50" s="16"/>
      <c r="RHA50" s="16"/>
      <c r="RHB50" s="16"/>
      <c r="RHC50" s="16"/>
      <c r="RHD50" s="16"/>
      <c r="RHE50" s="16"/>
      <c r="RHF50" s="16"/>
      <c r="RHG50" s="16"/>
      <c r="RHH50" s="16"/>
      <c r="RHI50" s="16"/>
      <c r="RHJ50" s="16"/>
      <c r="RHK50" s="16"/>
      <c r="RHL50" s="16"/>
      <c r="RHM50" s="16"/>
      <c r="RHN50" s="16"/>
      <c r="RHO50" s="16"/>
      <c r="RHP50" s="16"/>
      <c r="RHQ50" s="16"/>
      <c r="RHR50" s="16"/>
      <c r="RHS50" s="16"/>
      <c r="RHT50" s="16"/>
      <c r="RHU50" s="16"/>
      <c r="RHV50" s="16"/>
      <c r="RHW50" s="16"/>
      <c r="RHX50" s="16"/>
      <c r="RHY50" s="16"/>
      <c r="RHZ50" s="16"/>
      <c r="RIA50" s="16"/>
      <c r="RIB50" s="16"/>
      <c r="RIC50" s="16"/>
      <c r="RID50" s="16"/>
      <c r="RIE50" s="16"/>
      <c r="RIF50" s="16"/>
      <c r="RIG50" s="16"/>
      <c r="RIH50" s="16"/>
      <c r="RII50" s="16"/>
      <c r="RIJ50" s="16"/>
      <c r="RIK50" s="16"/>
      <c r="RIL50" s="16"/>
      <c r="RIM50" s="16"/>
      <c r="RIN50" s="16"/>
      <c r="RIO50" s="16"/>
      <c r="RIP50" s="16"/>
      <c r="RIQ50" s="16"/>
      <c r="RIR50" s="16"/>
      <c r="RIS50" s="16"/>
      <c r="RIT50" s="16"/>
      <c r="RIU50" s="16"/>
      <c r="RIV50" s="16"/>
      <c r="RIW50" s="16"/>
      <c r="RIX50" s="16"/>
      <c r="RIY50" s="16"/>
      <c r="RIZ50" s="16"/>
      <c r="RJA50" s="16"/>
      <c r="RJB50" s="16"/>
      <c r="RJC50" s="16"/>
      <c r="RJD50" s="16"/>
      <c r="RJE50" s="16"/>
      <c r="RJF50" s="16"/>
      <c r="RJG50" s="16"/>
      <c r="RJH50" s="16"/>
      <c r="RJI50" s="16"/>
      <c r="RJJ50" s="16"/>
      <c r="RJK50" s="16"/>
      <c r="RJL50" s="16"/>
      <c r="RJM50" s="16"/>
      <c r="RJN50" s="16"/>
      <c r="RJO50" s="16"/>
      <c r="RJP50" s="16"/>
      <c r="RJQ50" s="16"/>
      <c r="RJR50" s="16"/>
      <c r="RJS50" s="16"/>
      <c r="RJT50" s="16"/>
      <c r="RJU50" s="16"/>
      <c r="RJV50" s="16"/>
      <c r="RJW50" s="16"/>
      <c r="RJX50" s="16"/>
      <c r="RJY50" s="16"/>
      <c r="RJZ50" s="16"/>
      <c r="RKA50" s="16"/>
      <c r="RKB50" s="16"/>
      <c r="RKC50" s="16"/>
      <c r="RKD50" s="16"/>
      <c r="RKE50" s="16"/>
      <c r="RKF50" s="16"/>
      <c r="RKG50" s="16"/>
      <c r="RKH50" s="16"/>
      <c r="RKI50" s="16"/>
      <c r="RKJ50" s="16"/>
      <c r="RKK50" s="16"/>
      <c r="RKL50" s="16"/>
      <c r="RKM50" s="16"/>
      <c r="RKN50" s="16"/>
      <c r="RKO50" s="16"/>
      <c r="RKP50" s="16"/>
      <c r="RKQ50" s="16"/>
      <c r="RKR50" s="16"/>
      <c r="RKS50" s="16"/>
      <c r="RKT50" s="16"/>
      <c r="RKU50" s="16"/>
      <c r="RKV50" s="16"/>
      <c r="RKW50" s="16"/>
      <c r="RKX50" s="16"/>
      <c r="RKY50" s="16"/>
      <c r="RKZ50" s="16"/>
      <c r="RLA50" s="16"/>
      <c r="RLB50" s="16"/>
      <c r="RLC50" s="16"/>
      <c r="RLD50" s="16"/>
      <c r="RLE50" s="16"/>
      <c r="RLF50" s="16"/>
      <c r="RLG50" s="16"/>
      <c r="RLH50" s="16"/>
      <c r="RLI50" s="16"/>
      <c r="RLJ50" s="16"/>
      <c r="RLK50" s="16"/>
      <c r="RLL50" s="16"/>
      <c r="RLM50" s="16"/>
      <c r="RLN50" s="16"/>
      <c r="RLO50" s="16"/>
      <c r="RLP50" s="16"/>
      <c r="RLQ50" s="16"/>
      <c r="RLR50" s="16"/>
      <c r="RLS50" s="16"/>
      <c r="RLT50" s="16"/>
      <c r="RLU50" s="16"/>
      <c r="RLV50" s="16"/>
      <c r="RLW50" s="16"/>
      <c r="RLX50" s="16"/>
      <c r="RLY50" s="16"/>
      <c r="RLZ50" s="16"/>
      <c r="RMA50" s="16"/>
      <c r="RMB50" s="16"/>
      <c r="RMC50" s="16"/>
      <c r="RMD50" s="16"/>
      <c r="RME50" s="16"/>
      <c r="RMF50" s="16"/>
      <c r="RMG50" s="16"/>
      <c r="RMH50" s="16"/>
      <c r="RMI50" s="16"/>
      <c r="RMJ50" s="16"/>
      <c r="RMK50" s="16"/>
      <c r="RML50" s="16"/>
      <c r="RMM50" s="16"/>
      <c r="RMN50" s="16"/>
      <c r="RMO50" s="16"/>
      <c r="RMP50" s="16"/>
      <c r="RMQ50" s="16"/>
      <c r="RMR50" s="16"/>
      <c r="RMS50" s="16"/>
      <c r="RMT50" s="16"/>
      <c r="RMU50" s="16"/>
      <c r="RMV50" s="16"/>
      <c r="RMW50" s="16"/>
      <c r="RMX50" s="16"/>
      <c r="RMY50" s="16"/>
      <c r="RMZ50" s="16"/>
      <c r="RNA50" s="16"/>
      <c r="RNB50" s="16"/>
      <c r="RNC50" s="16"/>
      <c r="RND50" s="16"/>
      <c r="RNE50" s="16"/>
      <c r="RNF50" s="16"/>
      <c r="RNG50" s="16"/>
      <c r="RNH50" s="16"/>
      <c r="RNI50" s="16"/>
      <c r="RNJ50" s="16"/>
      <c r="RNK50" s="16"/>
      <c r="RNL50" s="16"/>
      <c r="RNM50" s="16"/>
      <c r="RNN50" s="16"/>
      <c r="RNO50" s="16"/>
      <c r="RNP50" s="16"/>
      <c r="RNQ50" s="16"/>
      <c r="RNR50" s="16"/>
      <c r="RNS50" s="16"/>
      <c r="RNT50" s="16"/>
      <c r="RNU50" s="16"/>
      <c r="RNV50" s="16"/>
      <c r="RNW50" s="16"/>
      <c r="RNX50" s="16"/>
      <c r="RNY50" s="16"/>
      <c r="RNZ50" s="16"/>
      <c r="ROA50" s="16"/>
      <c r="ROB50" s="16"/>
      <c r="ROC50" s="16"/>
      <c r="ROD50" s="16"/>
      <c r="ROE50" s="16"/>
      <c r="ROF50" s="16"/>
      <c r="ROG50" s="16"/>
      <c r="ROH50" s="16"/>
      <c r="ROI50" s="16"/>
      <c r="ROJ50" s="16"/>
      <c r="ROK50" s="16"/>
      <c r="ROL50" s="16"/>
      <c r="ROM50" s="16"/>
      <c r="RON50" s="16"/>
      <c r="ROO50" s="16"/>
      <c r="ROP50" s="16"/>
      <c r="ROQ50" s="16"/>
      <c r="ROR50" s="16"/>
      <c r="ROS50" s="16"/>
      <c r="ROT50" s="16"/>
      <c r="ROU50" s="16"/>
      <c r="ROV50" s="16"/>
      <c r="ROW50" s="16"/>
      <c r="ROX50" s="16"/>
      <c r="ROY50" s="16"/>
      <c r="ROZ50" s="16"/>
      <c r="RPA50" s="16"/>
      <c r="RPB50" s="16"/>
      <c r="RPC50" s="16"/>
      <c r="RPD50" s="16"/>
      <c r="RPE50" s="16"/>
      <c r="RPF50" s="16"/>
      <c r="RPG50" s="16"/>
      <c r="RPH50" s="16"/>
      <c r="RPI50" s="16"/>
      <c r="RPJ50" s="16"/>
      <c r="RPK50" s="16"/>
      <c r="RPL50" s="16"/>
      <c r="RPM50" s="16"/>
      <c r="RPN50" s="16"/>
      <c r="RPO50" s="16"/>
      <c r="RPP50" s="16"/>
      <c r="RPQ50" s="16"/>
      <c r="RPR50" s="16"/>
      <c r="RPS50" s="16"/>
      <c r="RPT50" s="16"/>
      <c r="RPU50" s="16"/>
      <c r="RPV50" s="16"/>
      <c r="RPW50" s="16"/>
      <c r="RPX50" s="16"/>
      <c r="RPY50" s="16"/>
      <c r="RPZ50" s="16"/>
      <c r="RQA50" s="16"/>
      <c r="RQB50" s="16"/>
      <c r="RQC50" s="16"/>
      <c r="RQD50" s="16"/>
      <c r="RQE50" s="16"/>
      <c r="RQF50" s="16"/>
      <c r="RQG50" s="16"/>
      <c r="RQH50" s="16"/>
      <c r="RQI50" s="16"/>
      <c r="RQJ50" s="16"/>
      <c r="RQK50" s="16"/>
      <c r="RQL50" s="16"/>
      <c r="RQM50" s="16"/>
      <c r="RQN50" s="16"/>
      <c r="RQO50" s="16"/>
      <c r="RQP50" s="16"/>
      <c r="RQQ50" s="16"/>
      <c r="RQR50" s="16"/>
      <c r="RQS50" s="16"/>
      <c r="RQT50" s="16"/>
      <c r="RQU50" s="16"/>
      <c r="RQV50" s="16"/>
      <c r="RQW50" s="16"/>
      <c r="RQX50" s="16"/>
      <c r="RQY50" s="16"/>
      <c r="RQZ50" s="16"/>
      <c r="RRA50" s="16"/>
      <c r="RRB50" s="16"/>
      <c r="RRC50" s="16"/>
      <c r="RRD50" s="16"/>
      <c r="RRE50" s="16"/>
      <c r="RRF50" s="16"/>
      <c r="RRG50" s="16"/>
      <c r="RRH50" s="16"/>
      <c r="RRI50" s="16"/>
      <c r="RRJ50" s="16"/>
      <c r="RRK50" s="16"/>
      <c r="RRL50" s="16"/>
      <c r="RRM50" s="16"/>
      <c r="RRN50" s="16"/>
      <c r="RRO50" s="16"/>
      <c r="RRP50" s="16"/>
      <c r="RRQ50" s="16"/>
      <c r="RRR50" s="16"/>
      <c r="RRS50" s="16"/>
      <c r="RRT50" s="16"/>
      <c r="RRU50" s="16"/>
      <c r="RRV50" s="16"/>
      <c r="RRW50" s="16"/>
      <c r="RRX50" s="16"/>
      <c r="RRY50" s="16"/>
      <c r="RRZ50" s="16"/>
      <c r="RSA50" s="16"/>
      <c r="RSB50" s="16"/>
      <c r="RSC50" s="16"/>
      <c r="RSD50" s="16"/>
      <c r="RSE50" s="16"/>
      <c r="RSF50" s="16"/>
      <c r="RSG50" s="16"/>
      <c r="RSH50" s="16"/>
      <c r="RSI50" s="16"/>
      <c r="RSJ50" s="16"/>
      <c r="RSK50" s="16"/>
      <c r="RSL50" s="16"/>
      <c r="RSM50" s="16"/>
      <c r="RSN50" s="16"/>
      <c r="RSO50" s="16"/>
      <c r="RSP50" s="16"/>
      <c r="RSQ50" s="16"/>
      <c r="RSR50" s="16"/>
      <c r="RSS50" s="16"/>
      <c r="RST50" s="16"/>
      <c r="RSU50" s="16"/>
      <c r="RSV50" s="16"/>
      <c r="RSW50" s="16"/>
      <c r="RSX50" s="16"/>
      <c r="RSY50" s="16"/>
      <c r="RSZ50" s="16"/>
      <c r="RTA50" s="16"/>
      <c r="RTB50" s="16"/>
      <c r="RTC50" s="16"/>
      <c r="RTD50" s="16"/>
      <c r="RTE50" s="16"/>
      <c r="RTF50" s="16"/>
      <c r="RTG50" s="16"/>
      <c r="RTH50" s="16"/>
      <c r="RTI50" s="16"/>
      <c r="RTJ50" s="16"/>
      <c r="RTK50" s="16"/>
      <c r="RTL50" s="16"/>
      <c r="RTM50" s="16"/>
      <c r="RTN50" s="16"/>
      <c r="RTO50" s="16"/>
      <c r="RTP50" s="16"/>
      <c r="RTQ50" s="16"/>
      <c r="RTR50" s="16"/>
      <c r="RTS50" s="16"/>
      <c r="RTT50" s="16"/>
      <c r="RTU50" s="16"/>
      <c r="RTV50" s="16"/>
      <c r="RTW50" s="16"/>
      <c r="RTX50" s="16"/>
      <c r="RTY50" s="16"/>
      <c r="RTZ50" s="16"/>
      <c r="RUA50" s="16"/>
      <c r="RUB50" s="16"/>
      <c r="RUC50" s="16"/>
      <c r="RUD50" s="16"/>
      <c r="RUE50" s="16"/>
      <c r="RUF50" s="16"/>
      <c r="RUG50" s="16"/>
      <c r="RUH50" s="16"/>
      <c r="RUI50" s="16"/>
      <c r="RUJ50" s="16"/>
      <c r="RUK50" s="16"/>
      <c r="RUL50" s="16"/>
      <c r="RUM50" s="16"/>
      <c r="RUN50" s="16"/>
      <c r="RUO50" s="16"/>
      <c r="RUP50" s="16"/>
      <c r="RUQ50" s="16"/>
      <c r="RUR50" s="16"/>
      <c r="RUS50" s="16"/>
      <c r="RUT50" s="16"/>
      <c r="RUU50" s="16"/>
      <c r="RUV50" s="16"/>
      <c r="RUW50" s="16"/>
      <c r="RUX50" s="16"/>
      <c r="RUY50" s="16"/>
      <c r="RUZ50" s="16"/>
      <c r="RVA50" s="16"/>
      <c r="RVB50" s="16"/>
      <c r="RVC50" s="16"/>
      <c r="RVD50" s="16"/>
      <c r="RVE50" s="16"/>
      <c r="RVF50" s="16"/>
      <c r="RVG50" s="16"/>
      <c r="RVH50" s="16"/>
      <c r="RVI50" s="16"/>
      <c r="RVJ50" s="16"/>
      <c r="RVK50" s="16"/>
      <c r="RVL50" s="16"/>
      <c r="RVM50" s="16"/>
      <c r="RVN50" s="16"/>
      <c r="RVO50" s="16"/>
      <c r="RVP50" s="16"/>
      <c r="RVQ50" s="16"/>
      <c r="RVR50" s="16"/>
      <c r="RVS50" s="16"/>
      <c r="RVT50" s="16"/>
      <c r="RVU50" s="16"/>
      <c r="RVV50" s="16"/>
      <c r="RVW50" s="16"/>
      <c r="RVX50" s="16"/>
      <c r="RVY50" s="16"/>
      <c r="RVZ50" s="16"/>
      <c r="RWA50" s="16"/>
      <c r="RWB50" s="16"/>
      <c r="RWC50" s="16"/>
      <c r="RWD50" s="16"/>
      <c r="RWE50" s="16"/>
      <c r="RWF50" s="16"/>
      <c r="RWG50" s="16"/>
      <c r="RWH50" s="16"/>
      <c r="RWI50" s="16"/>
      <c r="RWJ50" s="16"/>
      <c r="RWK50" s="16"/>
      <c r="RWL50" s="16"/>
      <c r="RWM50" s="16"/>
      <c r="RWN50" s="16"/>
      <c r="RWO50" s="16"/>
      <c r="RWP50" s="16"/>
      <c r="RWQ50" s="16"/>
      <c r="RWR50" s="16"/>
      <c r="RWS50" s="16"/>
      <c r="RWT50" s="16"/>
      <c r="RWU50" s="16"/>
      <c r="RWV50" s="16"/>
      <c r="RWW50" s="16"/>
      <c r="RWX50" s="16"/>
      <c r="RWY50" s="16"/>
      <c r="RWZ50" s="16"/>
      <c r="RXA50" s="16"/>
      <c r="RXB50" s="16"/>
      <c r="RXC50" s="16"/>
      <c r="RXD50" s="16"/>
      <c r="RXE50" s="16"/>
      <c r="RXF50" s="16"/>
      <c r="RXG50" s="16"/>
      <c r="RXH50" s="16"/>
      <c r="RXI50" s="16"/>
      <c r="RXJ50" s="16"/>
      <c r="RXK50" s="16"/>
      <c r="RXL50" s="16"/>
      <c r="RXM50" s="16"/>
      <c r="RXN50" s="16"/>
      <c r="RXO50" s="16"/>
      <c r="RXP50" s="16"/>
      <c r="RXQ50" s="16"/>
      <c r="RXR50" s="16"/>
      <c r="RXS50" s="16"/>
      <c r="RXT50" s="16"/>
      <c r="RXU50" s="16"/>
      <c r="RXV50" s="16"/>
      <c r="RXW50" s="16"/>
      <c r="RXX50" s="16"/>
      <c r="RXY50" s="16"/>
      <c r="RXZ50" s="16"/>
      <c r="RYA50" s="16"/>
      <c r="RYB50" s="16"/>
      <c r="RYC50" s="16"/>
      <c r="RYD50" s="16"/>
      <c r="RYE50" s="16"/>
      <c r="RYF50" s="16"/>
      <c r="RYG50" s="16"/>
      <c r="RYH50" s="16"/>
      <c r="RYI50" s="16"/>
      <c r="RYJ50" s="16"/>
      <c r="RYK50" s="16"/>
      <c r="RYL50" s="16"/>
      <c r="RYM50" s="16"/>
      <c r="RYN50" s="16"/>
      <c r="RYO50" s="16"/>
      <c r="RYP50" s="16"/>
      <c r="RYQ50" s="16"/>
      <c r="RYR50" s="16"/>
      <c r="RYS50" s="16"/>
      <c r="RYT50" s="16"/>
      <c r="RYU50" s="16"/>
      <c r="RYV50" s="16"/>
      <c r="RYW50" s="16"/>
      <c r="RYX50" s="16"/>
      <c r="RYY50" s="16"/>
      <c r="RYZ50" s="16"/>
      <c r="RZA50" s="16"/>
      <c r="RZB50" s="16"/>
      <c r="RZC50" s="16"/>
      <c r="RZD50" s="16"/>
      <c r="RZE50" s="16"/>
      <c r="RZF50" s="16"/>
      <c r="RZG50" s="16"/>
      <c r="RZH50" s="16"/>
      <c r="RZI50" s="16"/>
      <c r="RZJ50" s="16"/>
      <c r="RZK50" s="16"/>
      <c r="RZL50" s="16"/>
      <c r="RZM50" s="16"/>
      <c r="RZN50" s="16"/>
      <c r="RZO50" s="16"/>
      <c r="RZP50" s="16"/>
      <c r="RZQ50" s="16"/>
      <c r="RZR50" s="16"/>
      <c r="RZS50" s="16"/>
      <c r="RZT50" s="16"/>
      <c r="RZU50" s="16"/>
      <c r="RZV50" s="16"/>
      <c r="RZW50" s="16"/>
      <c r="RZX50" s="16"/>
      <c r="RZY50" s="16"/>
      <c r="RZZ50" s="16"/>
      <c r="SAA50" s="16"/>
      <c r="SAB50" s="16"/>
      <c r="SAC50" s="16"/>
      <c r="SAD50" s="16"/>
      <c r="SAE50" s="16"/>
      <c r="SAF50" s="16"/>
      <c r="SAG50" s="16"/>
      <c r="SAH50" s="16"/>
      <c r="SAI50" s="16"/>
      <c r="SAJ50" s="16"/>
      <c r="SAK50" s="16"/>
      <c r="SAL50" s="16"/>
      <c r="SAM50" s="16"/>
      <c r="SAN50" s="16"/>
      <c r="SAO50" s="16"/>
      <c r="SAP50" s="16"/>
      <c r="SAQ50" s="16"/>
      <c r="SAR50" s="16"/>
      <c r="SAS50" s="16"/>
      <c r="SAT50" s="16"/>
      <c r="SAU50" s="16"/>
      <c r="SAV50" s="16"/>
      <c r="SAW50" s="16"/>
      <c r="SAX50" s="16"/>
      <c r="SAY50" s="16"/>
      <c r="SAZ50" s="16"/>
      <c r="SBA50" s="16"/>
      <c r="SBB50" s="16"/>
      <c r="SBC50" s="16"/>
      <c r="SBD50" s="16"/>
      <c r="SBE50" s="16"/>
      <c r="SBF50" s="16"/>
      <c r="SBG50" s="16"/>
      <c r="SBH50" s="16"/>
      <c r="SBI50" s="16"/>
      <c r="SBJ50" s="16"/>
      <c r="SBK50" s="16"/>
      <c r="SBL50" s="16"/>
      <c r="SBM50" s="16"/>
      <c r="SBN50" s="16"/>
      <c r="SBO50" s="16"/>
      <c r="SBP50" s="16"/>
      <c r="SBQ50" s="16"/>
      <c r="SBR50" s="16"/>
      <c r="SBS50" s="16"/>
      <c r="SBT50" s="16"/>
      <c r="SBU50" s="16"/>
      <c r="SBV50" s="16"/>
      <c r="SBW50" s="16"/>
      <c r="SBX50" s="16"/>
      <c r="SBY50" s="16"/>
      <c r="SBZ50" s="16"/>
      <c r="SCA50" s="16"/>
      <c r="SCB50" s="16"/>
      <c r="SCC50" s="16"/>
      <c r="SCD50" s="16"/>
      <c r="SCE50" s="16"/>
      <c r="SCF50" s="16"/>
      <c r="SCG50" s="16"/>
      <c r="SCH50" s="16"/>
      <c r="SCI50" s="16"/>
      <c r="SCJ50" s="16"/>
      <c r="SCK50" s="16"/>
      <c r="SCL50" s="16"/>
      <c r="SCM50" s="16"/>
      <c r="SCN50" s="16"/>
      <c r="SCO50" s="16"/>
      <c r="SCP50" s="16"/>
      <c r="SCQ50" s="16"/>
      <c r="SCR50" s="16"/>
      <c r="SCS50" s="16"/>
      <c r="SCT50" s="16"/>
      <c r="SCU50" s="16"/>
      <c r="SCV50" s="16"/>
      <c r="SCW50" s="16"/>
      <c r="SCX50" s="16"/>
      <c r="SCY50" s="16"/>
      <c r="SCZ50" s="16"/>
      <c r="SDA50" s="16"/>
      <c r="SDB50" s="16"/>
      <c r="SDC50" s="16"/>
      <c r="SDD50" s="16"/>
      <c r="SDE50" s="16"/>
      <c r="SDF50" s="16"/>
      <c r="SDG50" s="16"/>
      <c r="SDH50" s="16"/>
      <c r="SDI50" s="16"/>
      <c r="SDJ50" s="16"/>
      <c r="SDK50" s="16"/>
      <c r="SDL50" s="16"/>
      <c r="SDM50" s="16"/>
      <c r="SDN50" s="16"/>
      <c r="SDO50" s="16"/>
      <c r="SDP50" s="16"/>
      <c r="SDQ50" s="16"/>
      <c r="SDR50" s="16"/>
      <c r="SDS50" s="16"/>
      <c r="SDT50" s="16"/>
      <c r="SDU50" s="16"/>
      <c r="SDV50" s="16"/>
      <c r="SDW50" s="16"/>
      <c r="SDX50" s="16"/>
      <c r="SDY50" s="16"/>
      <c r="SDZ50" s="16"/>
      <c r="SEA50" s="16"/>
      <c r="SEB50" s="16"/>
      <c r="SEC50" s="16"/>
      <c r="SED50" s="16"/>
      <c r="SEE50" s="16"/>
      <c r="SEF50" s="16"/>
      <c r="SEG50" s="16"/>
      <c r="SEH50" s="16"/>
      <c r="SEI50" s="16"/>
      <c r="SEJ50" s="16"/>
      <c r="SEK50" s="16"/>
      <c r="SEL50" s="16"/>
      <c r="SEM50" s="16"/>
      <c r="SEN50" s="16"/>
      <c r="SEO50" s="16"/>
      <c r="SEP50" s="16"/>
      <c r="SEQ50" s="16"/>
      <c r="SER50" s="16"/>
      <c r="SES50" s="16"/>
      <c r="SET50" s="16"/>
      <c r="SEU50" s="16"/>
      <c r="SEV50" s="16"/>
      <c r="SEW50" s="16"/>
      <c r="SEX50" s="16"/>
      <c r="SEY50" s="16"/>
      <c r="SEZ50" s="16"/>
      <c r="SFA50" s="16"/>
      <c r="SFB50" s="16"/>
      <c r="SFC50" s="16"/>
      <c r="SFD50" s="16"/>
      <c r="SFE50" s="16"/>
      <c r="SFF50" s="16"/>
      <c r="SFG50" s="16"/>
      <c r="SFH50" s="16"/>
      <c r="SFI50" s="16"/>
      <c r="SFJ50" s="16"/>
      <c r="SFK50" s="16"/>
      <c r="SFL50" s="16"/>
      <c r="SFM50" s="16"/>
      <c r="SFN50" s="16"/>
      <c r="SFO50" s="16"/>
      <c r="SFP50" s="16"/>
      <c r="SFQ50" s="16"/>
      <c r="SFR50" s="16"/>
      <c r="SFS50" s="16"/>
      <c r="SFT50" s="16"/>
      <c r="SFU50" s="16"/>
      <c r="SFV50" s="16"/>
      <c r="SFW50" s="16"/>
      <c r="SFX50" s="16"/>
      <c r="SFY50" s="16"/>
      <c r="SFZ50" s="16"/>
      <c r="SGA50" s="16"/>
      <c r="SGB50" s="16"/>
      <c r="SGC50" s="16"/>
      <c r="SGD50" s="16"/>
      <c r="SGE50" s="16"/>
      <c r="SGF50" s="16"/>
      <c r="SGG50" s="16"/>
      <c r="SGH50" s="16"/>
      <c r="SGI50" s="16"/>
      <c r="SGJ50" s="16"/>
      <c r="SGK50" s="16"/>
      <c r="SGL50" s="16"/>
      <c r="SGM50" s="16"/>
      <c r="SGN50" s="16"/>
      <c r="SGO50" s="16"/>
      <c r="SGP50" s="16"/>
      <c r="SGQ50" s="16"/>
      <c r="SGR50" s="16"/>
      <c r="SGS50" s="16"/>
      <c r="SGT50" s="16"/>
      <c r="SGU50" s="16"/>
      <c r="SGV50" s="16"/>
      <c r="SGW50" s="16"/>
      <c r="SGX50" s="16"/>
      <c r="SGY50" s="16"/>
      <c r="SGZ50" s="16"/>
      <c r="SHA50" s="16"/>
      <c r="SHB50" s="16"/>
      <c r="SHC50" s="16"/>
      <c r="SHD50" s="16"/>
      <c r="SHE50" s="16"/>
      <c r="SHF50" s="16"/>
      <c r="SHG50" s="16"/>
      <c r="SHH50" s="16"/>
      <c r="SHI50" s="16"/>
      <c r="SHJ50" s="16"/>
      <c r="SHK50" s="16"/>
      <c r="SHL50" s="16"/>
      <c r="SHM50" s="16"/>
      <c r="SHN50" s="16"/>
      <c r="SHO50" s="16"/>
      <c r="SHP50" s="16"/>
      <c r="SHQ50" s="16"/>
      <c r="SHR50" s="16"/>
      <c r="SHS50" s="16"/>
      <c r="SHT50" s="16"/>
      <c r="SHU50" s="16"/>
      <c r="SHV50" s="16"/>
      <c r="SHW50" s="16"/>
      <c r="SHX50" s="16"/>
      <c r="SHY50" s="16"/>
      <c r="SHZ50" s="16"/>
      <c r="SIA50" s="16"/>
      <c r="SIB50" s="16"/>
      <c r="SIC50" s="16"/>
      <c r="SID50" s="16"/>
      <c r="SIE50" s="16"/>
      <c r="SIF50" s="16"/>
      <c r="SIG50" s="16"/>
      <c r="SIH50" s="16"/>
      <c r="SII50" s="16"/>
      <c r="SIJ50" s="16"/>
      <c r="SIK50" s="16"/>
      <c r="SIL50" s="16"/>
      <c r="SIM50" s="16"/>
      <c r="SIN50" s="16"/>
      <c r="SIO50" s="16"/>
      <c r="SIP50" s="16"/>
      <c r="SIQ50" s="16"/>
      <c r="SIR50" s="16"/>
      <c r="SIS50" s="16"/>
      <c r="SIT50" s="16"/>
      <c r="SIU50" s="16"/>
      <c r="SIV50" s="16"/>
      <c r="SIW50" s="16"/>
      <c r="SIX50" s="16"/>
      <c r="SIY50" s="16"/>
      <c r="SIZ50" s="16"/>
      <c r="SJA50" s="16"/>
      <c r="SJB50" s="16"/>
      <c r="SJC50" s="16"/>
      <c r="SJD50" s="16"/>
      <c r="SJE50" s="16"/>
      <c r="SJF50" s="16"/>
      <c r="SJG50" s="16"/>
      <c r="SJH50" s="16"/>
      <c r="SJI50" s="16"/>
      <c r="SJJ50" s="16"/>
      <c r="SJK50" s="16"/>
      <c r="SJL50" s="16"/>
      <c r="SJM50" s="16"/>
      <c r="SJN50" s="16"/>
      <c r="SJO50" s="16"/>
      <c r="SJP50" s="16"/>
      <c r="SJQ50" s="16"/>
      <c r="SJR50" s="16"/>
      <c r="SJS50" s="16"/>
      <c r="SJT50" s="16"/>
      <c r="SJU50" s="16"/>
      <c r="SJV50" s="16"/>
      <c r="SJW50" s="16"/>
      <c r="SJX50" s="16"/>
      <c r="SJY50" s="16"/>
      <c r="SJZ50" s="16"/>
      <c r="SKA50" s="16"/>
      <c r="SKB50" s="16"/>
      <c r="SKC50" s="16"/>
      <c r="SKD50" s="16"/>
      <c r="SKE50" s="16"/>
      <c r="SKF50" s="16"/>
      <c r="SKG50" s="16"/>
      <c r="SKH50" s="16"/>
      <c r="SKI50" s="16"/>
      <c r="SKJ50" s="16"/>
      <c r="SKK50" s="16"/>
      <c r="SKL50" s="16"/>
      <c r="SKM50" s="16"/>
      <c r="SKN50" s="16"/>
      <c r="SKO50" s="16"/>
      <c r="SKP50" s="16"/>
      <c r="SKQ50" s="16"/>
      <c r="SKR50" s="16"/>
      <c r="SKS50" s="16"/>
      <c r="SKT50" s="16"/>
      <c r="SKU50" s="16"/>
      <c r="SKV50" s="16"/>
      <c r="SKW50" s="16"/>
      <c r="SKX50" s="16"/>
      <c r="SKY50" s="16"/>
      <c r="SKZ50" s="16"/>
      <c r="SLA50" s="16"/>
      <c r="SLB50" s="16"/>
      <c r="SLC50" s="16"/>
      <c r="SLD50" s="16"/>
      <c r="SLE50" s="16"/>
      <c r="SLF50" s="16"/>
      <c r="SLG50" s="16"/>
      <c r="SLH50" s="16"/>
      <c r="SLI50" s="16"/>
      <c r="SLJ50" s="16"/>
      <c r="SLK50" s="16"/>
      <c r="SLL50" s="16"/>
      <c r="SLM50" s="16"/>
      <c r="SLN50" s="16"/>
      <c r="SLO50" s="16"/>
      <c r="SLP50" s="16"/>
      <c r="SLQ50" s="16"/>
      <c r="SLR50" s="16"/>
      <c r="SLS50" s="16"/>
      <c r="SLT50" s="16"/>
      <c r="SLU50" s="16"/>
      <c r="SLV50" s="16"/>
      <c r="SLW50" s="16"/>
      <c r="SLX50" s="16"/>
      <c r="SLY50" s="16"/>
      <c r="SLZ50" s="16"/>
      <c r="SMA50" s="16"/>
      <c r="SMB50" s="16"/>
      <c r="SMC50" s="16"/>
      <c r="SMD50" s="16"/>
      <c r="SME50" s="16"/>
      <c r="SMF50" s="16"/>
      <c r="SMG50" s="16"/>
      <c r="SMH50" s="16"/>
      <c r="SMI50" s="16"/>
      <c r="SMJ50" s="16"/>
      <c r="SMK50" s="16"/>
      <c r="SML50" s="16"/>
      <c r="SMM50" s="16"/>
      <c r="SMN50" s="16"/>
      <c r="SMO50" s="16"/>
      <c r="SMP50" s="16"/>
      <c r="SMQ50" s="16"/>
      <c r="SMR50" s="16"/>
      <c r="SMS50" s="16"/>
      <c r="SMT50" s="16"/>
      <c r="SMU50" s="16"/>
      <c r="SMV50" s="16"/>
      <c r="SMW50" s="16"/>
      <c r="SMX50" s="16"/>
      <c r="SMY50" s="16"/>
      <c r="SMZ50" s="16"/>
      <c r="SNA50" s="16"/>
      <c r="SNB50" s="16"/>
      <c r="SNC50" s="16"/>
      <c r="SND50" s="16"/>
      <c r="SNE50" s="16"/>
      <c r="SNF50" s="16"/>
      <c r="SNG50" s="16"/>
      <c r="SNH50" s="16"/>
      <c r="SNI50" s="16"/>
      <c r="SNJ50" s="16"/>
      <c r="SNK50" s="16"/>
      <c r="SNL50" s="16"/>
      <c r="SNM50" s="16"/>
      <c r="SNN50" s="16"/>
      <c r="SNO50" s="16"/>
      <c r="SNP50" s="16"/>
      <c r="SNQ50" s="16"/>
      <c r="SNR50" s="16"/>
      <c r="SNS50" s="16"/>
      <c r="SNT50" s="16"/>
      <c r="SNU50" s="16"/>
      <c r="SNV50" s="16"/>
      <c r="SNW50" s="16"/>
      <c r="SNX50" s="16"/>
      <c r="SNY50" s="16"/>
      <c r="SNZ50" s="16"/>
      <c r="SOA50" s="16"/>
      <c r="SOB50" s="16"/>
      <c r="SOC50" s="16"/>
      <c r="SOD50" s="16"/>
      <c r="SOE50" s="16"/>
      <c r="SOF50" s="16"/>
      <c r="SOG50" s="16"/>
      <c r="SOH50" s="16"/>
      <c r="SOI50" s="16"/>
      <c r="SOJ50" s="16"/>
      <c r="SOK50" s="16"/>
      <c r="SOL50" s="16"/>
      <c r="SOM50" s="16"/>
      <c r="SON50" s="16"/>
      <c r="SOO50" s="16"/>
      <c r="SOP50" s="16"/>
      <c r="SOQ50" s="16"/>
      <c r="SOR50" s="16"/>
      <c r="SOS50" s="16"/>
      <c r="SOT50" s="16"/>
      <c r="SOU50" s="16"/>
      <c r="SOV50" s="16"/>
      <c r="SOW50" s="16"/>
      <c r="SOX50" s="16"/>
      <c r="SOY50" s="16"/>
      <c r="SOZ50" s="16"/>
      <c r="SPA50" s="16"/>
      <c r="SPB50" s="16"/>
      <c r="SPC50" s="16"/>
      <c r="SPD50" s="16"/>
      <c r="SPE50" s="16"/>
      <c r="SPF50" s="16"/>
      <c r="SPG50" s="16"/>
      <c r="SPH50" s="16"/>
      <c r="SPI50" s="16"/>
      <c r="SPJ50" s="16"/>
      <c r="SPK50" s="16"/>
      <c r="SPL50" s="16"/>
      <c r="SPM50" s="16"/>
      <c r="SPN50" s="16"/>
      <c r="SPO50" s="16"/>
      <c r="SPP50" s="16"/>
      <c r="SPQ50" s="16"/>
      <c r="SPR50" s="16"/>
      <c r="SPS50" s="16"/>
      <c r="SPT50" s="16"/>
      <c r="SPU50" s="16"/>
      <c r="SPV50" s="16"/>
      <c r="SPW50" s="16"/>
      <c r="SPX50" s="16"/>
      <c r="SPY50" s="16"/>
      <c r="SPZ50" s="16"/>
      <c r="SQA50" s="16"/>
      <c r="SQB50" s="16"/>
      <c r="SQC50" s="16"/>
      <c r="SQD50" s="16"/>
      <c r="SQE50" s="16"/>
      <c r="SQF50" s="16"/>
      <c r="SQG50" s="16"/>
      <c r="SQH50" s="16"/>
      <c r="SQI50" s="16"/>
      <c r="SQJ50" s="16"/>
      <c r="SQK50" s="16"/>
      <c r="SQL50" s="16"/>
      <c r="SQM50" s="16"/>
      <c r="SQN50" s="16"/>
      <c r="SQO50" s="16"/>
      <c r="SQP50" s="16"/>
      <c r="SQQ50" s="16"/>
      <c r="SQR50" s="16"/>
      <c r="SQS50" s="16"/>
      <c r="SQT50" s="16"/>
      <c r="SQU50" s="16"/>
      <c r="SQV50" s="16"/>
      <c r="SQW50" s="16"/>
      <c r="SQX50" s="16"/>
      <c r="SQY50" s="16"/>
      <c r="SQZ50" s="16"/>
      <c r="SRA50" s="16"/>
      <c r="SRB50" s="16"/>
      <c r="SRC50" s="16"/>
      <c r="SRD50" s="16"/>
      <c r="SRE50" s="16"/>
      <c r="SRF50" s="16"/>
      <c r="SRG50" s="16"/>
      <c r="SRH50" s="16"/>
      <c r="SRI50" s="16"/>
      <c r="SRJ50" s="16"/>
      <c r="SRK50" s="16"/>
      <c r="SRL50" s="16"/>
      <c r="SRM50" s="16"/>
      <c r="SRN50" s="16"/>
      <c r="SRO50" s="16"/>
      <c r="SRP50" s="16"/>
      <c r="SRQ50" s="16"/>
      <c r="SRR50" s="16"/>
      <c r="SRS50" s="16"/>
      <c r="SRT50" s="16"/>
      <c r="SRU50" s="16"/>
      <c r="SRV50" s="16"/>
      <c r="SRW50" s="16"/>
      <c r="SRX50" s="16"/>
      <c r="SRY50" s="16"/>
      <c r="SRZ50" s="16"/>
      <c r="SSA50" s="16"/>
      <c r="SSB50" s="16"/>
      <c r="SSC50" s="16"/>
      <c r="SSD50" s="16"/>
      <c r="SSE50" s="16"/>
      <c r="SSF50" s="16"/>
      <c r="SSG50" s="16"/>
      <c r="SSH50" s="16"/>
      <c r="SSI50" s="16"/>
      <c r="SSJ50" s="16"/>
      <c r="SSK50" s="16"/>
      <c r="SSL50" s="16"/>
      <c r="SSM50" s="16"/>
      <c r="SSN50" s="16"/>
      <c r="SSO50" s="16"/>
      <c r="SSP50" s="16"/>
      <c r="SSQ50" s="16"/>
      <c r="SSR50" s="16"/>
      <c r="SSS50" s="16"/>
      <c r="SST50" s="16"/>
      <c r="SSU50" s="16"/>
      <c r="SSV50" s="16"/>
      <c r="SSW50" s="16"/>
      <c r="SSX50" s="16"/>
      <c r="SSY50" s="16"/>
      <c r="SSZ50" s="16"/>
      <c r="STA50" s="16"/>
      <c r="STB50" s="16"/>
      <c r="STC50" s="16"/>
      <c r="STD50" s="16"/>
      <c r="STE50" s="16"/>
      <c r="STF50" s="16"/>
      <c r="STG50" s="16"/>
      <c r="STH50" s="16"/>
      <c r="STI50" s="16"/>
      <c r="STJ50" s="16"/>
      <c r="STK50" s="16"/>
      <c r="STL50" s="16"/>
      <c r="STM50" s="16"/>
      <c r="STN50" s="16"/>
      <c r="STO50" s="16"/>
      <c r="STP50" s="16"/>
      <c r="STQ50" s="16"/>
      <c r="STR50" s="16"/>
      <c r="STS50" s="16"/>
      <c r="STT50" s="16"/>
      <c r="STU50" s="16"/>
      <c r="STV50" s="16"/>
      <c r="STW50" s="16"/>
      <c r="STX50" s="16"/>
      <c r="STY50" s="16"/>
      <c r="STZ50" s="16"/>
      <c r="SUA50" s="16"/>
      <c r="SUB50" s="16"/>
      <c r="SUC50" s="16"/>
      <c r="SUD50" s="16"/>
      <c r="SUE50" s="16"/>
      <c r="SUF50" s="16"/>
      <c r="SUG50" s="16"/>
      <c r="SUH50" s="16"/>
      <c r="SUI50" s="16"/>
      <c r="SUJ50" s="16"/>
      <c r="SUK50" s="16"/>
      <c r="SUL50" s="16"/>
      <c r="SUM50" s="16"/>
      <c r="SUN50" s="16"/>
      <c r="SUO50" s="16"/>
      <c r="SUP50" s="16"/>
      <c r="SUQ50" s="16"/>
      <c r="SUR50" s="16"/>
      <c r="SUS50" s="16"/>
      <c r="SUT50" s="16"/>
      <c r="SUU50" s="16"/>
      <c r="SUV50" s="16"/>
      <c r="SUW50" s="16"/>
      <c r="SUX50" s="16"/>
      <c r="SUY50" s="16"/>
      <c r="SUZ50" s="16"/>
      <c r="SVA50" s="16"/>
      <c r="SVB50" s="16"/>
      <c r="SVC50" s="16"/>
      <c r="SVD50" s="16"/>
      <c r="SVE50" s="16"/>
      <c r="SVF50" s="16"/>
      <c r="SVG50" s="16"/>
      <c r="SVH50" s="16"/>
      <c r="SVI50" s="16"/>
      <c r="SVJ50" s="16"/>
      <c r="SVK50" s="16"/>
      <c r="SVL50" s="16"/>
      <c r="SVM50" s="16"/>
      <c r="SVN50" s="16"/>
      <c r="SVO50" s="16"/>
      <c r="SVP50" s="16"/>
      <c r="SVQ50" s="16"/>
      <c r="SVR50" s="16"/>
      <c r="SVS50" s="16"/>
      <c r="SVT50" s="16"/>
      <c r="SVU50" s="16"/>
      <c r="SVV50" s="16"/>
      <c r="SVW50" s="16"/>
      <c r="SVX50" s="16"/>
      <c r="SVY50" s="16"/>
      <c r="SVZ50" s="16"/>
      <c r="SWA50" s="16"/>
      <c r="SWB50" s="16"/>
      <c r="SWC50" s="16"/>
      <c r="SWD50" s="16"/>
      <c r="SWE50" s="16"/>
      <c r="SWF50" s="16"/>
      <c r="SWG50" s="16"/>
      <c r="SWH50" s="16"/>
      <c r="SWI50" s="16"/>
      <c r="SWJ50" s="16"/>
      <c r="SWK50" s="16"/>
      <c r="SWL50" s="16"/>
      <c r="SWM50" s="16"/>
      <c r="SWN50" s="16"/>
      <c r="SWO50" s="16"/>
      <c r="SWP50" s="16"/>
      <c r="SWQ50" s="16"/>
      <c r="SWR50" s="16"/>
      <c r="SWS50" s="16"/>
      <c r="SWT50" s="16"/>
      <c r="SWU50" s="16"/>
      <c r="SWV50" s="16"/>
      <c r="SWW50" s="16"/>
      <c r="SWX50" s="16"/>
      <c r="SWY50" s="16"/>
      <c r="SWZ50" s="16"/>
      <c r="SXA50" s="16"/>
      <c r="SXB50" s="16"/>
      <c r="SXC50" s="16"/>
      <c r="SXD50" s="16"/>
      <c r="SXE50" s="16"/>
      <c r="SXF50" s="16"/>
      <c r="SXG50" s="16"/>
      <c r="SXH50" s="16"/>
      <c r="SXI50" s="16"/>
      <c r="SXJ50" s="16"/>
      <c r="SXK50" s="16"/>
      <c r="SXL50" s="16"/>
      <c r="SXM50" s="16"/>
      <c r="SXN50" s="16"/>
      <c r="SXO50" s="16"/>
      <c r="SXP50" s="16"/>
      <c r="SXQ50" s="16"/>
      <c r="SXR50" s="16"/>
      <c r="SXS50" s="16"/>
      <c r="SXT50" s="16"/>
      <c r="SXU50" s="16"/>
      <c r="SXV50" s="16"/>
      <c r="SXW50" s="16"/>
      <c r="SXX50" s="16"/>
      <c r="SXY50" s="16"/>
      <c r="SXZ50" s="16"/>
      <c r="SYA50" s="16"/>
      <c r="SYB50" s="16"/>
      <c r="SYC50" s="16"/>
      <c r="SYD50" s="16"/>
      <c r="SYE50" s="16"/>
      <c r="SYF50" s="16"/>
      <c r="SYG50" s="16"/>
      <c r="SYH50" s="16"/>
      <c r="SYI50" s="16"/>
      <c r="SYJ50" s="16"/>
      <c r="SYK50" s="16"/>
      <c r="SYL50" s="16"/>
      <c r="SYM50" s="16"/>
      <c r="SYN50" s="16"/>
      <c r="SYO50" s="16"/>
      <c r="SYP50" s="16"/>
      <c r="SYQ50" s="16"/>
      <c r="SYR50" s="16"/>
      <c r="SYS50" s="16"/>
      <c r="SYT50" s="16"/>
      <c r="SYU50" s="16"/>
      <c r="SYV50" s="16"/>
      <c r="SYW50" s="16"/>
      <c r="SYX50" s="16"/>
      <c r="SYY50" s="16"/>
      <c r="SYZ50" s="16"/>
      <c r="SZA50" s="16"/>
      <c r="SZB50" s="16"/>
      <c r="SZC50" s="16"/>
      <c r="SZD50" s="16"/>
      <c r="SZE50" s="16"/>
      <c r="SZF50" s="16"/>
      <c r="SZG50" s="16"/>
      <c r="SZH50" s="16"/>
      <c r="SZI50" s="16"/>
      <c r="SZJ50" s="16"/>
      <c r="SZK50" s="16"/>
      <c r="SZL50" s="16"/>
      <c r="SZM50" s="16"/>
      <c r="SZN50" s="16"/>
      <c r="SZO50" s="16"/>
      <c r="SZP50" s="16"/>
      <c r="SZQ50" s="16"/>
      <c r="SZR50" s="16"/>
      <c r="SZS50" s="16"/>
      <c r="SZT50" s="16"/>
      <c r="SZU50" s="16"/>
      <c r="SZV50" s="16"/>
      <c r="SZW50" s="16"/>
      <c r="SZX50" s="16"/>
      <c r="SZY50" s="16"/>
      <c r="SZZ50" s="16"/>
      <c r="TAA50" s="16"/>
      <c r="TAB50" s="16"/>
      <c r="TAC50" s="16"/>
      <c r="TAD50" s="16"/>
      <c r="TAE50" s="16"/>
      <c r="TAF50" s="16"/>
      <c r="TAG50" s="16"/>
      <c r="TAH50" s="16"/>
      <c r="TAI50" s="16"/>
      <c r="TAJ50" s="16"/>
      <c r="TAK50" s="16"/>
      <c r="TAL50" s="16"/>
      <c r="TAM50" s="16"/>
      <c r="TAN50" s="16"/>
      <c r="TAO50" s="16"/>
      <c r="TAP50" s="16"/>
      <c r="TAQ50" s="16"/>
      <c r="TAR50" s="16"/>
      <c r="TAS50" s="16"/>
      <c r="TAT50" s="16"/>
      <c r="TAU50" s="16"/>
      <c r="TAV50" s="16"/>
      <c r="TAW50" s="16"/>
      <c r="TAX50" s="16"/>
      <c r="TAY50" s="16"/>
      <c r="TAZ50" s="16"/>
      <c r="TBA50" s="16"/>
      <c r="TBB50" s="16"/>
      <c r="TBC50" s="16"/>
      <c r="TBD50" s="16"/>
      <c r="TBE50" s="16"/>
      <c r="TBF50" s="16"/>
      <c r="TBG50" s="16"/>
      <c r="TBH50" s="16"/>
      <c r="TBI50" s="16"/>
      <c r="TBJ50" s="16"/>
      <c r="TBK50" s="16"/>
      <c r="TBL50" s="16"/>
      <c r="TBM50" s="16"/>
      <c r="TBN50" s="16"/>
      <c r="TBO50" s="16"/>
      <c r="TBP50" s="16"/>
      <c r="TBQ50" s="16"/>
      <c r="TBR50" s="16"/>
      <c r="TBS50" s="16"/>
      <c r="TBT50" s="16"/>
      <c r="TBU50" s="16"/>
      <c r="TBV50" s="16"/>
      <c r="TBW50" s="16"/>
      <c r="TBX50" s="16"/>
      <c r="TBY50" s="16"/>
      <c r="TBZ50" s="16"/>
      <c r="TCA50" s="16"/>
      <c r="TCB50" s="16"/>
      <c r="TCC50" s="16"/>
      <c r="TCD50" s="16"/>
      <c r="TCE50" s="16"/>
      <c r="TCF50" s="16"/>
      <c r="TCG50" s="16"/>
      <c r="TCH50" s="16"/>
      <c r="TCI50" s="16"/>
      <c r="TCJ50" s="16"/>
      <c r="TCK50" s="16"/>
      <c r="TCL50" s="16"/>
      <c r="TCM50" s="16"/>
      <c r="TCN50" s="16"/>
      <c r="TCO50" s="16"/>
      <c r="TCP50" s="16"/>
      <c r="TCQ50" s="16"/>
      <c r="TCR50" s="16"/>
      <c r="TCS50" s="16"/>
      <c r="TCT50" s="16"/>
      <c r="TCU50" s="16"/>
      <c r="TCV50" s="16"/>
      <c r="TCW50" s="16"/>
      <c r="TCX50" s="16"/>
      <c r="TCY50" s="16"/>
      <c r="TCZ50" s="16"/>
      <c r="TDA50" s="16"/>
      <c r="TDB50" s="16"/>
      <c r="TDC50" s="16"/>
      <c r="TDD50" s="16"/>
      <c r="TDE50" s="16"/>
      <c r="TDF50" s="16"/>
      <c r="TDG50" s="16"/>
      <c r="TDH50" s="16"/>
      <c r="TDI50" s="16"/>
      <c r="TDJ50" s="16"/>
      <c r="TDK50" s="16"/>
      <c r="TDL50" s="16"/>
      <c r="TDM50" s="16"/>
      <c r="TDN50" s="16"/>
      <c r="TDO50" s="16"/>
      <c r="TDP50" s="16"/>
      <c r="TDQ50" s="16"/>
      <c r="TDR50" s="16"/>
      <c r="TDS50" s="16"/>
      <c r="TDT50" s="16"/>
      <c r="TDU50" s="16"/>
      <c r="TDV50" s="16"/>
      <c r="TDW50" s="16"/>
      <c r="TDX50" s="16"/>
      <c r="TDY50" s="16"/>
      <c r="TDZ50" s="16"/>
      <c r="TEA50" s="16"/>
      <c r="TEB50" s="16"/>
      <c r="TEC50" s="16"/>
      <c r="TED50" s="16"/>
      <c r="TEE50" s="16"/>
      <c r="TEF50" s="16"/>
      <c r="TEG50" s="16"/>
      <c r="TEH50" s="16"/>
      <c r="TEI50" s="16"/>
      <c r="TEJ50" s="16"/>
      <c r="TEK50" s="16"/>
      <c r="TEL50" s="16"/>
      <c r="TEM50" s="16"/>
      <c r="TEN50" s="16"/>
      <c r="TEO50" s="16"/>
      <c r="TEP50" s="16"/>
      <c r="TEQ50" s="16"/>
      <c r="TER50" s="16"/>
      <c r="TES50" s="16"/>
      <c r="TET50" s="16"/>
      <c r="TEU50" s="16"/>
      <c r="TEV50" s="16"/>
      <c r="TEW50" s="16"/>
      <c r="TEX50" s="16"/>
      <c r="TEY50" s="16"/>
      <c r="TEZ50" s="16"/>
      <c r="TFA50" s="16"/>
      <c r="TFB50" s="16"/>
      <c r="TFC50" s="16"/>
      <c r="TFD50" s="16"/>
      <c r="TFE50" s="16"/>
      <c r="TFF50" s="16"/>
      <c r="TFG50" s="16"/>
      <c r="TFH50" s="16"/>
      <c r="TFI50" s="16"/>
      <c r="TFJ50" s="16"/>
      <c r="TFK50" s="16"/>
      <c r="TFL50" s="16"/>
      <c r="TFM50" s="16"/>
      <c r="TFN50" s="16"/>
      <c r="TFO50" s="16"/>
      <c r="TFP50" s="16"/>
      <c r="TFQ50" s="16"/>
      <c r="TFR50" s="16"/>
      <c r="TFS50" s="16"/>
      <c r="TFT50" s="16"/>
      <c r="TFU50" s="16"/>
      <c r="TFV50" s="16"/>
      <c r="TFW50" s="16"/>
      <c r="TFX50" s="16"/>
      <c r="TFY50" s="16"/>
      <c r="TFZ50" s="16"/>
      <c r="TGA50" s="16"/>
      <c r="TGB50" s="16"/>
      <c r="TGC50" s="16"/>
      <c r="TGD50" s="16"/>
      <c r="TGE50" s="16"/>
      <c r="TGF50" s="16"/>
      <c r="TGG50" s="16"/>
      <c r="TGH50" s="16"/>
      <c r="TGI50" s="16"/>
      <c r="TGJ50" s="16"/>
      <c r="TGK50" s="16"/>
      <c r="TGL50" s="16"/>
      <c r="TGM50" s="16"/>
      <c r="TGN50" s="16"/>
      <c r="TGO50" s="16"/>
      <c r="TGP50" s="16"/>
      <c r="TGQ50" s="16"/>
      <c r="TGR50" s="16"/>
      <c r="TGS50" s="16"/>
      <c r="TGT50" s="16"/>
      <c r="TGU50" s="16"/>
      <c r="TGV50" s="16"/>
      <c r="TGW50" s="16"/>
      <c r="TGX50" s="16"/>
      <c r="TGY50" s="16"/>
      <c r="TGZ50" s="16"/>
      <c r="THA50" s="16"/>
      <c r="THB50" s="16"/>
      <c r="THC50" s="16"/>
      <c r="THD50" s="16"/>
      <c r="THE50" s="16"/>
      <c r="THF50" s="16"/>
      <c r="THG50" s="16"/>
      <c r="THH50" s="16"/>
      <c r="THI50" s="16"/>
      <c r="THJ50" s="16"/>
      <c r="THK50" s="16"/>
      <c r="THL50" s="16"/>
      <c r="THM50" s="16"/>
      <c r="THN50" s="16"/>
      <c r="THO50" s="16"/>
      <c r="THP50" s="16"/>
      <c r="THQ50" s="16"/>
      <c r="THR50" s="16"/>
      <c r="THS50" s="16"/>
      <c r="THT50" s="16"/>
      <c r="THU50" s="16"/>
      <c r="THV50" s="16"/>
      <c r="THW50" s="16"/>
      <c r="THX50" s="16"/>
      <c r="THY50" s="16"/>
      <c r="THZ50" s="16"/>
      <c r="TIA50" s="16"/>
      <c r="TIB50" s="16"/>
      <c r="TIC50" s="16"/>
      <c r="TID50" s="16"/>
      <c r="TIE50" s="16"/>
      <c r="TIF50" s="16"/>
      <c r="TIG50" s="16"/>
      <c r="TIH50" s="16"/>
      <c r="TII50" s="16"/>
      <c r="TIJ50" s="16"/>
      <c r="TIK50" s="16"/>
      <c r="TIL50" s="16"/>
      <c r="TIM50" s="16"/>
      <c r="TIN50" s="16"/>
      <c r="TIO50" s="16"/>
      <c r="TIP50" s="16"/>
      <c r="TIQ50" s="16"/>
      <c r="TIR50" s="16"/>
      <c r="TIS50" s="16"/>
      <c r="TIT50" s="16"/>
      <c r="TIU50" s="16"/>
      <c r="TIV50" s="16"/>
      <c r="TIW50" s="16"/>
      <c r="TIX50" s="16"/>
      <c r="TIY50" s="16"/>
      <c r="TIZ50" s="16"/>
      <c r="TJA50" s="16"/>
      <c r="TJB50" s="16"/>
      <c r="TJC50" s="16"/>
      <c r="TJD50" s="16"/>
      <c r="TJE50" s="16"/>
      <c r="TJF50" s="16"/>
      <c r="TJG50" s="16"/>
      <c r="TJH50" s="16"/>
      <c r="TJI50" s="16"/>
      <c r="TJJ50" s="16"/>
      <c r="TJK50" s="16"/>
      <c r="TJL50" s="16"/>
      <c r="TJM50" s="16"/>
      <c r="TJN50" s="16"/>
      <c r="TJO50" s="16"/>
      <c r="TJP50" s="16"/>
      <c r="TJQ50" s="16"/>
      <c r="TJR50" s="16"/>
      <c r="TJS50" s="16"/>
      <c r="TJT50" s="16"/>
      <c r="TJU50" s="16"/>
      <c r="TJV50" s="16"/>
      <c r="TJW50" s="16"/>
      <c r="TJX50" s="16"/>
      <c r="TJY50" s="16"/>
      <c r="TJZ50" s="16"/>
      <c r="TKA50" s="16"/>
      <c r="TKB50" s="16"/>
      <c r="TKC50" s="16"/>
      <c r="TKD50" s="16"/>
      <c r="TKE50" s="16"/>
      <c r="TKF50" s="16"/>
      <c r="TKG50" s="16"/>
      <c r="TKH50" s="16"/>
      <c r="TKI50" s="16"/>
      <c r="TKJ50" s="16"/>
      <c r="TKK50" s="16"/>
      <c r="TKL50" s="16"/>
      <c r="TKM50" s="16"/>
      <c r="TKN50" s="16"/>
      <c r="TKO50" s="16"/>
      <c r="TKP50" s="16"/>
      <c r="TKQ50" s="16"/>
      <c r="TKR50" s="16"/>
      <c r="TKS50" s="16"/>
      <c r="TKT50" s="16"/>
      <c r="TKU50" s="16"/>
      <c r="TKV50" s="16"/>
      <c r="TKW50" s="16"/>
      <c r="TKX50" s="16"/>
      <c r="TKY50" s="16"/>
      <c r="TKZ50" s="16"/>
      <c r="TLA50" s="16"/>
      <c r="TLB50" s="16"/>
      <c r="TLC50" s="16"/>
      <c r="TLD50" s="16"/>
      <c r="TLE50" s="16"/>
      <c r="TLF50" s="16"/>
      <c r="TLG50" s="16"/>
      <c r="TLH50" s="16"/>
      <c r="TLI50" s="16"/>
      <c r="TLJ50" s="16"/>
      <c r="TLK50" s="16"/>
      <c r="TLL50" s="16"/>
      <c r="TLM50" s="16"/>
      <c r="TLN50" s="16"/>
      <c r="TLO50" s="16"/>
      <c r="TLP50" s="16"/>
      <c r="TLQ50" s="16"/>
      <c r="TLR50" s="16"/>
      <c r="TLS50" s="16"/>
      <c r="TLT50" s="16"/>
      <c r="TLU50" s="16"/>
      <c r="TLV50" s="16"/>
      <c r="TLW50" s="16"/>
      <c r="TLX50" s="16"/>
      <c r="TLY50" s="16"/>
      <c r="TLZ50" s="16"/>
      <c r="TMA50" s="16"/>
      <c r="TMB50" s="16"/>
      <c r="TMC50" s="16"/>
      <c r="TMD50" s="16"/>
      <c r="TME50" s="16"/>
      <c r="TMF50" s="16"/>
      <c r="TMG50" s="16"/>
      <c r="TMH50" s="16"/>
      <c r="TMI50" s="16"/>
      <c r="TMJ50" s="16"/>
      <c r="TMK50" s="16"/>
      <c r="TML50" s="16"/>
      <c r="TMM50" s="16"/>
      <c r="TMN50" s="16"/>
      <c r="TMO50" s="16"/>
      <c r="TMP50" s="16"/>
      <c r="TMQ50" s="16"/>
      <c r="TMR50" s="16"/>
      <c r="TMS50" s="16"/>
      <c r="TMT50" s="16"/>
      <c r="TMU50" s="16"/>
      <c r="TMV50" s="16"/>
      <c r="TMW50" s="16"/>
      <c r="TMX50" s="16"/>
      <c r="TMY50" s="16"/>
      <c r="TMZ50" s="16"/>
      <c r="TNA50" s="16"/>
      <c r="TNB50" s="16"/>
      <c r="TNC50" s="16"/>
      <c r="TND50" s="16"/>
      <c r="TNE50" s="16"/>
      <c r="TNF50" s="16"/>
      <c r="TNG50" s="16"/>
      <c r="TNH50" s="16"/>
      <c r="TNI50" s="16"/>
      <c r="TNJ50" s="16"/>
      <c r="TNK50" s="16"/>
      <c r="TNL50" s="16"/>
      <c r="TNM50" s="16"/>
      <c r="TNN50" s="16"/>
      <c r="TNO50" s="16"/>
      <c r="TNP50" s="16"/>
      <c r="TNQ50" s="16"/>
      <c r="TNR50" s="16"/>
      <c r="TNS50" s="16"/>
      <c r="TNT50" s="16"/>
      <c r="TNU50" s="16"/>
      <c r="TNV50" s="16"/>
      <c r="TNW50" s="16"/>
      <c r="TNX50" s="16"/>
      <c r="TNY50" s="16"/>
      <c r="TNZ50" s="16"/>
      <c r="TOA50" s="16"/>
      <c r="TOB50" s="16"/>
      <c r="TOC50" s="16"/>
      <c r="TOD50" s="16"/>
      <c r="TOE50" s="16"/>
      <c r="TOF50" s="16"/>
      <c r="TOG50" s="16"/>
      <c r="TOH50" s="16"/>
      <c r="TOI50" s="16"/>
      <c r="TOJ50" s="16"/>
      <c r="TOK50" s="16"/>
      <c r="TOL50" s="16"/>
      <c r="TOM50" s="16"/>
      <c r="TON50" s="16"/>
      <c r="TOO50" s="16"/>
      <c r="TOP50" s="16"/>
      <c r="TOQ50" s="16"/>
      <c r="TOR50" s="16"/>
      <c r="TOS50" s="16"/>
      <c r="TOT50" s="16"/>
      <c r="TOU50" s="16"/>
      <c r="TOV50" s="16"/>
      <c r="TOW50" s="16"/>
      <c r="TOX50" s="16"/>
      <c r="TOY50" s="16"/>
      <c r="TOZ50" s="16"/>
      <c r="TPA50" s="16"/>
      <c r="TPB50" s="16"/>
      <c r="TPC50" s="16"/>
      <c r="TPD50" s="16"/>
      <c r="TPE50" s="16"/>
      <c r="TPF50" s="16"/>
      <c r="TPG50" s="16"/>
      <c r="TPH50" s="16"/>
      <c r="TPI50" s="16"/>
      <c r="TPJ50" s="16"/>
      <c r="TPK50" s="16"/>
      <c r="TPL50" s="16"/>
      <c r="TPM50" s="16"/>
      <c r="TPN50" s="16"/>
      <c r="TPO50" s="16"/>
      <c r="TPP50" s="16"/>
      <c r="TPQ50" s="16"/>
      <c r="TPR50" s="16"/>
      <c r="TPS50" s="16"/>
      <c r="TPT50" s="16"/>
      <c r="TPU50" s="16"/>
      <c r="TPV50" s="16"/>
      <c r="TPW50" s="16"/>
      <c r="TPX50" s="16"/>
      <c r="TPY50" s="16"/>
      <c r="TPZ50" s="16"/>
      <c r="TQA50" s="16"/>
      <c r="TQB50" s="16"/>
      <c r="TQC50" s="16"/>
      <c r="TQD50" s="16"/>
      <c r="TQE50" s="16"/>
      <c r="TQF50" s="16"/>
      <c r="TQG50" s="16"/>
      <c r="TQH50" s="16"/>
      <c r="TQI50" s="16"/>
      <c r="TQJ50" s="16"/>
      <c r="TQK50" s="16"/>
      <c r="TQL50" s="16"/>
      <c r="TQM50" s="16"/>
      <c r="TQN50" s="16"/>
      <c r="TQO50" s="16"/>
      <c r="TQP50" s="16"/>
      <c r="TQQ50" s="16"/>
      <c r="TQR50" s="16"/>
      <c r="TQS50" s="16"/>
      <c r="TQT50" s="16"/>
      <c r="TQU50" s="16"/>
      <c r="TQV50" s="16"/>
      <c r="TQW50" s="16"/>
      <c r="TQX50" s="16"/>
      <c r="TQY50" s="16"/>
      <c r="TQZ50" s="16"/>
      <c r="TRA50" s="16"/>
      <c r="TRB50" s="16"/>
      <c r="TRC50" s="16"/>
      <c r="TRD50" s="16"/>
      <c r="TRE50" s="16"/>
      <c r="TRF50" s="16"/>
      <c r="TRG50" s="16"/>
      <c r="TRH50" s="16"/>
      <c r="TRI50" s="16"/>
      <c r="TRJ50" s="16"/>
      <c r="TRK50" s="16"/>
      <c r="TRL50" s="16"/>
      <c r="TRM50" s="16"/>
      <c r="TRN50" s="16"/>
      <c r="TRO50" s="16"/>
      <c r="TRP50" s="16"/>
      <c r="TRQ50" s="16"/>
      <c r="TRR50" s="16"/>
      <c r="TRS50" s="16"/>
      <c r="TRT50" s="16"/>
      <c r="TRU50" s="16"/>
      <c r="TRV50" s="16"/>
      <c r="TRW50" s="16"/>
      <c r="TRX50" s="16"/>
      <c r="TRY50" s="16"/>
      <c r="TRZ50" s="16"/>
      <c r="TSA50" s="16"/>
      <c r="TSB50" s="16"/>
      <c r="TSC50" s="16"/>
      <c r="TSD50" s="16"/>
      <c r="TSE50" s="16"/>
      <c r="TSF50" s="16"/>
      <c r="TSG50" s="16"/>
      <c r="TSH50" s="16"/>
      <c r="TSI50" s="16"/>
      <c r="TSJ50" s="16"/>
      <c r="TSK50" s="16"/>
      <c r="TSL50" s="16"/>
      <c r="TSM50" s="16"/>
      <c r="TSN50" s="16"/>
      <c r="TSO50" s="16"/>
      <c r="TSP50" s="16"/>
      <c r="TSQ50" s="16"/>
      <c r="TSR50" s="16"/>
      <c r="TSS50" s="16"/>
      <c r="TST50" s="16"/>
      <c r="TSU50" s="16"/>
      <c r="TSV50" s="16"/>
      <c r="TSW50" s="16"/>
      <c r="TSX50" s="16"/>
      <c r="TSY50" s="16"/>
      <c r="TSZ50" s="16"/>
      <c r="TTA50" s="16"/>
      <c r="TTB50" s="16"/>
      <c r="TTC50" s="16"/>
      <c r="TTD50" s="16"/>
      <c r="TTE50" s="16"/>
      <c r="TTF50" s="16"/>
      <c r="TTG50" s="16"/>
      <c r="TTH50" s="16"/>
      <c r="TTI50" s="16"/>
      <c r="TTJ50" s="16"/>
      <c r="TTK50" s="16"/>
      <c r="TTL50" s="16"/>
      <c r="TTM50" s="16"/>
      <c r="TTN50" s="16"/>
      <c r="TTO50" s="16"/>
      <c r="TTP50" s="16"/>
      <c r="TTQ50" s="16"/>
      <c r="TTR50" s="16"/>
      <c r="TTS50" s="16"/>
      <c r="TTT50" s="16"/>
      <c r="TTU50" s="16"/>
      <c r="TTV50" s="16"/>
      <c r="TTW50" s="16"/>
      <c r="TTX50" s="16"/>
      <c r="TTY50" s="16"/>
      <c r="TTZ50" s="16"/>
      <c r="TUA50" s="16"/>
      <c r="TUB50" s="16"/>
      <c r="TUC50" s="16"/>
      <c r="TUD50" s="16"/>
      <c r="TUE50" s="16"/>
      <c r="TUF50" s="16"/>
      <c r="TUG50" s="16"/>
      <c r="TUH50" s="16"/>
      <c r="TUI50" s="16"/>
      <c r="TUJ50" s="16"/>
      <c r="TUK50" s="16"/>
      <c r="TUL50" s="16"/>
      <c r="TUM50" s="16"/>
      <c r="TUN50" s="16"/>
      <c r="TUO50" s="16"/>
      <c r="TUP50" s="16"/>
      <c r="TUQ50" s="16"/>
      <c r="TUR50" s="16"/>
      <c r="TUS50" s="16"/>
      <c r="TUT50" s="16"/>
      <c r="TUU50" s="16"/>
      <c r="TUV50" s="16"/>
      <c r="TUW50" s="16"/>
      <c r="TUX50" s="16"/>
      <c r="TUY50" s="16"/>
      <c r="TUZ50" s="16"/>
      <c r="TVA50" s="16"/>
      <c r="TVB50" s="16"/>
      <c r="TVC50" s="16"/>
      <c r="TVD50" s="16"/>
      <c r="TVE50" s="16"/>
      <c r="TVF50" s="16"/>
      <c r="TVG50" s="16"/>
      <c r="TVH50" s="16"/>
      <c r="TVI50" s="16"/>
      <c r="TVJ50" s="16"/>
      <c r="TVK50" s="16"/>
      <c r="TVL50" s="16"/>
      <c r="TVM50" s="16"/>
      <c r="TVN50" s="16"/>
      <c r="TVO50" s="16"/>
      <c r="TVP50" s="16"/>
      <c r="TVQ50" s="16"/>
      <c r="TVR50" s="16"/>
      <c r="TVS50" s="16"/>
      <c r="TVT50" s="16"/>
      <c r="TVU50" s="16"/>
      <c r="TVV50" s="16"/>
      <c r="TVW50" s="16"/>
      <c r="TVX50" s="16"/>
      <c r="TVY50" s="16"/>
      <c r="TVZ50" s="16"/>
      <c r="TWA50" s="16"/>
      <c r="TWB50" s="16"/>
      <c r="TWC50" s="16"/>
      <c r="TWD50" s="16"/>
      <c r="TWE50" s="16"/>
      <c r="TWF50" s="16"/>
      <c r="TWG50" s="16"/>
      <c r="TWH50" s="16"/>
      <c r="TWI50" s="16"/>
      <c r="TWJ50" s="16"/>
      <c r="TWK50" s="16"/>
      <c r="TWL50" s="16"/>
      <c r="TWM50" s="16"/>
      <c r="TWN50" s="16"/>
      <c r="TWO50" s="16"/>
      <c r="TWP50" s="16"/>
      <c r="TWQ50" s="16"/>
      <c r="TWR50" s="16"/>
      <c r="TWS50" s="16"/>
      <c r="TWT50" s="16"/>
      <c r="TWU50" s="16"/>
      <c r="TWV50" s="16"/>
      <c r="TWW50" s="16"/>
      <c r="TWX50" s="16"/>
      <c r="TWY50" s="16"/>
      <c r="TWZ50" s="16"/>
      <c r="TXA50" s="16"/>
      <c r="TXB50" s="16"/>
      <c r="TXC50" s="16"/>
      <c r="TXD50" s="16"/>
      <c r="TXE50" s="16"/>
      <c r="TXF50" s="16"/>
      <c r="TXG50" s="16"/>
      <c r="TXH50" s="16"/>
      <c r="TXI50" s="16"/>
      <c r="TXJ50" s="16"/>
      <c r="TXK50" s="16"/>
      <c r="TXL50" s="16"/>
      <c r="TXM50" s="16"/>
      <c r="TXN50" s="16"/>
      <c r="TXO50" s="16"/>
      <c r="TXP50" s="16"/>
      <c r="TXQ50" s="16"/>
      <c r="TXR50" s="16"/>
      <c r="TXS50" s="16"/>
      <c r="TXT50" s="16"/>
      <c r="TXU50" s="16"/>
      <c r="TXV50" s="16"/>
      <c r="TXW50" s="16"/>
      <c r="TXX50" s="16"/>
      <c r="TXY50" s="16"/>
      <c r="TXZ50" s="16"/>
      <c r="TYA50" s="16"/>
      <c r="TYB50" s="16"/>
      <c r="TYC50" s="16"/>
      <c r="TYD50" s="16"/>
      <c r="TYE50" s="16"/>
      <c r="TYF50" s="16"/>
      <c r="TYG50" s="16"/>
      <c r="TYH50" s="16"/>
      <c r="TYI50" s="16"/>
      <c r="TYJ50" s="16"/>
      <c r="TYK50" s="16"/>
      <c r="TYL50" s="16"/>
      <c r="TYM50" s="16"/>
      <c r="TYN50" s="16"/>
      <c r="TYO50" s="16"/>
      <c r="TYP50" s="16"/>
      <c r="TYQ50" s="16"/>
      <c r="TYR50" s="16"/>
      <c r="TYS50" s="16"/>
      <c r="TYT50" s="16"/>
      <c r="TYU50" s="16"/>
      <c r="TYV50" s="16"/>
      <c r="TYW50" s="16"/>
      <c r="TYX50" s="16"/>
      <c r="TYY50" s="16"/>
      <c r="TYZ50" s="16"/>
      <c r="TZA50" s="16"/>
      <c r="TZB50" s="16"/>
      <c r="TZC50" s="16"/>
      <c r="TZD50" s="16"/>
      <c r="TZE50" s="16"/>
      <c r="TZF50" s="16"/>
      <c r="TZG50" s="16"/>
      <c r="TZH50" s="16"/>
      <c r="TZI50" s="16"/>
      <c r="TZJ50" s="16"/>
      <c r="TZK50" s="16"/>
      <c r="TZL50" s="16"/>
      <c r="TZM50" s="16"/>
      <c r="TZN50" s="16"/>
      <c r="TZO50" s="16"/>
      <c r="TZP50" s="16"/>
      <c r="TZQ50" s="16"/>
      <c r="TZR50" s="16"/>
      <c r="TZS50" s="16"/>
      <c r="TZT50" s="16"/>
      <c r="TZU50" s="16"/>
      <c r="TZV50" s="16"/>
      <c r="TZW50" s="16"/>
      <c r="TZX50" s="16"/>
      <c r="TZY50" s="16"/>
      <c r="TZZ50" s="16"/>
      <c r="UAA50" s="16"/>
      <c r="UAB50" s="16"/>
      <c r="UAC50" s="16"/>
      <c r="UAD50" s="16"/>
      <c r="UAE50" s="16"/>
      <c r="UAF50" s="16"/>
      <c r="UAG50" s="16"/>
      <c r="UAH50" s="16"/>
      <c r="UAI50" s="16"/>
      <c r="UAJ50" s="16"/>
      <c r="UAK50" s="16"/>
      <c r="UAL50" s="16"/>
      <c r="UAM50" s="16"/>
      <c r="UAN50" s="16"/>
      <c r="UAO50" s="16"/>
      <c r="UAP50" s="16"/>
      <c r="UAQ50" s="16"/>
      <c r="UAR50" s="16"/>
      <c r="UAS50" s="16"/>
      <c r="UAT50" s="16"/>
      <c r="UAU50" s="16"/>
      <c r="UAV50" s="16"/>
      <c r="UAW50" s="16"/>
      <c r="UAX50" s="16"/>
      <c r="UAY50" s="16"/>
      <c r="UAZ50" s="16"/>
      <c r="UBA50" s="16"/>
      <c r="UBB50" s="16"/>
      <c r="UBC50" s="16"/>
      <c r="UBD50" s="16"/>
      <c r="UBE50" s="16"/>
      <c r="UBF50" s="16"/>
      <c r="UBG50" s="16"/>
      <c r="UBH50" s="16"/>
      <c r="UBI50" s="16"/>
      <c r="UBJ50" s="16"/>
      <c r="UBK50" s="16"/>
      <c r="UBL50" s="16"/>
      <c r="UBM50" s="16"/>
      <c r="UBN50" s="16"/>
      <c r="UBO50" s="16"/>
      <c r="UBP50" s="16"/>
      <c r="UBQ50" s="16"/>
      <c r="UBR50" s="16"/>
      <c r="UBS50" s="16"/>
      <c r="UBT50" s="16"/>
      <c r="UBU50" s="16"/>
      <c r="UBV50" s="16"/>
      <c r="UBW50" s="16"/>
      <c r="UBX50" s="16"/>
      <c r="UBY50" s="16"/>
      <c r="UBZ50" s="16"/>
      <c r="UCA50" s="16"/>
      <c r="UCB50" s="16"/>
      <c r="UCC50" s="16"/>
      <c r="UCD50" s="16"/>
      <c r="UCE50" s="16"/>
      <c r="UCF50" s="16"/>
      <c r="UCG50" s="16"/>
      <c r="UCH50" s="16"/>
      <c r="UCI50" s="16"/>
      <c r="UCJ50" s="16"/>
      <c r="UCK50" s="16"/>
      <c r="UCL50" s="16"/>
      <c r="UCM50" s="16"/>
      <c r="UCN50" s="16"/>
      <c r="UCO50" s="16"/>
      <c r="UCP50" s="16"/>
      <c r="UCQ50" s="16"/>
      <c r="UCR50" s="16"/>
      <c r="UCS50" s="16"/>
      <c r="UCT50" s="16"/>
      <c r="UCU50" s="16"/>
      <c r="UCV50" s="16"/>
      <c r="UCW50" s="16"/>
      <c r="UCX50" s="16"/>
      <c r="UCY50" s="16"/>
      <c r="UCZ50" s="16"/>
      <c r="UDA50" s="16"/>
      <c r="UDB50" s="16"/>
      <c r="UDC50" s="16"/>
      <c r="UDD50" s="16"/>
      <c r="UDE50" s="16"/>
      <c r="UDF50" s="16"/>
      <c r="UDG50" s="16"/>
      <c r="UDH50" s="16"/>
      <c r="UDI50" s="16"/>
      <c r="UDJ50" s="16"/>
      <c r="UDK50" s="16"/>
      <c r="UDL50" s="16"/>
      <c r="UDM50" s="16"/>
      <c r="UDN50" s="16"/>
      <c r="UDO50" s="16"/>
      <c r="UDP50" s="16"/>
      <c r="UDQ50" s="16"/>
      <c r="UDR50" s="16"/>
      <c r="UDS50" s="16"/>
      <c r="UDT50" s="16"/>
      <c r="UDU50" s="16"/>
      <c r="UDV50" s="16"/>
      <c r="UDW50" s="16"/>
      <c r="UDX50" s="16"/>
      <c r="UDY50" s="16"/>
      <c r="UDZ50" s="16"/>
      <c r="UEA50" s="16"/>
      <c r="UEB50" s="16"/>
      <c r="UEC50" s="16"/>
      <c r="UED50" s="16"/>
      <c r="UEE50" s="16"/>
      <c r="UEF50" s="16"/>
      <c r="UEG50" s="16"/>
      <c r="UEH50" s="16"/>
      <c r="UEI50" s="16"/>
      <c r="UEJ50" s="16"/>
      <c r="UEK50" s="16"/>
      <c r="UEL50" s="16"/>
      <c r="UEM50" s="16"/>
      <c r="UEN50" s="16"/>
      <c r="UEO50" s="16"/>
      <c r="UEP50" s="16"/>
      <c r="UEQ50" s="16"/>
      <c r="UER50" s="16"/>
      <c r="UES50" s="16"/>
      <c r="UET50" s="16"/>
      <c r="UEU50" s="16"/>
      <c r="UEV50" s="16"/>
      <c r="UEW50" s="16"/>
      <c r="UEX50" s="16"/>
      <c r="UEY50" s="16"/>
      <c r="UEZ50" s="16"/>
      <c r="UFA50" s="16"/>
      <c r="UFB50" s="16"/>
      <c r="UFC50" s="16"/>
      <c r="UFD50" s="16"/>
      <c r="UFE50" s="16"/>
      <c r="UFF50" s="16"/>
      <c r="UFG50" s="16"/>
      <c r="UFH50" s="16"/>
      <c r="UFI50" s="16"/>
      <c r="UFJ50" s="16"/>
      <c r="UFK50" s="16"/>
      <c r="UFL50" s="16"/>
      <c r="UFM50" s="16"/>
      <c r="UFN50" s="16"/>
      <c r="UFO50" s="16"/>
      <c r="UFP50" s="16"/>
      <c r="UFQ50" s="16"/>
      <c r="UFR50" s="16"/>
      <c r="UFS50" s="16"/>
      <c r="UFT50" s="16"/>
      <c r="UFU50" s="16"/>
      <c r="UFV50" s="16"/>
      <c r="UFW50" s="16"/>
      <c r="UFX50" s="16"/>
      <c r="UFY50" s="16"/>
      <c r="UFZ50" s="16"/>
      <c r="UGA50" s="16"/>
      <c r="UGB50" s="16"/>
      <c r="UGC50" s="16"/>
      <c r="UGD50" s="16"/>
      <c r="UGE50" s="16"/>
      <c r="UGF50" s="16"/>
      <c r="UGG50" s="16"/>
      <c r="UGH50" s="16"/>
      <c r="UGI50" s="16"/>
      <c r="UGJ50" s="16"/>
      <c r="UGK50" s="16"/>
      <c r="UGL50" s="16"/>
      <c r="UGM50" s="16"/>
      <c r="UGN50" s="16"/>
      <c r="UGO50" s="16"/>
      <c r="UGP50" s="16"/>
      <c r="UGQ50" s="16"/>
      <c r="UGR50" s="16"/>
      <c r="UGS50" s="16"/>
      <c r="UGT50" s="16"/>
      <c r="UGU50" s="16"/>
      <c r="UGV50" s="16"/>
      <c r="UGW50" s="16"/>
      <c r="UGX50" s="16"/>
      <c r="UGY50" s="16"/>
      <c r="UGZ50" s="16"/>
      <c r="UHA50" s="16"/>
      <c r="UHB50" s="16"/>
      <c r="UHC50" s="16"/>
      <c r="UHD50" s="16"/>
      <c r="UHE50" s="16"/>
      <c r="UHF50" s="16"/>
      <c r="UHG50" s="16"/>
      <c r="UHH50" s="16"/>
      <c r="UHI50" s="16"/>
      <c r="UHJ50" s="16"/>
      <c r="UHK50" s="16"/>
      <c r="UHL50" s="16"/>
      <c r="UHM50" s="16"/>
      <c r="UHN50" s="16"/>
      <c r="UHO50" s="16"/>
      <c r="UHP50" s="16"/>
      <c r="UHQ50" s="16"/>
      <c r="UHR50" s="16"/>
      <c r="UHS50" s="16"/>
      <c r="UHT50" s="16"/>
      <c r="UHU50" s="16"/>
      <c r="UHV50" s="16"/>
      <c r="UHW50" s="16"/>
      <c r="UHX50" s="16"/>
      <c r="UHY50" s="16"/>
      <c r="UHZ50" s="16"/>
      <c r="UIA50" s="16"/>
      <c r="UIB50" s="16"/>
      <c r="UIC50" s="16"/>
      <c r="UID50" s="16"/>
      <c r="UIE50" s="16"/>
      <c r="UIF50" s="16"/>
      <c r="UIG50" s="16"/>
      <c r="UIH50" s="16"/>
      <c r="UII50" s="16"/>
      <c r="UIJ50" s="16"/>
      <c r="UIK50" s="16"/>
      <c r="UIL50" s="16"/>
      <c r="UIM50" s="16"/>
      <c r="UIN50" s="16"/>
      <c r="UIO50" s="16"/>
      <c r="UIP50" s="16"/>
      <c r="UIQ50" s="16"/>
      <c r="UIR50" s="16"/>
      <c r="UIS50" s="16"/>
      <c r="UIT50" s="16"/>
      <c r="UIU50" s="16"/>
      <c r="UIV50" s="16"/>
      <c r="UIW50" s="16"/>
      <c r="UIX50" s="16"/>
      <c r="UIY50" s="16"/>
      <c r="UIZ50" s="16"/>
      <c r="UJA50" s="16"/>
      <c r="UJB50" s="16"/>
      <c r="UJC50" s="16"/>
      <c r="UJD50" s="16"/>
      <c r="UJE50" s="16"/>
      <c r="UJF50" s="16"/>
      <c r="UJG50" s="16"/>
      <c r="UJH50" s="16"/>
      <c r="UJI50" s="16"/>
      <c r="UJJ50" s="16"/>
      <c r="UJK50" s="16"/>
      <c r="UJL50" s="16"/>
      <c r="UJM50" s="16"/>
      <c r="UJN50" s="16"/>
      <c r="UJO50" s="16"/>
      <c r="UJP50" s="16"/>
      <c r="UJQ50" s="16"/>
      <c r="UJR50" s="16"/>
      <c r="UJS50" s="16"/>
      <c r="UJT50" s="16"/>
      <c r="UJU50" s="16"/>
      <c r="UJV50" s="16"/>
      <c r="UJW50" s="16"/>
      <c r="UJX50" s="16"/>
      <c r="UJY50" s="16"/>
      <c r="UJZ50" s="16"/>
      <c r="UKA50" s="16"/>
      <c r="UKB50" s="16"/>
      <c r="UKC50" s="16"/>
      <c r="UKD50" s="16"/>
      <c r="UKE50" s="16"/>
      <c r="UKF50" s="16"/>
      <c r="UKG50" s="16"/>
      <c r="UKH50" s="16"/>
      <c r="UKI50" s="16"/>
      <c r="UKJ50" s="16"/>
      <c r="UKK50" s="16"/>
      <c r="UKL50" s="16"/>
      <c r="UKM50" s="16"/>
      <c r="UKN50" s="16"/>
      <c r="UKO50" s="16"/>
      <c r="UKP50" s="16"/>
      <c r="UKQ50" s="16"/>
      <c r="UKR50" s="16"/>
      <c r="UKS50" s="16"/>
      <c r="UKT50" s="16"/>
      <c r="UKU50" s="16"/>
      <c r="UKV50" s="16"/>
      <c r="UKW50" s="16"/>
      <c r="UKX50" s="16"/>
      <c r="UKY50" s="16"/>
      <c r="UKZ50" s="16"/>
      <c r="ULA50" s="16"/>
      <c r="ULB50" s="16"/>
      <c r="ULC50" s="16"/>
      <c r="ULD50" s="16"/>
      <c r="ULE50" s="16"/>
      <c r="ULF50" s="16"/>
      <c r="ULG50" s="16"/>
      <c r="ULH50" s="16"/>
      <c r="ULI50" s="16"/>
      <c r="ULJ50" s="16"/>
      <c r="ULK50" s="16"/>
      <c r="ULL50" s="16"/>
      <c r="ULM50" s="16"/>
      <c r="ULN50" s="16"/>
      <c r="ULO50" s="16"/>
      <c r="ULP50" s="16"/>
      <c r="ULQ50" s="16"/>
      <c r="ULR50" s="16"/>
      <c r="ULS50" s="16"/>
      <c r="ULT50" s="16"/>
      <c r="ULU50" s="16"/>
      <c r="ULV50" s="16"/>
      <c r="ULW50" s="16"/>
      <c r="ULX50" s="16"/>
      <c r="ULY50" s="16"/>
      <c r="ULZ50" s="16"/>
      <c r="UMA50" s="16"/>
      <c r="UMB50" s="16"/>
      <c r="UMC50" s="16"/>
      <c r="UMD50" s="16"/>
      <c r="UME50" s="16"/>
      <c r="UMF50" s="16"/>
      <c r="UMG50" s="16"/>
      <c r="UMH50" s="16"/>
      <c r="UMI50" s="16"/>
      <c r="UMJ50" s="16"/>
      <c r="UMK50" s="16"/>
      <c r="UML50" s="16"/>
      <c r="UMM50" s="16"/>
      <c r="UMN50" s="16"/>
      <c r="UMO50" s="16"/>
      <c r="UMP50" s="16"/>
      <c r="UMQ50" s="16"/>
      <c r="UMR50" s="16"/>
      <c r="UMS50" s="16"/>
      <c r="UMT50" s="16"/>
      <c r="UMU50" s="16"/>
      <c r="UMV50" s="16"/>
      <c r="UMW50" s="16"/>
      <c r="UMX50" s="16"/>
      <c r="UMY50" s="16"/>
      <c r="UMZ50" s="16"/>
      <c r="UNA50" s="16"/>
      <c r="UNB50" s="16"/>
      <c r="UNC50" s="16"/>
      <c r="UND50" s="16"/>
      <c r="UNE50" s="16"/>
      <c r="UNF50" s="16"/>
      <c r="UNG50" s="16"/>
      <c r="UNH50" s="16"/>
      <c r="UNI50" s="16"/>
      <c r="UNJ50" s="16"/>
      <c r="UNK50" s="16"/>
      <c r="UNL50" s="16"/>
      <c r="UNM50" s="16"/>
      <c r="UNN50" s="16"/>
      <c r="UNO50" s="16"/>
      <c r="UNP50" s="16"/>
      <c r="UNQ50" s="16"/>
      <c r="UNR50" s="16"/>
      <c r="UNS50" s="16"/>
      <c r="UNT50" s="16"/>
      <c r="UNU50" s="16"/>
      <c r="UNV50" s="16"/>
      <c r="UNW50" s="16"/>
      <c r="UNX50" s="16"/>
      <c r="UNY50" s="16"/>
      <c r="UNZ50" s="16"/>
      <c r="UOA50" s="16"/>
      <c r="UOB50" s="16"/>
      <c r="UOC50" s="16"/>
      <c r="UOD50" s="16"/>
      <c r="UOE50" s="16"/>
      <c r="UOF50" s="16"/>
      <c r="UOG50" s="16"/>
      <c r="UOH50" s="16"/>
      <c r="UOI50" s="16"/>
      <c r="UOJ50" s="16"/>
      <c r="UOK50" s="16"/>
      <c r="UOL50" s="16"/>
      <c r="UOM50" s="16"/>
      <c r="UON50" s="16"/>
      <c r="UOO50" s="16"/>
      <c r="UOP50" s="16"/>
      <c r="UOQ50" s="16"/>
      <c r="UOR50" s="16"/>
      <c r="UOS50" s="16"/>
      <c r="UOT50" s="16"/>
      <c r="UOU50" s="16"/>
      <c r="UOV50" s="16"/>
      <c r="UOW50" s="16"/>
      <c r="UOX50" s="16"/>
      <c r="UOY50" s="16"/>
      <c r="UOZ50" s="16"/>
      <c r="UPA50" s="16"/>
      <c r="UPB50" s="16"/>
      <c r="UPC50" s="16"/>
      <c r="UPD50" s="16"/>
      <c r="UPE50" s="16"/>
      <c r="UPF50" s="16"/>
      <c r="UPG50" s="16"/>
      <c r="UPH50" s="16"/>
      <c r="UPI50" s="16"/>
      <c r="UPJ50" s="16"/>
      <c r="UPK50" s="16"/>
      <c r="UPL50" s="16"/>
      <c r="UPM50" s="16"/>
      <c r="UPN50" s="16"/>
      <c r="UPO50" s="16"/>
      <c r="UPP50" s="16"/>
      <c r="UPQ50" s="16"/>
      <c r="UPR50" s="16"/>
      <c r="UPS50" s="16"/>
      <c r="UPT50" s="16"/>
      <c r="UPU50" s="16"/>
      <c r="UPV50" s="16"/>
      <c r="UPW50" s="16"/>
      <c r="UPX50" s="16"/>
      <c r="UPY50" s="16"/>
      <c r="UPZ50" s="16"/>
      <c r="UQA50" s="16"/>
      <c r="UQB50" s="16"/>
      <c r="UQC50" s="16"/>
      <c r="UQD50" s="16"/>
      <c r="UQE50" s="16"/>
      <c r="UQF50" s="16"/>
      <c r="UQG50" s="16"/>
      <c r="UQH50" s="16"/>
      <c r="UQI50" s="16"/>
      <c r="UQJ50" s="16"/>
      <c r="UQK50" s="16"/>
      <c r="UQL50" s="16"/>
      <c r="UQM50" s="16"/>
      <c r="UQN50" s="16"/>
      <c r="UQO50" s="16"/>
      <c r="UQP50" s="16"/>
      <c r="UQQ50" s="16"/>
      <c r="UQR50" s="16"/>
      <c r="UQS50" s="16"/>
      <c r="UQT50" s="16"/>
      <c r="UQU50" s="16"/>
      <c r="UQV50" s="16"/>
      <c r="UQW50" s="16"/>
      <c r="UQX50" s="16"/>
      <c r="UQY50" s="16"/>
      <c r="UQZ50" s="16"/>
      <c r="URA50" s="16"/>
      <c r="URB50" s="16"/>
      <c r="URC50" s="16"/>
      <c r="URD50" s="16"/>
      <c r="URE50" s="16"/>
      <c r="URF50" s="16"/>
      <c r="URG50" s="16"/>
      <c r="URH50" s="16"/>
      <c r="URI50" s="16"/>
      <c r="URJ50" s="16"/>
      <c r="URK50" s="16"/>
      <c r="URL50" s="16"/>
      <c r="URM50" s="16"/>
      <c r="URN50" s="16"/>
      <c r="URO50" s="16"/>
      <c r="URP50" s="16"/>
      <c r="URQ50" s="16"/>
      <c r="URR50" s="16"/>
      <c r="URS50" s="16"/>
      <c r="URT50" s="16"/>
      <c r="URU50" s="16"/>
      <c r="URV50" s="16"/>
      <c r="URW50" s="16"/>
      <c r="URX50" s="16"/>
      <c r="URY50" s="16"/>
      <c r="URZ50" s="16"/>
      <c r="USA50" s="16"/>
      <c r="USB50" s="16"/>
      <c r="USC50" s="16"/>
      <c r="USD50" s="16"/>
      <c r="USE50" s="16"/>
      <c r="USF50" s="16"/>
      <c r="USG50" s="16"/>
      <c r="USH50" s="16"/>
      <c r="USI50" s="16"/>
      <c r="USJ50" s="16"/>
      <c r="USK50" s="16"/>
      <c r="USL50" s="16"/>
      <c r="USM50" s="16"/>
      <c r="USN50" s="16"/>
      <c r="USO50" s="16"/>
      <c r="USP50" s="16"/>
      <c r="USQ50" s="16"/>
      <c r="USR50" s="16"/>
      <c r="USS50" s="16"/>
      <c r="UST50" s="16"/>
      <c r="USU50" s="16"/>
      <c r="USV50" s="16"/>
      <c r="USW50" s="16"/>
      <c r="USX50" s="16"/>
      <c r="USY50" s="16"/>
      <c r="USZ50" s="16"/>
      <c r="UTA50" s="16"/>
      <c r="UTB50" s="16"/>
      <c r="UTC50" s="16"/>
      <c r="UTD50" s="16"/>
      <c r="UTE50" s="16"/>
      <c r="UTF50" s="16"/>
      <c r="UTG50" s="16"/>
      <c r="UTH50" s="16"/>
      <c r="UTI50" s="16"/>
      <c r="UTJ50" s="16"/>
      <c r="UTK50" s="16"/>
      <c r="UTL50" s="16"/>
      <c r="UTM50" s="16"/>
      <c r="UTN50" s="16"/>
      <c r="UTO50" s="16"/>
      <c r="UTP50" s="16"/>
      <c r="UTQ50" s="16"/>
      <c r="UTR50" s="16"/>
      <c r="UTS50" s="16"/>
      <c r="UTT50" s="16"/>
      <c r="UTU50" s="16"/>
      <c r="UTV50" s="16"/>
      <c r="UTW50" s="16"/>
      <c r="UTX50" s="16"/>
      <c r="UTY50" s="16"/>
      <c r="UTZ50" s="16"/>
      <c r="UUA50" s="16"/>
      <c r="UUB50" s="16"/>
      <c r="UUC50" s="16"/>
      <c r="UUD50" s="16"/>
      <c r="UUE50" s="16"/>
      <c r="UUF50" s="16"/>
      <c r="UUG50" s="16"/>
      <c r="UUH50" s="16"/>
      <c r="UUI50" s="16"/>
      <c r="UUJ50" s="16"/>
      <c r="UUK50" s="16"/>
      <c r="UUL50" s="16"/>
      <c r="UUM50" s="16"/>
      <c r="UUN50" s="16"/>
      <c r="UUO50" s="16"/>
      <c r="UUP50" s="16"/>
      <c r="UUQ50" s="16"/>
      <c r="UUR50" s="16"/>
      <c r="UUS50" s="16"/>
      <c r="UUT50" s="16"/>
      <c r="UUU50" s="16"/>
      <c r="UUV50" s="16"/>
      <c r="UUW50" s="16"/>
      <c r="UUX50" s="16"/>
      <c r="UUY50" s="16"/>
      <c r="UUZ50" s="16"/>
      <c r="UVA50" s="16"/>
      <c r="UVB50" s="16"/>
      <c r="UVC50" s="16"/>
      <c r="UVD50" s="16"/>
      <c r="UVE50" s="16"/>
      <c r="UVF50" s="16"/>
      <c r="UVG50" s="16"/>
      <c r="UVH50" s="16"/>
      <c r="UVI50" s="16"/>
      <c r="UVJ50" s="16"/>
      <c r="UVK50" s="16"/>
      <c r="UVL50" s="16"/>
      <c r="UVM50" s="16"/>
      <c r="UVN50" s="16"/>
      <c r="UVO50" s="16"/>
      <c r="UVP50" s="16"/>
      <c r="UVQ50" s="16"/>
      <c r="UVR50" s="16"/>
      <c r="UVS50" s="16"/>
      <c r="UVT50" s="16"/>
      <c r="UVU50" s="16"/>
      <c r="UVV50" s="16"/>
      <c r="UVW50" s="16"/>
      <c r="UVX50" s="16"/>
      <c r="UVY50" s="16"/>
      <c r="UVZ50" s="16"/>
      <c r="UWA50" s="16"/>
      <c r="UWB50" s="16"/>
      <c r="UWC50" s="16"/>
      <c r="UWD50" s="16"/>
      <c r="UWE50" s="16"/>
      <c r="UWF50" s="16"/>
      <c r="UWG50" s="16"/>
      <c r="UWH50" s="16"/>
      <c r="UWI50" s="16"/>
      <c r="UWJ50" s="16"/>
      <c r="UWK50" s="16"/>
      <c r="UWL50" s="16"/>
      <c r="UWM50" s="16"/>
      <c r="UWN50" s="16"/>
      <c r="UWO50" s="16"/>
      <c r="UWP50" s="16"/>
      <c r="UWQ50" s="16"/>
      <c r="UWR50" s="16"/>
      <c r="UWS50" s="16"/>
      <c r="UWT50" s="16"/>
      <c r="UWU50" s="16"/>
      <c r="UWV50" s="16"/>
      <c r="UWW50" s="16"/>
      <c r="UWX50" s="16"/>
      <c r="UWY50" s="16"/>
      <c r="UWZ50" s="16"/>
      <c r="UXA50" s="16"/>
      <c r="UXB50" s="16"/>
      <c r="UXC50" s="16"/>
      <c r="UXD50" s="16"/>
      <c r="UXE50" s="16"/>
      <c r="UXF50" s="16"/>
      <c r="UXG50" s="16"/>
      <c r="UXH50" s="16"/>
      <c r="UXI50" s="16"/>
      <c r="UXJ50" s="16"/>
      <c r="UXK50" s="16"/>
      <c r="UXL50" s="16"/>
      <c r="UXM50" s="16"/>
      <c r="UXN50" s="16"/>
      <c r="UXO50" s="16"/>
      <c r="UXP50" s="16"/>
      <c r="UXQ50" s="16"/>
      <c r="UXR50" s="16"/>
      <c r="UXS50" s="16"/>
      <c r="UXT50" s="16"/>
      <c r="UXU50" s="16"/>
      <c r="UXV50" s="16"/>
      <c r="UXW50" s="16"/>
      <c r="UXX50" s="16"/>
      <c r="UXY50" s="16"/>
      <c r="UXZ50" s="16"/>
      <c r="UYA50" s="16"/>
      <c r="UYB50" s="16"/>
      <c r="UYC50" s="16"/>
      <c r="UYD50" s="16"/>
      <c r="UYE50" s="16"/>
      <c r="UYF50" s="16"/>
      <c r="UYG50" s="16"/>
      <c r="UYH50" s="16"/>
      <c r="UYI50" s="16"/>
      <c r="UYJ50" s="16"/>
      <c r="UYK50" s="16"/>
      <c r="UYL50" s="16"/>
      <c r="UYM50" s="16"/>
      <c r="UYN50" s="16"/>
      <c r="UYO50" s="16"/>
      <c r="UYP50" s="16"/>
      <c r="UYQ50" s="16"/>
      <c r="UYR50" s="16"/>
      <c r="UYS50" s="16"/>
      <c r="UYT50" s="16"/>
      <c r="UYU50" s="16"/>
      <c r="UYV50" s="16"/>
      <c r="UYW50" s="16"/>
      <c r="UYX50" s="16"/>
      <c r="UYY50" s="16"/>
      <c r="UYZ50" s="16"/>
      <c r="UZA50" s="16"/>
      <c r="UZB50" s="16"/>
      <c r="UZC50" s="16"/>
      <c r="UZD50" s="16"/>
      <c r="UZE50" s="16"/>
      <c r="UZF50" s="16"/>
      <c r="UZG50" s="16"/>
      <c r="UZH50" s="16"/>
      <c r="UZI50" s="16"/>
      <c r="UZJ50" s="16"/>
      <c r="UZK50" s="16"/>
      <c r="UZL50" s="16"/>
      <c r="UZM50" s="16"/>
      <c r="UZN50" s="16"/>
      <c r="UZO50" s="16"/>
      <c r="UZP50" s="16"/>
      <c r="UZQ50" s="16"/>
      <c r="UZR50" s="16"/>
      <c r="UZS50" s="16"/>
      <c r="UZT50" s="16"/>
      <c r="UZU50" s="16"/>
      <c r="UZV50" s="16"/>
      <c r="UZW50" s="16"/>
      <c r="UZX50" s="16"/>
      <c r="UZY50" s="16"/>
      <c r="UZZ50" s="16"/>
      <c r="VAA50" s="16"/>
      <c r="VAB50" s="16"/>
      <c r="VAC50" s="16"/>
      <c r="VAD50" s="16"/>
      <c r="VAE50" s="16"/>
      <c r="VAF50" s="16"/>
      <c r="VAG50" s="16"/>
      <c r="VAH50" s="16"/>
      <c r="VAI50" s="16"/>
      <c r="VAJ50" s="16"/>
      <c r="VAK50" s="16"/>
      <c r="VAL50" s="16"/>
      <c r="VAM50" s="16"/>
      <c r="VAN50" s="16"/>
      <c r="VAO50" s="16"/>
      <c r="VAP50" s="16"/>
      <c r="VAQ50" s="16"/>
      <c r="VAR50" s="16"/>
      <c r="VAS50" s="16"/>
      <c r="VAT50" s="16"/>
      <c r="VAU50" s="16"/>
      <c r="VAV50" s="16"/>
      <c r="VAW50" s="16"/>
      <c r="VAX50" s="16"/>
      <c r="VAY50" s="16"/>
      <c r="VAZ50" s="16"/>
      <c r="VBA50" s="16"/>
      <c r="VBB50" s="16"/>
      <c r="VBC50" s="16"/>
      <c r="VBD50" s="16"/>
      <c r="VBE50" s="16"/>
      <c r="VBF50" s="16"/>
      <c r="VBG50" s="16"/>
      <c r="VBH50" s="16"/>
      <c r="VBI50" s="16"/>
      <c r="VBJ50" s="16"/>
      <c r="VBK50" s="16"/>
      <c r="VBL50" s="16"/>
      <c r="VBM50" s="16"/>
      <c r="VBN50" s="16"/>
      <c r="VBO50" s="16"/>
      <c r="VBP50" s="16"/>
      <c r="VBQ50" s="16"/>
      <c r="VBR50" s="16"/>
      <c r="VBS50" s="16"/>
      <c r="VBT50" s="16"/>
      <c r="VBU50" s="16"/>
      <c r="VBV50" s="16"/>
      <c r="VBW50" s="16"/>
      <c r="VBX50" s="16"/>
      <c r="VBY50" s="16"/>
      <c r="VBZ50" s="16"/>
      <c r="VCA50" s="16"/>
      <c r="VCB50" s="16"/>
      <c r="VCC50" s="16"/>
      <c r="VCD50" s="16"/>
      <c r="VCE50" s="16"/>
      <c r="VCF50" s="16"/>
      <c r="VCG50" s="16"/>
      <c r="VCH50" s="16"/>
      <c r="VCI50" s="16"/>
      <c r="VCJ50" s="16"/>
      <c r="VCK50" s="16"/>
      <c r="VCL50" s="16"/>
      <c r="VCM50" s="16"/>
      <c r="VCN50" s="16"/>
      <c r="VCO50" s="16"/>
      <c r="VCP50" s="16"/>
      <c r="VCQ50" s="16"/>
      <c r="VCR50" s="16"/>
      <c r="VCS50" s="16"/>
      <c r="VCT50" s="16"/>
      <c r="VCU50" s="16"/>
      <c r="VCV50" s="16"/>
      <c r="VCW50" s="16"/>
      <c r="VCX50" s="16"/>
      <c r="VCY50" s="16"/>
      <c r="VCZ50" s="16"/>
      <c r="VDA50" s="16"/>
      <c r="VDB50" s="16"/>
      <c r="VDC50" s="16"/>
      <c r="VDD50" s="16"/>
      <c r="VDE50" s="16"/>
      <c r="VDF50" s="16"/>
      <c r="VDG50" s="16"/>
      <c r="VDH50" s="16"/>
      <c r="VDI50" s="16"/>
      <c r="VDJ50" s="16"/>
      <c r="VDK50" s="16"/>
      <c r="VDL50" s="16"/>
      <c r="VDM50" s="16"/>
      <c r="VDN50" s="16"/>
      <c r="VDO50" s="16"/>
      <c r="VDP50" s="16"/>
      <c r="VDQ50" s="16"/>
      <c r="VDR50" s="16"/>
      <c r="VDS50" s="16"/>
      <c r="VDT50" s="16"/>
      <c r="VDU50" s="16"/>
      <c r="VDV50" s="16"/>
      <c r="VDW50" s="16"/>
      <c r="VDX50" s="16"/>
      <c r="VDY50" s="16"/>
      <c r="VDZ50" s="16"/>
      <c r="VEA50" s="16"/>
      <c r="VEB50" s="16"/>
      <c r="VEC50" s="16"/>
      <c r="VED50" s="16"/>
      <c r="VEE50" s="16"/>
      <c r="VEF50" s="16"/>
      <c r="VEG50" s="16"/>
      <c r="VEH50" s="16"/>
      <c r="VEI50" s="16"/>
      <c r="VEJ50" s="16"/>
      <c r="VEK50" s="16"/>
      <c r="VEL50" s="16"/>
      <c r="VEM50" s="16"/>
      <c r="VEN50" s="16"/>
      <c r="VEO50" s="16"/>
      <c r="VEP50" s="16"/>
      <c r="VEQ50" s="16"/>
      <c r="VER50" s="16"/>
      <c r="VES50" s="16"/>
      <c r="VET50" s="16"/>
      <c r="VEU50" s="16"/>
      <c r="VEV50" s="16"/>
      <c r="VEW50" s="16"/>
      <c r="VEX50" s="16"/>
      <c r="VEY50" s="16"/>
      <c r="VEZ50" s="16"/>
      <c r="VFA50" s="16"/>
      <c r="VFB50" s="16"/>
      <c r="VFC50" s="16"/>
      <c r="VFD50" s="16"/>
      <c r="VFE50" s="16"/>
      <c r="VFF50" s="16"/>
      <c r="VFG50" s="16"/>
      <c r="VFH50" s="16"/>
      <c r="VFI50" s="16"/>
      <c r="VFJ50" s="16"/>
      <c r="VFK50" s="16"/>
      <c r="VFL50" s="16"/>
      <c r="VFM50" s="16"/>
      <c r="VFN50" s="16"/>
      <c r="VFO50" s="16"/>
      <c r="VFP50" s="16"/>
      <c r="VFQ50" s="16"/>
      <c r="VFR50" s="16"/>
      <c r="VFS50" s="16"/>
      <c r="VFT50" s="16"/>
      <c r="VFU50" s="16"/>
      <c r="VFV50" s="16"/>
      <c r="VFW50" s="16"/>
      <c r="VFX50" s="16"/>
      <c r="VFY50" s="16"/>
      <c r="VFZ50" s="16"/>
      <c r="VGA50" s="16"/>
      <c r="VGB50" s="16"/>
      <c r="VGC50" s="16"/>
      <c r="VGD50" s="16"/>
      <c r="VGE50" s="16"/>
      <c r="VGF50" s="16"/>
      <c r="VGG50" s="16"/>
      <c r="VGH50" s="16"/>
      <c r="VGI50" s="16"/>
      <c r="VGJ50" s="16"/>
      <c r="VGK50" s="16"/>
      <c r="VGL50" s="16"/>
      <c r="VGM50" s="16"/>
      <c r="VGN50" s="16"/>
      <c r="VGO50" s="16"/>
      <c r="VGP50" s="16"/>
      <c r="VGQ50" s="16"/>
      <c r="VGR50" s="16"/>
      <c r="VGS50" s="16"/>
      <c r="VGT50" s="16"/>
      <c r="VGU50" s="16"/>
      <c r="VGV50" s="16"/>
      <c r="VGW50" s="16"/>
      <c r="VGX50" s="16"/>
      <c r="VGY50" s="16"/>
      <c r="VGZ50" s="16"/>
      <c r="VHA50" s="16"/>
      <c r="VHB50" s="16"/>
      <c r="VHC50" s="16"/>
      <c r="VHD50" s="16"/>
      <c r="VHE50" s="16"/>
      <c r="VHF50" s="16"/>
      <c r="VHG50" s="16"/>
      <c r="VHH50" s="16"/>
      <c r="VHI50" s="16"/>
      <c r="VHJ50" s="16"/>
      <c r="VHK50" s="16"/>
      <c r="VHL50" s="16"/>
      <c r="VHM50" s="16"/>
      <c r="VHN50" s="16"/>
      <c r="VHO50" s="16"/>
      <c r="VHP50" s="16"/>
      <c r="VHQ50" s="16"/>
      <c r="VHR50" s="16"/>
      <c r="VHS50" s="16"/>
      <c r="VHT50" s="16"/>
      <c r="VHU50" s="16"/>
      <c r="VHV50" s="16"/>
      <c r="VHW50" s="16"/>
      <c r="VHX50" s="16"/>
      <c r="VHY50" s="16"/>
      <c r="VHZ50" s="16"/>
      <c r="VIA50" s="16"/>
      <c r="VIB50" s="16"/>
      <c r="VIC50" s="16"/>
      <c r="VID50" s="16"/>
      <c r="VIE50" s="16"/>
      <c r="VIF50" s="16"/>
      <c r="VIG50" s="16"/>
      <c r="VIH50" s="16"/>
      <c r="VII50" s="16"/>
      <c r="VIJ50" s="16"/>
      <c r="VIK50" s="16"/>
      <c r="VIL50" s="16"/>
      <c r="VIM50" s="16"/>
      <c r="VIN50" s="16"/>
      <c r="VIO50" s="16"/>
      <c r="VIP50" s="16"/>
      <c r="VIQ50" s="16"/>
      <c r="VIR50" s="16"/>
      <c r="VIS50" s="16"/>
      <c r="VIT50" s="16"/>
      <c r="VIU50" s="16"/>
      <c r="VIV50" s="16"/>
      <c r="VIW50" s="16"/>
      <c r="VIX50" s="16"/>
      <c r="VIY50" s="16"/>
      <c r="VIZ50" s="16"/>
      <c r="VJA50" s="16"/>
      <c r="VJB50" s="16"/>
      <c r="VJC50" s="16"/>
      <c r="VJD50" s="16"/>
      <c r="VJE50" s="16"/>
      <c r="VJF50" s="16"/>
      <c r="VJG50" s="16"/>
      <c r="VJH50" s="16"/>
      <c r="VJI50" s="16"/>
      <c r="VJJ50" s="16"/>
      <c r="VJK50" s="16"/>
      <c r="VJL50" s="16"/>
      <c r="VJM50" s="16"/>
      <c r="VJN50" s="16"/>
      <c r="VJO50" s="16"/>
      <c r="VJP50" s="16"/>
      <c r="VJQ50" s="16"/>
      <c r="VJR50" s="16"/>
      <c r="VJS50" s="16"/>
      <c r="VJT50" s="16"/>
      <c r="VJU50" s="16"/>
      <c r="VJV50" s="16"/>
      <c r="VJW50" s="16"/>
      <c r="VJX50" s="16"/>
      <c r="VJY50" s="16"/>
      <c r="VJZ50" s="16"/>
      <c r="VKA50" s="16"/>
      <c r="VKB50" s="16"/>
      <c r="VKC50" s="16"/>
      <c r="VKD50" s="16"/>
      <c r="VKE50" s="16"/>
      <c r="VKF50" s="16"/>
      <c r="VKG50" s="16"/>
      <c r="VKH50" s="16"/>
      <c r="VKI50" s="16"/>
      <c r="VKJ50" s="16"/>
      <c r="VKK50" s="16"/>
      <c r="VKL50" s="16"/>
      <c r="VKM50" s="16"/>
      <c r="VKN50" s="16"/>
      <c r="VKO50" s="16"/>
      <c r="VKP50" s="16"/>
      <c r="VKQ50" s="16"/>
      <c r="VKR50" s="16"/>
      <c r="VKS50" s="16"/>
      <c r="VKT50" s="16"/>
      <c r="VKU50" s="16"/>
      <c r="VKV50" s="16"/>
      <c r="VKW50" s="16"/>
      <c r="VKX50" s="16"/>
      <c r="VKY50" s="16"/>
      <c r="VKZ50" s="16"/>
      <c r="VLA50" s="16"/>
      <c r="VLB50" s="16"/>
      <c r="VLC50" s="16"/>
      <c r="VLD50" s="16"/>
      <c r="VLE50" s="16"/>
      <c r="VLF50" s="16"/>
      <c r="VLG50" s="16"/>
      <c r="VLH50" s="16"/>
      <c r="VLI50" s="16"/>
      <c r="VLJ50" s="16"/>
      <c r="VLK50" s="16"/>
      <c r="VLL50" s="16"/>
      <c r="VLM50" s="16"/>
      <c r="VLN50" s="16"/>
      <c r="VLO50" s="16"/>
      <c r="VLP50" s="16"/>
      <c r="VLQ50" s="16"/>
      <c r="VLR50" s="16"/>
      <c r="VLS50" s="16"/>
      <c r="VLT50" s="16"/>
      <c r="VLU50" s="16"/>
      <c r="VLV50" s="16"/>
      <c r="VLW50" s="16"/>
      <c r="VLX50" s="16"/>
      <c r="VLY50" s="16"/>
      <c r="VLZ50" s="16"/>
      <c r="VMA50" s="16"/>
      <c r="VMB50" s="16"/>
      <c r="VMC50" s="16"/>
      <c r="VMD50" s="16"/>
      <c r="VME50" s="16"/>
      <c r="VMF50" s="16"/>
      <c r="VMG50" s="16"/>
      <c r="VMH50" s="16"/>
      <c r="VMI50" s="16"/>
      <c r="VMJ50" s="16"/>
      <c r="VMK50" s="16"/>
      <c r="VML50" s="16"/>
      <c r="VMM50" s="16"/>
      <c r="VMN50" s="16"/>
      <c r="VMO50" s="16"/>
      <c r="VMP50" s="16"/>
      <c r="VMQ50" s="16"/>
      <c r="VMR50" s="16"/>
      <c r="VMS50" s="16"/>
      <c r="VMT50" s="16"/>
      <c r="VMU50" s="16"/>
      <c r="VMV50" s="16"/>
      <c r="VMW50" s="16"/>
      <c r="VMX50" s="16"/>
      <c r="VMY50" s="16"/>
      <c r="VMZ50" s="16"/>
      <c r="VNA50" s="16"/>
      <c r="VNB50" s="16"/>
      <c r="VNC50" s="16"/>
      <c r="VND50" s="16"/>
      <c r="VNE50" s="16"/>
      <c r="VNF50" s="16"/>
      <c r="VNG50" s="16"/>
      <c r="VNH50" s="16"/>
      <c r="VNI50" s="16"/>
      <c r="VNJ50" s="16"/>
      <c r="VNK50" s="16"/>
      <c r="VNL50" s="16"/>
      <c r="VNM50" s="16"/>
      <c r="VNN50" s="16"/>
      <c r="VNO50" s="16"/>
      <c r="VNP50" s="16"/>
      <c r="VNQ50" s="16"/>
      <c r="VNR50" s="16"/>
      <c r="VNS50" s="16"/>
      <c r="VNT50" s="16"/>
      <c r="VNU50" s="16"/>
      <c r="VNV50" s="16"/>
      <c r="VNW50" s="16"/>
      <c r="VNX50" s="16"/>
      <c r="VNY50" s="16"/>
      <c r="VNZ50" s="16"/>
      <c r="VOA50" s="16"/>
      <c r="VOB50" s="16"/>
      <c r="VOC50" s="16"/>
      <c r="VOD50" s="16"/>
      <c r="VOE50" s="16"/>
      <c r="VOF50" s="16"/>
      <c r="VOG50" s="16"/>
      <c r="VOH50" s="16"/>
      <c r="VOI50" s="16"/>
      <c r="VOJ50" s="16"/>
      <c r="VOK50" s="16"/>
      <c r="VOL50" s="16"/>
      <c r="VOM50" s="16"/>
      <c r="VON50" s="16"/>
      <c r="VOO50" s="16"/>
      <c r="VOP50" s="16"/>
      <c r="VOQ50" s="16"/>
      <c r="VOR50" s="16"/>
      <c r="VOS50" s="16"/>
      <c r="VOT50" s="16"/>
      <c r="VOU50" s="16"/>
      <c r="VOV50" s="16"/>
      <c r="VOW50" s="16"/>
      <c r="VOX50" s="16"/>
      <c r="VOY50" s="16"/>
      <c r="VOZ50" s="16"/>
      <c r="VPA50" s="16"/>
      <c r="VPB50" s="16"/>
      <c r="VPC50" s="16"/>
      <c r="VPD50" s="16"/>
      <c r="VPE50" s="16"/>
      <c r="VPF50" s="16"/>
      <c r="VPG50" s="16"/>
      <c r="VPH50" s="16"/>
      <c r="VPI50" s="16"/>
      <c r="VPJ50" s="16"/>
      <c r="VPK50" s="16"/>
      <c r="VPL50" s="16"/>
      <c r="VPM50" s="16"/>
      <c r="VPN50" s="16"/>
      <c r="VPO50" s="16"/>
      <c r="VPP50" s="16"/>
      <c r="VPQ50" s="16"/>
      <c r="VPR50" s="16"/>
      <c r="VPS50" s="16"/>
      <c r="VPT50" s="16"/>
      <c r="VPU50" s="16"/>
      <c r="VPV50" s="16"/>
      <c r="VPW50" s="16"/>
      <c r="VPX50" s="16"/>
      <c r="VPY50" s="16"/>
      <c r="VPZ50" s="16"/>
      <c r="VQA50" s="16"/>
      <c r="VQB50" s="16"/>
      <c r="VQC50" s="16"/>
      <c r="VQD50" s="16"/>
      <c r="VQE50" s="16"/>
      <c r="VQF50" s="16"/>
      <c r="VQG50" s="16"/>
      <c r="VQH50" s="16"/>
      <c r="VQI50" s="16"/>
      <c r="VQJ50" s="16"/>
      <c r="VQK50" s="16"/>
      <c r="VQL50" s="16"/>
      <c r="VQM50" s="16"/>
      <c r="VQN50" s="16"/>
      <c r="VQO50" s="16"/>
      <c r="VQP50" s="16"/>
      <c r="VQQ50" s="16"/>
      <c r="VQR50" s="16"/>
      <c r="VQS50" s="16"/>
      <c r="VQT50" s="16"/>
      <c r="VQU50" s="16"/>
      <c r="VQV50" s="16"/>
      <c r="VQW50" s="16"/>
      <c r="VQX50" s="16"/>
      <c r="VQY50" s="16"/>
      <c r="VQZ50" s="16"/>
      <c r="VRA50" s="16"/>
      <c r="VRB50" s="16"/>
      <c r="VRC50" s="16"/>
      <c r="VRD50" s="16"/>
      <c r="VRE50" s="16"/>
      <c r="VRF50" s="16"/>
      <c r="VRG50" s="16"/>
      <c r="VRH50" s="16"/>
      <c r="VRI50" s="16"/>
      <c r="VRJ50" s="16"/>
      <c r="VRK50" s="16"/>
      <c r="VRL50" s="16"/>
      <c r="VRM50" s="16"/>
      <c r="VRN50" s="16"/>
      <c r="VRO50" s="16"/>
      <c r="VRP50" s="16"/>
      <c r="VRQ50" s="16"/>
      <c r="VRR50" s="16"/>
      <c r="VRS50" s="16"/>
      <c r="VRT50" s="16"/>
      <c r="VRU50" s="16"/>
      <c r="VRV50" s="16"/>
      <c r="VRW50" s="16"/>
      <c r="VRX50" s="16"/>
      <c r="VRY50" s="16"/>
      <c r="VRZ50" s="16"/>
      <c r="VSA50" s="16"/>
      <c r="VSB50" s="16"/>
      <c r="VSC50" s="16"/>
      <c r="VSD50" s="16"/>
      <c r="VSE50" s="16"/>
      <c r="VSF50" s="16"/>
      <c r="VSG50" s="16"/>
      <c r="VSH50" s="16"/>
      <c r="VSI50" s="16"/>
      <c r="VSJ50" s="16"/>
      <c r="VSK50" s="16"/>
      <c r="VSL50" s="16"/>
      <c r="VSM50" s="16"/>
      <c r="VSN50" s="16"/>
      <c r="VSO50" s="16"/>
      <c r="VSP50" s="16"/>
      <c r="VSQ50" s="16"/>
      <c r="VSR50" s="16"/>
      <c r="VSS50" s="16"/>
      <c r="VST50" s="16"/>
      <c r="VSU50" s="16"/>
      <c r="VSV50" s="16"/>
      <c r="VSW50" s="16"/>
      <c r="VSX50" s="16"/>
      <c r="VSY50" s="16"/>
      <c r="VSZ50" s="16"/>
      <c r="VTA50" s="16"/>
      <c r="VTB50" s="16"/>
      <c r="VTC50" s="16"/>
      <c r="VTD50" s="16"/>
      <c r="VTE50" s="16"/>
      <c r="VTF50" s="16"/>
      <c r="VTG50" s="16"/>
      <c r="VTH50" s="16"/>
      <c r="VTI50" s="16"/>
      <c r="VTJ50" s="16"/>
      <c r="VTK50" s="16"/>
      <c r="VTL50" s="16"/>
      <c r="VTM50" s="16"/>
      <c r="VTN50" s="16"/>
      <c r="VTO50" s="16"/>
      <c r="VTP50" s="16"/>
      <c r="VTQ50" s="16"/>
      <c r="VTR50" s="16"/>
      <c r="VTS50" s="16"/>
      <c r="VTT50" s="16"/>
      <c r="VTU50" s="16"/>
      <c r="VTV50" s="16"/>
      <c r="VTW50" s="16"/>
      <c r="VTX50" s="16"/>
      <c r="VTY50" s="16"/>
      <c r="VTZ50" s="16"/>
      <c r="VUA50" s="16"/>
      <c r="VUB50" s="16"/>
      <c r="VUC50" s="16"/>
      <c r="VUD50" s="16"/>
      <c r="VUE50" s="16"/>
      <c r="VUF50" s="16"/>
      <c r="VUG50" s="16"/>
      <c r="VUH50" s="16"/>
      <c r="VUI50" s="16"/>
      <c r="VUJ50" s="16"/>
      <c r="VUK50" s="16"/>
      <c r="VUL50" s="16"/>
      <c r="VUM50" s="16"/>
      <c r="VUN50" s="16"/>
      <c r="VUO50" s="16"/>
      <c r="VUP50" s="16"/>
      <c r="VUQ50" s="16"/>
      <c r="VUR50" s="16"/>
      <c r="VUS50" s="16"/>
      <c r="VUT50" s="16"/>
      <c r="VUU50" s="16"/>
      <c r="VUV50" s="16"/>
      <c r="VUW50" s="16"/>
      <c r="VUX50" s="16"/>
      <c r="VUY50" s="16"/>
      <c r="VUZ50" s="16"/>
      <c r="VVA50" s="16"/>
      <c r="VVB50" s="16"/>
      <c r="VVC50" s="16"/>
      <c r="VVD50" s="16"/>
      <c r="VVE50" s="16"/>
      <c r="VVF50" s="16"/>
      <c r="VVG50" s="16"/>
      <c r="VVH50" s="16"/>
      <c r="VVI50" s="16"/>
      <c r="VVJ50" s="16"/>
      <c r="VVK50" s="16"/>
      <c r="VVL50" s="16"/>
      <c r="VVM50" s="16"/>
      <c r="VVN50" s="16"/>
      <c r="VVO50" s="16"/>
      <c r="VVP50" s="16"/>
      <c r="VVQ50" s="16"/>
      <c r="VVR50" s="16"/>
      <c r="VVS50" s="16"/>
      <c r="VVT50" s="16"/>
      <c r="VVU50" s="16"/>
      <c r="VVV50" s="16"/>
      <c r="VVW50" s="16"/>
      <c r="VVX50" s="16"/>
      <c r="VVY50" s="16"/>
      <c r="VVZ50" s="16"/>
      <c r="VWA50" s="16"/>
      <c r="VWB50" s="16"/>
      <c r="VWC50" s="16"/>
      <c r="VWD50" s="16"/>
      <c r="VWE50" s="16"/>
      <c r="VWF50" s="16"/>
      <c r="VWG50" s="16"/>
      <c r="VWH50" s="16"/>
      <c r="VWI50" s="16"/>
      <c r="VWJ50" s="16"/>
      <c r="VWK50" s="16"/>
      <c r="VWL50" s="16"/>
      <c r="VWM50" s="16"/>
      <c r="VWN50" s="16"/>
      <c r="VWO50" s="16"/>
      <c r="VWP50" s="16"/>
      <c r="VWQ50" s="16"/>
      <c r="VWR50" s="16"/>
      <c r="VWS50" s="16"/>
      <c r="VWT50" s="16"/>
      <c r="VWU50" s="16"/>
      <c r="VWV50" s="16"/>
      <c r="VWW50" s="16"/>
      <c r="VWX50" s="16"/>
      <c r="VWY50" s="16"/>
      <c r="VWZ50" s="16"/>
      <c r="VXA50" s="16"/>
      <c r="VXB50" s="16"/>
      <c r="VXC50" s="16"/>
      <c r="VXD50" s="16"/>
      <c r="VXE50" s="16"/>
      <c r="VXF50" s="16"/>
      <c r="VXG50" s="16"/>
      <c r="VXH50" s="16"/>
      <c r="VXI50" s="16"/>
      <c r="VXJ50" s="16"/>
      <c r="VXK50" s="16"/>
      <c r="VXL50" s="16"/>
      <c r="VXM50" s="16"/>
      <c r="VXN50" s="16"/>
      <c r="VXO50" s="16"/>
      <c r="VXP50" s="16"/>
      <c r="VXQ50" s="16"/>
      <c r="VXR50" s="16"/>
      <c r="VXS50" s="16"/>
      <c r="VXT50" s="16"/>
      <c r="VXU50" s="16"/>
      <c r="VXV50" s="16"/>
      <c r="VXW50" s="16"/>
      <c r="VXX50" s="16"/>
      <c r="VXY50" s="16"/>
      <c r="VXZ50" s="16"/>
      <c r="VYA50" s="16"/>
      <c r="VYB50" s="16"/>
      <c r="VYC50" s="16"/>
      <c r="VYD50" s="16"/>
      <c r="VYE50" s="16"/>
      <c r="VYF50" s="16"/>
      <c r="VYG50" s="16"/>
      <c r="VYH50" s="16"/>
      <c r="VYI50" s="16"/>
      <c r="VYJ50" s="16"/>
      <c r="VYK50" s="16"/>
      <c r="VYL50" s="16"/>
      <c r="VYM50" s="16"/>
      <c r="VYN50" s="16"/>
      <c r="VYO50" s="16"/>
      <c r="VYP50" s="16"/>
      <c r="VYQ50" s="16"/>
      <c r="VYR50" s="16"/>
      <c r="VYS50" s="16"/>
      <c r="VYT50" s="16"/>
      <c r="VYU50" s="16"/>
      <c r="VYV50" s="16"/>
      <c r="VYW50" s="16"/>
      <c r="VYX50" s="16"/>
      <c r="VYY50" s="16"/>
      <c r="VYZ50" s="16"/>
      <c r="VZA50" s="16"/>
      <c r="VZB50" s="16"/>
      <c r="VZC50" s="16"/>
      <c r="VZD50" s="16"/>
      <c r="VZE50" s="16"/>
      <c r="VZF50" s="16"/>
      <c r="VZG50" s="16"/>
      <c r="VZH50" s="16"/>
      <c r="VZI50" s="16"/>
      <c r="VZJ50" s="16"/>
      <c r="VZK50" s="16"/>
      <c r="VZL50" s="16"/>
      <c r="VZM50" s="16"/>
      <c r="VZN50" s="16"/>
      <c r="VZO50" s="16"/>
      <c r="VZP50" s="16"/>
      <c r="VZQ50" s="16"/>
      <c r="VZR50" s="16"/>
      <c r="VZS50" s="16"/>
      <c r="VZT50" s="16"/>
      <c r="VZU50" s="16"/>
      <c r="VZV50" s="16"/>
      <c r="VZW50" s="16"/>
      <c r="VZX50" s="16"/>
      <c r="VZY50" s="16"/>
      <c r="VZZ50" s="16"/>
      <c r="WAA50" s="16"/>
      <c r="WAB50" s="16"/>
      <c r="WAC50" s="16"/>
      <c r="WAD50" s="16"/>
      <c r="WAE50" s="16"/>
      <c r="WAF50" s="16"/>
      <c r="WAG50" s="16"/>
      <c r="WAH50" s="16"/>
      <c r="WAI50" s="16"/>
      <c r="WAJ50" s="16"/>
      <c r="WAK50" s="16"/>
      <c r="WAL50" s="16"/>
      <c r="WAM50" s="16"/>
      <c r="WAN50" s="16"/>
      <c r="WAO50" s="16"/>
      <c r="WAP50" s="16"/>
      <c r="WAQ50" s="16"/>
      <c r="WAR50" s="16"/>
      <c r="WAS50" s="16"/>
      <c r="WAT50" s="16"/>
      <c r="WAU50" s="16"/>
      <c r="WAV50" s="16"/>
      <c r="WAW50" s="16"/>
      <c r="WAX50" s="16"/>
      <c r="WAY50" s="16"/>
      <c r="WAZ50" s="16"/>
      <c r="WBA50" s="16"/>
      <c r="WBB50" s="16"/>
      <c r="WBC50" s="16"/>
      <c r="WBD50" s="16"/>
      <c r="WBE50" s="16"/>
      <c r="WBF50" s="16"/>
      <c r="WBG50" s="16"/>
      <c r="WBH50" s="16"/>
      <c r="WBI50" s="16"/>
      <c r="WBJ50" s="16"/>
      <c r="WBK50" s="16"/>
      <c r="WBL50" s="16"/>
      <c r="WBM50" s="16"/>
      <c r="WBN50" s="16"/>
      <c r="WBO50" s="16"/>
      <c r="WBP50" s="16"/>
      <c r="WBQ50" s="16"/>
      <c r="WBR50" s="16"/>
      <c r="WBS50" s="16"/>
      <c r="WBT50" s="16"/>
      <c r="WBU50" s="16"/>
      <c r="WBV50" s="16"/>
      <c r="WBW50" s="16"/>
      <c r="WBX50" s="16"/>
      <c r="WBY50" s="16"/>
      <c r="WBZ50" s="16"/>
      <c r="WCA50" s="16"/>
      <c r="WCB50" s="16"/>
      <c r="WCC50" s="16"/>
      <c r="WCD50" s="16"/>
      <c r="WCE50" s="16"/>
      <c r="WCF50" s="16"/>
      <c r="WCG50" s="16"/>
      <c r="WCH50" s="16"/>
      <c r="WCI50" s="16"/>
      <c r="WCJ50" s="16"/>
      <c r="WCK50" s="16"/>
      <c r="WCL50" s="16"/>
      <c r="WCM50" s="16"/>
      <c r="WCN50" s="16"/>
      <c r="WCO50" s="16"/>
      <c r="WCP50" s="16"/>
      <c r="WCQ50" s="16"/>
      <c r="WCR50" s="16"/>
      <c r="WCS50" s="16"/>
      <c r="WCT50" s="16"/>
      <c r="WCU50" s="16"/>
      <c r="WCV50" s="16"/>
      <c r="WCW50" s="16"/>
      <c r="WCX50" s="16"/>
      <c r="WCY50" s="16"/>
      <c r="WCZ50" s="16"/>
      <c r="WDA50" s="16"/>
      <c r="WDB50" s="16"/>
      <c r="WDC50" s="16"/>
      <c r="WDD50" s="16"/>
      <c r="WDE50" s="16"/>
      <c r="WDF50" s="16"/>
      <c r="WDG50" s="16"/>
      <c r="WDH50" s="16"/>
      <c r="WDI50" s="16"/>
      <c r="WDJ50" s="16"/>
      <c r="WDK50" s="16"/>
      <c r="WDL50" s="16"/>
      <c r="WDM50" s="16"/>
      <c r="WDN50" s="16"/>
      <c r="WDO50" s="16"/>
      <c r="WDP50" s="16"/>
      <c r="WDQ50" s="16"/>
      <c r="WDR50" s="16"/>
      <c r="WDS50" s="16"/>
      <c r="WDT50" s="16"/>
      <c r="WDU50" s="16"/>
      <c r="WDV50" s="16"/>
      <c r="WDW50" s="16"/>
      <c r="WDX50" s="16"/>
      <c r="WDY50" s="16"/>
      <c r="WDZ50" s="16"/>
      <c r="WEA50" s="16"/>
      <c r="WEB50" s="16"/>
      <c r="WEC50" s="16"/>
      <c r="WED50" s="16"/>
      <c r="WEE50" s="16"/>
      <c r="WEF50" s="16"/>
      <c r="WEG50" s="16"/>
      <c r="WEH50" s="16"/>
      <c r="WEI50" s="16"/>
      <c r="WEJ50" s="16"/>
      <c r="WEK50" s="16"/>
      <c r="WEL50" s="16"/>
      <c r="WEM50" s="16"/>
      <c r="WEN50" s="16"/>
      <c r="WEO50" s="16"/>
      <c r="WEP50" s="16"/>
      <c r="WEQ50" s="16"/>
      <c r="WER50" s="16"/>
      <c r="WES50" s="16"/>
      <c r="WET50" s="16"/>
      <c r="WEU50" s="16"/>
      <c r="WEV50" s="16"/>
      <c r="WEW50" s="16"/>
      <c r="WEX50" s="16"/>
      <c r="WEY50" s="16"/>
      <c r="WEZ50" s="16"/>
      <c r="WFA50" s="16"/>
      <c r="WFB50" s="16"/>
      <c r="WFC50" s="16"/>
      <c r="WFD50" s="16"/>
      <c r="WFE50" s="16"/>
      <c r="WFF50" s="16"/>
      <c r="WFG50" s="16"/>
      <c r="WFH50" s="16"/>
      <c r="WFI50" s="16"/>
      <c r="WFJ50" s="16"/>
      <c r="WFK50" s="16"/>
      <c r="WFL50" s="16"/>
      <c r="WFM50" s="16"/>
      <c r="WFN50" s="16"/>
      <c r="WFO50" s="16"/>
      <c r="WFP50" s="16"/>
      <c r="WFQ50" s="16"/>
      <c r="WFR50" s="16"/>
      <c r="WFS50" s="16"/>
      <c r="WFT50" s="16"/>
      <c r="WFU50" s="16"/>
      <c r="WFV50" s="16"/>
      <c r="WFW50" s="16"/>
      <c r="WFX50" s="16"/>
      <c r="WFY50" s="16"/>
      <c r="WFZ50" s="16"/>
      <c r="WGA50" s="16"/>
      <c r="WGB50" s="16"/>
      <c r="WGC50" s="16"/>
      <c r="WGD50" s="16"/>
      <c r="WGE50" s="16"/>
      <c r="WGF50" s="16"/>
      <c r="WGG50" s="16"/>
      <c r="WGH50" s="16"/>
      <c r="WGI50" s="16"/>
      <c r="WGJ50" s="16"/>
      <c r="WGK50" s="16"/>
      <c r="WGL50" s="16"/>
      <c r="WGM50" s="16"/>
      <c r="WGN50" s="16"/>
      <c r="WGO50" s="16"/>
      <c r="WGP50" s="16"/>
      <c r="WGQ50" s="16"/>
      <c r="WGR50" s="16"/>
      <c r="WGS50" s="16"/>
      <c r="WGT50" s="16"/>
      <c r="WGU50" s="16"/>
      <c r="WGV50" s="16"/>
      <c r="WGW50" s="16"/>
      <c r="WGX50" s="16"/>
      <c r="WGY50" s="16"/>
      <c r="WGZ50" s="16"/>
      <c r="WHA50" s="16"/>
      <c r="WHB50" s="16"/>
      <c r="WHC50" s="16"/>
      <c r="WHD50" s="16"/>
      <c r="WHE50" s="16"/>
      <c r="WHF50" s="16"/>
      <c r="WHG50" s="16"/>
      <c r="WHH50" s="16"/>
      <c r="WHI50" s="16"/>
      <c r="WHJ50" s="16"/>
      <c r="WHK50" s="16"/>
      <c r="WHL50" s="16"/>
      <c r="WHM50" s="16"/>
      <c r="WHN50" s="16"/>
      <c r="WHO50" s="16"/>
      <c r="WHP50" s="16"/>
      <c r="WHQ50" s="16"/>
      <c r="WHR50" s="16"/>
      <c r="WHS50" s="16"/>
      <c r="WHT50" s="16"/>
      <c r="WHU50" s="16"/>
      <c r="WHV50" s="16"/>
      <c r="WHW50" s="16"/>
      <c r="WHX50" s="16"/>
      <c r="WHY50" s="16"/>
      <c r="WHZ50" s="16"/>
      <c r="WIA50" s="16"/>
      <c r="WIB50" s="16"/>
      <c r="WIC50" s="16"/>
      <c r="WID50" s="16"/>
      <c r="WIE50" s="16"/>
      <c r="WIF50" s="16"/>
      <c r="WIG50" s="16"/>
      <c r="WIH50" s="16"/>
      <c r="WII50" s="16"/>
      <c r="WIJ50" s="16"/>
      <c r="WIK50" s="16"/>
      <c r="WIL50" s="16"/>
      <c r="WIM50" s="16"/>
      <c r="WIN50" s="16"/>
      <c r="WIO50" s="16"/>
      <c r="WIP50" s="16"/>
      <c r="WIQ50" s="16"/>
      <c r="WIR50" s="16"/>
      <c r="WIS50" s="16"/>
      <c r="WIT50" s="16"/>
      <c r="WIU50" s="16"/>
      <c r="WIV50" s="16"/>
      <c r="WIW50" s="16"/>
      <c r="WIX50" s="16"/>
      <c r="WIY50" s="16"/>
      <c r="WIZ50" s="16"/>
      <c r="WJA50" s="16"/>
      <c r="WJB50" s="16"/>
      <c r="WJC50" s="16"/>
      <c r="WJD50" s="16"/>
      <c r="WJE50" s="16"/>
      <c r="WJF50" s="16"/>
      <c r="WJG50" s="16"/>
      <c r="WJH50" s="16"/>
      <c r="WJI50" s="16"/>
      <c r="WJJ50" s="16"/>
      <c r="WJK50" s="16"/>
      <c r="WJL50" s="16"/>
      <c r="WJM50" s="16"/>
      <c r="WJN50" s="16"/>
      <c r="WJO50" s="16"/>
      <c r="WJP50" s="16"/>
      <c r="WJQ50" s="16"/>
      <c r="WJR50" s="16"/>
      <c r="WJS50" s="16"/>
      <c r="WJT50" s="16"/>
      <c r="WJU50" s="16"/>
      <c r="WJV50" s="16"/>
      <c r="WJW50" s="16"/>
      <c r="WJX50" s="16"/>
      <c r="WJY50" s="16"/>
      <c r="WJZ50" s="16"/>
      <c r="WKA50" s="16"/>
      <c r="WKB50" s="16"/>
      <c r="WKC50" s="16"/>
      <c r="WKD50" s="16"/>
      <c r="WKE50" s="16"/>
      <c r="WKF50" s="16"/>
      <c r="WKG50" s="16"/>
      <c r="WKH50" s="16"/>
      <c r="WKI50" s="16"/>
      <c r="WKJ50" s="16"/>
      <c r="WKK50" s="16"/>
      <c r="WKL50" s="16"/>
      <c r="WKM50" s="16"/>
      <c r="WKN50" s="16"/>
      <c r="WKO50" s="16"/>
      <c r="WKP50" s="16"/>
      <c r="WKQ50" s="16"/>
      <c r="WKR50" s="16"/>
      <c r="WKS50" s="16"/>
      <c r="WKT50" s="16"/>
      <c r="WKU50" s="16"/>
      <c r="WKV50" s="16"/>
      <c r="WKW50" s="16"/>
      <c r="WKX50" s="16"/>
      <c r="WKY50" s="16"/>
      <c r="WKZ50" s="16"/>
      <c r="WLA50" s="16"/>
      <c r="WLB50" s="16"/>
      <c r="WLC50" s="16"/>
      <c r="WLD50" s="16"/>
      <c r="WLE50" s="16"/>
      <c r="WLF50" s="16"/>
      <c r="WLG50" s="16"/>
      <c r="WLH50" s="16"/>
      <c r="WLI50" s="16"/>
      <c r="WLJ50" s="16"/>
      <c r="WLK50" s="16"/>
      <c r="WLL50" s="16"/>
      <c r="WLM50" s="16"/>
      <c r="WLN50" s="16"/>
      <c r="WLO50" s="16"/>
      <c r="WLP50" s="16"/>
      <c r="WLQ50" s="16"/>
      <c r="WLR50" s="16"/>
      <c r="WLS50" s="16"/>
      <c r="WLT50" s="16"/>
      <c r="WLU50" s="16"/>
      <c r="WLV50" s="16"/>
      <c r="WLW50" s="16"/>
      <c r="WLX50" s="16"/>
      <c r="WLY50" s="16"/>
      <c r="WLZ50" s="16"/>
      <c r="WMA50" s="16"/>
      <c r="WMB50" s="16"/>
      <c r="WMC50" s="16"/>
      <c r="WMD50" s="16"/>
      <c r="WME50" s="16"/>
      <c r="WMF50" s="16"/>
      <c r="WMG50" s="16"/>
      <c r="WMH50" s="16"/>
      <c r="WMI50" s="16"/>
      <c r="WMJ50" s="16"/>
      <c r="WMK50" s="16"/>
      <c r="WML50" s="16"/>
      <c r="WMM50" s="16"/>
      <c r="WMN50" s="16"/>
      <c r="WMO50" s="16"/>
      <c r="WMP50" s="16"/>
      <c r="WMQ50" s="16"/>
      <c r="WMR50" s="16"/>
      <c r="WMS50" s="16"/>
      <c r="WMT50" s="16"/>
      <c r="WMU50" s="16"/>
      <c r="WMV50" s="16"/>
      <c r="WMW50" s="16"/>
      <c r="WMX50" s="16"/>
      <c r="WMY50" s="16"/>
      <c r="WMZ50" s="16"/>
      <c r="WNA50" s="16"/>
      <c r="WNB50" s="16"/>
      <c r="WNC50" s="16"/>
      <c r="WND50" s="16"/>
      <c r="WNE50" s="16"/>
      <c r="WNF50" s="16"/>
      <c r="WNG50" s="16"/>
      <c r="WNH50" s="16"/>
      <c r="WNI50" s="16"/>
      <c r="WNJ50" s="16"/>
      <c r="WNK50" s="16"/>
      <c r="WNL50" s="16"/>
      <c r="WNM50" s="16"/>
      <c r="WNN50" s="16"/>
      <c r="WNO50" s="16"/>
      <c r="WNP50" s="16"/>
      <c r="WNQ50" s="16"/>
      <c r="WNR50" s="16"/>
      <c r="WNS50" s="16"/>
      <c r="WNT50" s="16"/>
      <c r="WNU50" s="16"/>
      <c r="WNV50" s="16"/>
      <c r="WNW50" s="16"/>
      <c r="WNX50" s="16"/>
      <c r="WNY50" s="16"/>
      <c r="WNZ50" s="16"/>
      <c r="WOA50" s="16"/>
      <c r="WOB50" s="16"/>
      <c r="WOC50" s="16"/>
      <c r="WOD50" s="16"/>
      <c r="WOE50" s="16"/>
      <c r="WOF50" s="16"/>
      <c r="WOG50" s="16"/>
      <c r="WOH50" s="16"/>
      <c r="WOI50" s="16"/>
      <c r="WOJ50" s="16"/>
      <c r="WOK50" s="16"/>
      <c r="WOL50" s="16"/>
      <c r="WOM50" s="16"/>
      <c r="WON50" s="16"/>
      <c r="WOO50" s="16"/>
      <c r="WOP50" s="16"/>
      <c r="WOQ50" s="16"/>
      <c r="WOR50" s="16"/>
      <c r="WOS50" s="16"/>
      <c r="WOT50" s="16"/>
      <c r="WOU50" s="16"/>
      <c r="WOV50" s="16"/>
      <c r="WOW50" s="16"/>
      <c r="WOX50" s="16"/>
      <c r="WOY50" s="16"/>
      <c r="WOZ50" s="16"/>
      <c r="WPA50" s="16"/>
      <c r="WPB50" s="16"/>
      <c r="WPC50" s="16"/>
      <c r="WPD50" s="16"/>
      <c r="WPE50" s="16"/>
      <c r="WPF50" s="16"/>
      <c r="WPG50" s="16"/>
      <c r="WPH50" s="16"/>
      <c r="WPI50" s="16"/>
      <c r="WPJ50" s="16"/>
      <c r="WPK50" s="16"/>
      <c r="WPL50" s="16"/>
      <c r="WPM50" s="16"/>
      <c r="WPN50" s="16"/>
      <c r="WPO50" s="16"/>
      <c r="WPP50" s="16"/>
      <c r="WPQ50" s="16"/>
      <c r="WPR50" s="16"/>
      <c r="WPS50" s="16"/>
      <c r="WPT50" s="16"/>
      <c r="WPU50" s="16"/>
      <c r="WPV50" s="16"/>
      <c r="WPW50" s="16"/>
      <c r="WPX50" s="16"/>
      <c r="WPY50" s="16"/>
      <c r="WPZ50" s="16"/>
      <c r="WQA50" s="16"/>
      <c r="WQB50" s="16"/>
      <c r="WQC50" s="16"/>
      <c r="WQD50" s="16"/>
      <c r="WQE50" s="16"/>
      <c r="WQF50" s="16"/>
      <c r="WQG50" s="16"/>
      <c r="WQH50" s="16"/>
      <c r="WQI50" s="16"/>
      <c r="WQJ50" s="16"/>
      <c r="WQK50" s="16"/>
      <c r="WQL50" s="16"/>
      <c r="WQM50" s="16"/>
      <c r="WQN50" s="16"/>
      <c r="WQO50" s="16"/>
      <c r="WQP50" s="16"/>
      <c r="WQQ50" s="16"/>
      <c r="WQR50" s="16"/>
      <c r="WQS50" s="16"/>
      <c r="WQT50" s="16"/>
      <c r="WQU50" s="16"/>
      <c r="WQV50" s="16"/>
      <c r="WQW50" s="16"/>
      <c r="WQX50" s="16"/>
      <c r="WQY50" s="16"/>
      <c r="WQZ50" s="16"/>
      <c r="WRA50" s="16"/>
      <c r="WRB50" s="16"/>
      <c r="WRC50" s="16"/>
      <c r="WRD50" s="16"/>
      <c r="WRE50" s="16"/>
      <c r="WRF50" s="16"/>
      <c r="WRG50" s="16"/>
      <c r="WRH50" s="16"/>
      <c r="WRI50" s="16"/>
      <c r="WRJ50" s="16"/>
      <c r="WRK50" s="16"/>
      <c r="WRL50" s="16"/>
      <c r="WRM50" s="16"/>
      <c r="WRN50" s="16"/>
      <c r="WRO50" s="16"/>
      <c r="WRP50" s="16"/>
      <c r="WRQ50" s="16"/>
      <c r="WRR50" s="16"/>
      <c r="WRS50" s="16"/>
      <c r="WRT50" s="16"/>
      <c r="WRU50" s="16"/>
      <c r="WRV50" s="16"/>
      <c r="WRW50" s="16"/>
      <c r="WRX50" s="16"/>
      <c r="WRY50" s="16"/>
      <c r="WRZ50" s="16"/>
      <c r="WSA50" s="16"/>
      <c r="WSB50" s="16"/>
      <c r="WSC50" s="16"/>
      <c r="WSD50" s="16"/>
      <c r="WSE50" s="16"/>
      <c r="WSF50" s="16"/>
      <c r="WSG50" s="16"/>
      <c r="WSH50" s="16"/>
      <c r="WSI50" s="16"/>
      <c r="WSJ50" s="16"/>
      <c r="WSK50" s="16"/>
      <c r="WSL50" s="16"/>
      <c r="WSM50" s="16"/>
      <c r="WSN50" s="16"/>
      <c r="WSO50" s="16"/>
      <c r="WSP50" s="16"/>
      <c r="WSQ50" s="16"/>
      <c r="WSR50" s="16"/>
      <c r="WSS50" s="16"/>
      <c r="WST50" s="16"/>
      <c r="WSU50" s="16"/>
      <c r="WSV50" s="16"/>
      <c r="WSW50" s="16"/>
      <c r="WSX50" s="16"/>
      <c r="WSY50" s="16"/>
      <c r="WSZ50" s="16"/>
      <c r="WTA50" s="16"/>
      <c r="WTB50" s="16"/>
      <c r="WTC50" s="16"/>
      <c r="WTD50" s="16"/>
      <c r="WTE50" s="16"/>
      <c r="WTF50" s="16"/>
      <c r="WTG50" s="16"/>
      <c r="WTH50" s="16"/>
      <c r="WTI50" s="16"/>
      <c r="WTJ50" s="16"/>
      <c r="WTK50" s="16"/>
      <c r="WTL50" s="16"/>
      <c r="WTM50" s="16"/>
      <c r="WTN50" s="16"/>
      <c r="WTO50" s="16"/>
      <c r="WTP50" s="16"/>
      <c r="WTQ50" s="16"/>
      <c r="WTR50" s="16"/>
      <c r="WTS50" s="16"/>
      <c r="WTT50" s="16"/>
      <c r="WTU50" s="16"/>
      <c r="WTV50" s="16"/>
      <c r="WTW50" s="16"/>
      <c r="WTX50" s="16"/>
      <c r="WTY50" s="16"/>
      <c r="WTZ50" s="16"/>
      <c r="WUA50" s="16"/>
      <c r="WUB50" s="16"/>
      <c r="WUC50" s="16"/>
      <c r="WUD50" s="16"/>
      <c r="WUE50" s="16"/>
      <c r="WUF50" s="16"/>
      <c r="WUG50" s="16"/>
      <c r="WUH50" s="16"/>
      <c r="WUI50" s="16"/>
      <c r="WUJ50" s="16"/>
      <c r="WUK50" s="16"/>
      <c r="WUL50" s="16"/>
      <c r="WUM50" s="16"/>
      <c r="WUN50" s="16"/>
      <c r="WUO50" s="16"/>
      <c r="WUP50" s="16"/>
      <c r="WUQ50" s="16"/>
      <c r="WUR50" s="16"/>
      <c r="WUS50" s="16"/>
      <c r="WUT50" s="16"/>
      <c r="WUU50" s="16"/>
      <c r="WUV50" s="16"/>
      <c r="WUW50" s="16"/>
      <c r="WUX50" s="16"/>
      <c r="WUY50" s="16"/>
      <c r="WUZ50" s="16"/>
      <c r="WVA50" s="16"/>
      <c r="WVB50" s="16"/>
      <c r="WVC50" s="16"/>
      <c r="WVD50" s="16"/>
      <c r="WVE50" s="16"/>
      <c r="WVF50" s="16"/>
      <c r="WVG50" s="16"/>
      <c r="WVH50" s="16"/>
      <c r="WVI50" s="16"/>
      <c r="WVJ50" s="16"/>
      <c r="WVK50" s="16"/>
      <c r="WVL50" s="16"/>
      <c r="WVM50" s="16"/>
      <c r="WVN50" s="16"/>
      <c r="WVO50" s="16"/>
      <c r="WVP50" s="16"/>
      <c r="WVQ50" s="16"/>
      <c r="WVR50" s="16"/>
      <c r="WVS50" s="16"/>
      <c r="WVT50" s="16"/>
      <c r="WVU50" s="16"/>
      <c r="WVV50" s="16"/>
      <c r="WVW50" s="16"/>
      <c r="WVX50" s="16"/>
      <c r="WVY50" s="16"/>
      <c r="WVZ50" s="16"/>
      <c r="WWA50" s="16"/>
      <c r="WWB50" s="16"/>
      <c r="WWC50" s="16"/>
      <c r="WWD50" s="16"/>
      <c r="WWE50" s="16"/>
      <c r="WWF50" s="16"/>
      <c r="WWG50" s="16"/>
      <c r="WWH50" s="16"/>
      <c r="WWI50" s="16"/>
      <c r="WWJ50" s="16"/>
    </row>
    <row r="51" spans="3:16156" x14ac:dyDescent="0.2">
      <c r="Y51" s="83"/>
      <c r="Z51" s="29"/>
    </row>
    <row r="52" spans="3:16156" x14ac:dyDescent="0.2">
      <c r="Y52" s="83"/>
      <c r="Z52" s="29"/>
    </row>
    <row r="53" spans="3:16156" x14ac:dyDescent="0.2">
      <c r="Y53" s="83"/>
    </row>
  </sheetData>
  <mergeCells count="1">
    <mergeCell ref="E6:F6"/>
  </mergeCells>
  <phoneticPr fontId="10" type="noConversion"/>
  <printOptions gridLines="1"/>
  <pageMargins left="0.5" right="0" top="0.75" bottom="0.5" header="0.3" footer="0.3"/>
  <pageSetup paperSize="8" scale="85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D1DB6-5F7A-420C-A9EF-040FF5533184}">
  <dimension ref="A1:C48"/>
  <sheetViews>
    <sheetView topLeftCell="A25" workbookViewId="0">
      <selection activeCell="I17" sqref="I17"/>
    </sheetView>
  </sheetViews>
  <sheetFormatPr defaultRowHeight="12.75" x14ac:dyDescent="0.2"/>
  <sheetData>
    <row r="1" spans="1:3" x14ac:dyDescent="0.2">
      <c r="A1" t="s">
        <v>30</v>
      </c>
    </row>
    <row r="3" spans="1:3" x14ac:dyDescent="0.2">
      <c r="A3" t="s">
        <v>31</v>
      </c>
    </row>
    <row r="4" spans="1:3" x14ac:dyDescent="0.2">
      <c r="A4" t="s">
        <v>110</v>
      </c>
    </row>
    <row r="7" spans="1:3" x14ac:dyDescent="0.2">
      <c r="A7" t="s">
        <v>32</v>
      </c>
      <c r="C7" t="s">
        <v>33</v>
      </c>
    </row>
    <row r="8" spans="1:3" x14ac:dyDescent="0.2">
      <c r="A8">
        <v>2021</v>
      </c>
      <c r="B8" t="s">
        <v>81</v>
      </c>
      <c r="C8" s="89">
        <v>1.3444</v>
      </c>
    </row>
    <row r="9" spans="1:3" x14ac:dyDescent="0.2">
      <c r="B9" t="s">
        <v>82</v>
      </c>
      <c r="C9" s="89">
        <v>1.3533999999999999</v>
      </c>
    </row>
    <row r="10" spans="1:3" x14ac:dyDescent="0.2">
      <c r="B10" t="s">
        <v>83</v>
      </c>
      <c r="C10" s="89">
        <v>1.3445</v>
      </c>
    </row>
    <row r="11" spans="1:3" x14ac:dyDescent="0.2">
      <c r="B11" t="s">
        <v>34</v>
      </c>
      <c r="C11" s="89">
        <v>1.3611</v>
      </c>
    </row>
    <row r="12" spans="1:3" x14ac:dyDescent="0.2">
      <c r="B12" t="s">
        <v>35</v>
      </c>
      <c r="C12" s="89">
        <v>1.3444</v>
      </c>
    </row>
    <row r="13" spans="1:3" x14ac:dyDescent="0.2">
      <c r="B13" t="s">
        <v>36</v>
      </c>
      <c r="C13" s="89">
        <v>1.3686</v>
      </c>
    </row>
    <row r="14" spans="1:3" x14ac:dyDescent="0.2">
      <c r="B14" t="s">
        <v>84</v>
      </c>
      <c r="C14" s="89">
        <v>1.3516999999999999</v>
      </c>
    </row>
    <row r="15" spans="1:3" x14ac:dyDescent="0.2">
      <c r="A15">
        <v>2022</v>
      </c>
      <c r="B15" t="s">
        <v>85</v>
      </c>
      <c r="C15" s="89">
        <v>1.3556999999999999</v>
      </c>
    </row>
    <row r="16" spans="1:3" x14ac:dyDescent="0.2">
      <c r="B16" t="s">
        <v>86</v>
      </c>
      <c r="C16" s="89">
        <v>1.3596999999999999</v>
      </c>
    </row>
    <row r="17" spans="1:3" x14ac:dyDescent="0.2">
      <c r="B17" t="s">
        <v>87</v>
      </c>
      <c r="C17" s="89">
        <v>1.3533999999999999</v>
      </c>
    </row>
    <row r="18" spans="1:3" x14ac:dyDescent="0.2">
      <c r="B18" t="s">
        <v>88</v>
      </c>
      <c r="C18" s="89">
        <v>1.3848</v>
      </c>
    </row>
    <row r="19" spans="1:3" x14ac:dyDescent="0.2">
      <c r="B19" t="s">
        <v>11</v>
      </c>
      <c r="C19" s="89">
        <v>1.3696999999999999</v>
      </c>
    </row>
    <row r="20" spans="1:3" x14ac:dyDescent="0.2">
      <c r="B20" t="s">
        <v>81</v>
      </c>
      <c r="C20" s="89">
        <v>1.3917999999999999</v>
      </c>
    </row>
    <row r="21" spans="1:3" x14ac:dyDescent="0.2">
      <c r="B21" t="s">
        <v>82</v>
      </c>
      <c r="C21" s="89">
        <v>1.3785000000000001</v>
      </c>
    </row>
    <row r="22" spans="1:3" x14ac:dyDescent="0.2">
      <c r="B22" t="s">
        <v>83</v>
      </c>
      <c r="C22" s="89">
        <v>1.395</v>
      </c>
    </row>
    <row r="23" spans="1:3" x14ac:dyDescent="0.2">
      <c r="B23" t="s">
        <v>34</v>
      </c>
      <c r="C23" s="89">
        <v>1.4339999999999999</v>
      </c>
    </row>
    <row r="24" spans="1:3" x14ac:dyDescent="0.2">
      <c r="B24" t="s">
        <v>35</v>
      </c>
      <c r="C24">
        <v>1.4112</v>
      </c>
    </row>
    <row r="25" spans="1:3" x14ac:dyDescent="0.2">
      <c r="B25" t="s">
        <v>36</v>
      </c>
      <c r="C25">
        <v>1.3722000000000001</v>
      </c>
    </row>
    <row r="26" spans="1:3" x14ac:dyDescent="0.2">
      <c r="B26" t="s">
        <v>84</v>
      </c>
      <c r="C26">
        <v>1.3446</v>
      </c>
    </row>
    <row r="27" spans="1:3" x14ac:dyDescent="0.2">
      <c r="A27">
        <v>2023</v>
      </c>
      <c r="B27" t="s">
        <v>85</v>
      </c>
      <c r="C27">
        <v>1.3142</v>
      </c>
    </row>
    <row r="28" spans="1:3" x14ac:dyDescent="0.2">
      <c r="B28" t="s">
        <v>86</v>
      </c>
      <c r="C28" s="89">
        <v>1.3480000000000001</v>
      </c>
    </row>
    <row r="29" spans="1:3" x14ac:dyDescent="0.2">
      <c r="B29" t="s">
        <v>87</v>
      </c>
      <c r="C29" s="89">
        <v>1.327</v>
      </c>
    </row>
    <row r="30" spans="1:3" x14ac:dyDescent="0.2">
      <c r="B30" t="s">
        <v>88</v>
      </c>
      <c r="C30" s="89">
        <v>1.3340000000000001</v>
      </c>
    </row>
    <row r="31" spans="1:3" x14ac:dyDescent="0.2">
      <c r="B31" t="s">
        <v>11</v>
      </c>
      <c r="C31">
        <v>1.3539000000000001</v>
      </c>
    </row>
    <row r="32" spans="1:3" x14ac:dyDescent="0.2">
      <c r="B32" t="s">
        <v>81</v>
      </c>
      <c r="C32">
        <v>1.3556999999999999</v>
      </c>
    </row>
    <row r="33" spans="1:3" x14ac:dyDescent="0.2">
      <c r="B33" t="s">
        <v>82</v>
      </c>
      <c r="C33">
        <v>1.3318000000000001</v>
      </c>
    </row>
    <row r="34" spans="1:3" x14ac:dyDescent="0.2">
      <c r="B34" t="s">
        <v>83</v>
      </c>
      <c r="C34">
        <v>1.3503000000000001</v>
      </c>
    </row>
    <row r="35" spans="1:3" x14ac:dyDescent="0.2">
      <c r="B35" t="s">
        <v>34</v>
      </c>
      <c r="C35">
        <v>1.3648</v>
      </c>
    </row>
    <row r="36" spans="1:3" x14ac:dyDescent="0.2">
      <c r="B36" t="s">
        <v>35</v>
      </c>
      <c r="C36">
        <v>1.3669</v>
      </c>
    </row>
    <row r="37" spans="1:3" x14ac:dyDescent="0.2">
      <c r="B37" t="s">
        <v>36</v>
      </c>
      <c r="C37">
        <v>1.3315999999999999</v>
      </c>
    </row>
    <row r="38" spans="1:3" x14ac:dyDescent="0.2">
      <c r="B38" t="s">
        <v>84</v>
      </c>
      <c r="C38">
        <v>1.3186</v>
      </c>
    </row>
    <row r="39" spans="1:3" x14ac:dyDescent="0.2">
      <c r="A39">
        <v>2024</v>
      </c>
      <c r="B39" t="s">
        <v>85</v>
      </c>
      <c r="C39">
        <v>1.3409</v>
      </c>
    </row>
    <row r="40" spans="1:3" x14ac:dyDescent="0.2">
      <c r="B40" t="s">
        <v>86</v>
      </c>
      <c r="C40">
        <v>1.3446</v>
      </c>
    </row>
    <row r="41" spans="1:3" x14ac:dyDescent="0.2">
      <c r="B41" t="s">
        <v>87</v>
      </c>
      <c r="C41">
        <v>1.3475999999999999</v>
      </c>
    </row>
    <row r="42" spans="1:3" x14ac:dyDescent="0.2">
      <c r="B42" t="s">
        <v>88</v>
      </c>
      <c r="C42">
        <v>1.3612</v>
      </c>
    </row>
    <row r="43" spans="1:3" x14ac:dyDescent="0.2">
      <c r="B43" t="s">
        <v>11</v>
      </c>
      <c r="C43">
        <v>1.3507</v>
      </c>
    </row>
    <row r="44" spans="1:3" x14ac:dyDescent="0.2">
      <c r="B44" t="s">
        <v>81</v>
      </c>
      <c r="C44">
        <v>1.3585</v>
      </c>
    </row>
    <row r="47" spans="1:3" x14ac:dyDescent="0.2">
      <c r="A47" t="s">
        <v>37</v>
      </c>
    </row>
    <row r="48" spans="1:3" x14ac:dyDescent="0.2">
      <c r="A48" t="s">
        <v>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F8AFDA-1004-4C17-8593-5057D5888ABA}">
  <dimension ref="A1:H22"/>
  <sheetViews>
    <sheetView workbookViewId="0">
      <selection activeCell="H9" sqref="H9"/>
    </sheetView>
  </sheetViews>
  <sheetFormatPr defaultRowHeight="12.75" x14ac:dyDescent="0.2"/>
  <cols>
    <col min="1" max="1" width="5.140625" customWidth="1"/>
    <col min="3" max="3" width="23" bestFit="1" customWidth="1"/>
    <col min="4" max="4" width="15.85546875" customWidth="1"/>
    <col min="5" max="5" width="2.7109375" customWidth="1"/>
    <col min="6" max="6" width="12.85546875" bestFit="1" customWidth="1"/>
    <col min="7" max="7" width="2.7109375" customWidth="1"/>
    <col min="8" max="8" width="12.85546875" bestFit="1" customWidth="1"/>
  </cols>
  <sheetData>
    <row r="1" spans="1:8" x14ac:dyDescent="0.2">
      <c r="A1" s="17" t="s">
        <v>10</v>
      </c>
    </row>
    <row r="2" spans="1:8" x14ac:dyDescent="0.2">
      <c r="A2" s="43" t="s">
        <v>89</v>
      </c>
    </row>
    <row r="5" spans="1:8" x14ac:dyDescent="0.2">
      <c r="A5" s="43" t="s">
        <v>43</v>
      </c>
    </row>
    <row r="8" spans="1:8" s="16" customFormat="1" ht="14.1" customHeight="1" x14ac:dyDescent="0.2">
      <c r="A8" s="20"/>
      <c r="D8" s="18"/>
      <c r="E8" s="18"/>
      <c r="F8" s="44" t="s">
        <v>44</v>
      </c>
      <c r="G8" s="44"/>
      <c r="H8" s="44" t="s">
        <v>45</v>
      </c>
    </row>
    <row r="9" spans="1:8" s="16" customFormat="1" ht="14.1" customHeight="1" x14ac:dyDescent="0.2">
      <c r="A9" s="20"/>
      <c r="D9" s="18"/>
      <c r="E9" s="18"/>
      <c r="F9" s="18" t="s">
        <v>23</v>
      </c>
      <c r="G9" s="18"/>
      <c r="H9" s="18" t="s">
        <v>23</v>
      </c>
    </row>
    <row r="10" spans="1:8" s="16" customFormat="1" ht="14.1" customHeight="1" x14ac:dyDescent="0.2">
      <c r="A10" s="20"/>
      <c r="D10" s="18"/>
      <c r="E10" s="18"/>
    </row>
    <row r="11" spans="1:8" s="16" customFormat="1" ht="14.1" customHeight="1" x14ac:dyDescent="0.2">
      <c r="A11" s="45">
        <v>1</v>
      </c>
      <c r="B11" s="16" t="s">
        <v>52</v>
      </c>
      <c r="D11" s="18"/>
      <c r="E11" s="18"/>
      <c r="F11" s="46">
        <v>79.540000000000006</v>
      </c>
      <c r="G11" s="46"/>
      <c r="H11" s="46"/>
    </row>
    <row r="12" spans="1:8" s="16" customFormat="1" ht="14.1" customHeight="1" x14ac:dyDescent="0.2">
      <c r="A12" s="45"/>
      <c r="C12" s="16" t="s">
        <v>54</v>
      </c>
      <c r="D12" s="18"/>
      <c r="E12" s="18"/>
      <c r="F12" s="46"/>
      <c r="G12" s="46"/>
      <c r="H12" s="46">
        <f>F11</f>
        <v>79.540000000000006</v>
      </c>
    </row>
    <row r="13" spans="1:8" s="16" customFormat="1" ht="14.1" customHeight="1" x14ac:dyDescent="0.2">
      <c r="A13" s="45"/>
      <c r="D13" s="18"/>
      <c r="E13" s="18"/>
      <c r="F13" s="46"/>
      <c r="G13" s="46"/>
      <c r="H13" s="46"/>
    </row>
    <row r="14" spans="1:8" s="16" customFormat="1" ht="14.1" customHeight="1" x14ac:dyDescent="0.2">
      <c r="A14" s="45"/>
      <c r="B14" s="22" t="s">
        <v>90</v>
      </c>
      <c r="C14" s="22"/>
      <c r="D14" s="23"/>
      <c r="E14" s="18"/>
      <c r="F14" s="47"/>
      <c r="G14" s="47"/>
      <c r="H14" s="47"/>
    </row>
    <row r="15" spans="1:8" s="16" customFormat="1" ht="14.1" customHeight="1" x14ac:dyDescent="0.2">
      <c r="A15" s="90"/>
      <c r="D15" s="18"/>
      <c r="E15" s="18"/>
    </row>
    <row r="16" spans="1:8" x14ac:dyDescent="0.2">
      <c r="A16" s="93">
        <f>A11+1</f>
        <v>2</v>
      </c>
      <c r="B16" t="s">
        <v>39</v>
      </c>
      <c r="F16" s="80">
        <v>335.82</v>
      </c>
      <c r="G16" s="80"/>
      <c r="H16" s="80"/>
    </row>
    <row r="17" spans="2:8" x14ac:dyDescent="0.2">
      <c r="C17" t="s">
        <v>111</v>
      </c>
      <c r="F17" s="80"/>
      <c r="G17" s="80"/>
      <c r="H17" s="80">
        <f>F16</f>
        <v>335.82</v>
      </c>
    </row>
    <row r="18" spans="2:8" x14ac:dyDescent="0.2">
      <c r="F18" s="80"/>
      <c r="G18" s="80"/>
      <c r="H18" s="80"/>
    </row>
    <row r="19" spans="2:8" x14ac:dyDescent="0.2">
      <c r="B19" s="94" t="s">
        <v>112</v>
      </c>
      <c r="C19" s="94"/>
      <c r="D19" s="94"/>
      <c r="F19" s="80"/>
      <c r="G19" s="80"/>
      <c r="H19" s="80"/>
    </row>
    <row r="20" spans="2:8" x14ac:dyDescent="0.2">
      <c r="F20" s="80"/>
      <c r="G20" s="80"/>
      <c r="H20" s="80"/>
    </row>
    <row r="21" spans="2:8" x14ac:dyDescent="0.2">
      <c r="F21" s="80"/>
      <c r="G21" s="80"/>
      <c r="H21" s="80"/>
    </row>
    <row r="22" spans="2:8" x14ac:dyDescent="0.2">
      <c r="F22" s="80"/>
      <c r="G22" s="80"/>
      <c r="H22" s="80"/>
    </row>
  </sheetData>
  <pageMargins left="1" right="0.5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9442F-611B-4FA3-B643-C2313DB0A024}">
  <dimension ref="A1:K35"/>
  <sheetViews>
    <sheetView topLeftCell="A12" workbookViewId="0">
      <selection activeCell="K21" sqref="K21"/>
    </sheetView>
  </sheetViews>
  <sheetFormatPr defaultRowHeight="12.75" x14ac:dyDescent="0.2"/>
  <cols>
    <col min="4" max="4" width="2.7109375" customWidth="1"/>
    <col min="5" max="5" width="8.28515625" customWidth="1"/>
    <col min="6" max="6" width="2.7109375" customWidth="1"/>
    <col min="7" max="7" width="8.28515625" customWidth="1"/>
    <col min="8" max="8" width="2.7109375" customWidth="1"/>
    <col min="9" max="9" width="9.85546875" bestFit="1" customWidth="1"/>
    <col min="10" max="10" width="2.7109375" customWidth="1"/>
  </cols>
  <sheetData>
    <row r="1" spans="1:11" ht="24.75" customHeight="1" x14ac:dyDescent="0.2">
      <c r="E1" s="84" t="s">
        <v>77</v>
      </c>
      <c r="F1" s="84"/>
      <c r="G1" s="86" t="s">
        <v>78</v>
      </c>
      <c r="I1" s="86" t="s">
        <v>76</v>
      </c>
    </row>
    <row r="2" spans="1:11" x14ac:dyDescent="0.2">
      <c r="I2" s="84"/>
      <c r="K2" s="80"/>
    </row>
    <row r="3" spans="1:11" x14ac:dyDescent="0.2">
      <c r="A3" t="s">
        <v>75</v>
      </c>
      <c r="K3" s="80">
        <v>1650</v>
      </c>
    </row>
    <row r="4" spans="1:11" x14ac:dyDescent="0.2">
      <c r="A4" s="79">
        <v>44378</v>
      </c>
      <c r="C4" s="25">
        <v>31.77</v>
      </c>
      <c r="D4" s="25"/>
      <c r="E4" s="25">
        <f>C4</f>
        <v>31.77</v>
      </c>
      <c r="F4" s="25"/>
      <c r="G4" s="25"/>
      <c r="H4" s="25"/>
      <c r="I4" s="26"/>
    </row>
    <row r="5" spans="1:11" x14ac:dyDescent="0.2">
      <c r="A5" s="79">
        <v>44409</v>
      </c>
      <c r="C5" s="25">
        <v>183.96</v>
      </c>
      <c r="D5" s="25"/>
      <c r="E5" s="25">
        <f t="shared" ref="E5:E10" si="0">C5</f>
        <v>183.96</v>
      </c>
      <c r="F5" s="25"/>
      <c r="G5" s="25"/>
      <c r="H5" s="25"/>
      <c r="I5" s="26"/>
    </row>
    <row r="6" spans="1:11" x14ac:dyDescent="0.2">
      <c r="A6" s="79">
        <v>44440</v>
      </c>
      <c r="C6" s="25">
        <v>256.95999999999998</v>
      </c>
      <c r="D6" s="25"/>
      <c r="E6" s="25">
        <f t="shared" si="0"/>
        <v>256.95999999999998</v>
      </c>
      <c r="F6" s="25"/>
      <c r="G6" s="25"/>
      <c r="H6" s="25"/>
      <c r="I6" s="26"/>
    </row>
    <row r="7" spans="1:11" x14ac:dyDescent="0.2">
      <c r="A7" s="79">
        <v>44470</v>
      </c>
      <c r="C7" s="25">
        <v>273.29000000000002</v>
      </c>
      <c r="D7" s="25"/>
      <c r="E7" s="25">
        <f t="shared" si="0"/>
        <v>273.29000000000002</v>
      </c>
      <c r="F7" s="25"/>
      <c r="G7" s="25"/>
      <c r="H7" s="25"/>
      <c r="I7" s="26"/>
    </row>
    <row r="8" spans="1:11" x14ac:dyDescent="0.2">
      <c r="A8" s="79">
        <v>44501</v>
      </c>
      <c r="C8" s="25">
        <v>224.41</v>
      </c>
      <c r="D8" s="25"/>
      <c r="E8" s="25">
        <f t="shared" si="0"/>
        <v>224.41</v>
      </c>
      <c r="F8" s="25"/>
      <c r="G8" s="25"/>
      <c r="H8" s="25"/>
      <c r="I8" s="26"/>
    </row>
    <row r="9" spans="1:11" x14ac:dyDescent="0.2">
      <c r="A9" s="79">
        <v>44531</v>
      </c>
      <c r="C9" s="25">
        <v>215.16</v>
      </c>
      <c r="D9" s="25"/>
      <c r="E9" s="25">
        <f t="shared" si="0"/>
        <v>215.16</v>
      </c>
      <c r="F9" s="25"/>
      <c r="G9" s="25"/>
      <c r="H9" s="25"/>
      <c r="I9" s="26"/>
    </row>
    <row r="10" spans="1:11" x14ac:dyDescent="0.2">
      <c r="A10" s="79">
        <v>44562</v>
      </c>
      <c r="C10" s="50">
        <v>187.74</v>
      </c>
      <c r="D10" s="29"/>
      <c r="E10" s="25">
        <f t="shared" si="0"/>
        <v>187.74</v>
      </c>
      <c r="F10" s="25"/>
      <c r="G10" s="25"/>
      <c r="H10" s="29"/>
      <c r="I10" s="26"/>
      <c r="J10" s="81"/>
      <c r="K10" s="82"/>
    </row>
    <row r="11" spans="1:11" x14ac:dyDescent="0.2">
      <c r="C11" s="16"/>
      <c r="D11" s="16"/>
      <c r="E11" s="16"/>
      <c r="F11" s="16"/>
      <c r="G11" s="16"/>
      <c r="H11" s="16"/>
      <c r="I11" s="25">
        <v>-1310</v>
      </c>
      <c r="K11" s="82">
        <f>K3+I11</f>
        <v>340</v>
      </c>
    </row>
    <row r="12" spans="1:11" x14ac:dyDescent="0.2">
      <c r="A12" s="79">
        <v>44593</v>
      </c>
      <c r="C12" s="33">
        <f>169.94+0.27+11.96+0.5</f>
        <v>182.67000000000002</v>
      </c>
      <c r="D12" s="33"/>
      <c r="E12" s="33"/>
      <c r="F12" s="33"/>
      <c r="G12" s="33">
        <f>C12</f>
        <v>182.67000000000002</v>
      </c>
      <c r="H12" s="33"/>
      <c r="I12" s="25">
        <f>I11+C12</f>
        <v>-1127.33</v>
      </c>
    </row>
    <row r="13" spans="1:11" x14ac:dyDescent="0.2">
      <c r="A13" s="79">
        <v>44621</v>
      </c>
      <c r="C13" s="33">
        <v>90.37</v>
      </c>
      <c r="D13" s="33"/>
      <c r="E13" s="33"/>
      <c r="F13" s="33"/>
      <c r="G13" s="33">
        <f t="shared" ref="G13:G15" si="1">C13</f>
        <v>90.37</v>
      </c>
      <c r="H13" s="33"/>
      <c r="I13" s="25">
        <f t="shared" ref="I13:I15" si="2">I12+C13</f>
        <v>-1036.96</v>
      </c>
    </row>
    <row r="14" spans="1:11" x14ac:dyDescent="0.2">
      <c r="A14" s="79">
        <v>44652</v>
      </c>
      <c r="C14" s="33">
        <v>112.92</v>
      </c>
      <c r="D14" s="33"/>
      <c r="E14" s="33"/>
      <c r="F14" s="33"/>
      <c r="G14" s="33">
        <f t="shared" si="1"/>
        <v>112.92</v>
      </c>
      <c r="H14" s="33"/>
      <c r="I14" s="25">
        <f t="shared" si="2"/>
        <v>-924.04000000000008</v>
      </c>
    </row>
    <row r="15" spans="1:11" x14ac:dyDescent="0.2">
      <c r="A15" s="79">
        <v>44682</v>
      </c>
      <c r="C15" s="33">
        <v>180.57</v>
      </c>
      <c r="D15" s="33"/>
      <c r="E15" s="33"/>
      <c r="F15" s="33"/>
      <c r="G15" s="33">
        <f t="shared" si="1"/>
        <v>180.57</v>
      </c>
      <c r="H15" s="33"/>
      <c r="I15" s="25">
        <f t="shared" si="2"/>
        <v>-743.47</v>
      </c>
    </row>
    <row r="16" spans="1:11" x14ac:dyDescent="0.2">
      <c r="C16" s="51">
        <f>SUM(C12:C15)</f>
        <v>566.53</v>
      </c>
      <c r="D16" s="83"/>
      <c r="E16" s="83"/>
      <c r="F16" s="83"/>
      <c r="G16" s="83"/>
      <c r="H16" s="83"/>
      <c r="I16" s="25"/>
    </row>
    <row r="17" spans="1:11" x14ac:dyDescent="0.2">
      <c r="C17" s="83"/>
      <c r="D17" s="83"/>
      <c r="E17" s="83"/>
      <c r="F17" s="83"/>
      <c r="G17" s="83"/>
      <c r="H17" s="83"/>
      <c r="I17" s="25"/>
    </row>
    <row r="18" spans="1:11" x14ac:dyDescent="0.2">
      <c r="A18" s="79">
        <v>44713</v>
      </c>
      <c r="C18" s="85">
        <v>166.22</v>
      </c>
      <c r="G18" s="82">
        <f>C18</f>
        <v>166.22</v>
      </c>
      <c r="I18" s="25">
        <f>I15+C18</f>
        <v>-577.25</v>
      </c>
    </row>
    <row r="19" spans="1:11" x14ac:dyDescent="0.2">
      <c r="A19" s="79">
        <v>44743</v>
      </c>
      <c r="C19" s="85">
        <v>213.73</v>
      </c>
      <c r="G19" s="82">
        <f t="shared" ref="G19:G21" si="3">C19</f>
        <v>213.73</v>
      </c>
      <c r="I19" s="25">
        <f>I18+C19</f>
        <v>-363.52</v>
      </c>
    </row>
    <row r="20" spans="1:11" x14ac:dyDescent="0.2">
      <c r="A20" s="79">
        <v>44774</v>
      </c>
      <c r="C20" s="85">
        <v>105.2</v>
      </c>
      <c r="G20" s="82">
        <f t="shared" si="3"/>
        <v>105.2</v>
      </c>
      <c r="I20" s="25">
        <f t="shared" ref="I20:I23" si="4">I19+C20</f>
        <v>-258.32</v>
      </c>
    </row>
    <row r="21" spans="1:11" x14ac:dyDescent="0.2">
      <c r="A21" s="79">
        <v>44805</v>
      </c>
      <c r="C21" s="85">
        <v>94.88</v>
      </c>
      <c r="G21" s="82">
        <f t="shared" si="3"/>
        <v>94.88</v>
      </c>
      <c r="I21" s="25">
        <f t="shared" si="4"/>
        <v>-163.44</v>
      </c>
    </row>
    <row r="22" spans="1:11" x14ac:dyDescent="0.2">
      <c r="A22" s="79">
        <v>44835</v>
      </c>
      <c r="C22" s="85">
        <v>113.72</v>
      </c>
      <c r="G22" s="82">
        <f>C22</f>
        <v>113.72</v>
      </c>
      <c r="I22" s="25">
        <f t="shared" si="4"/>
        <v>-49.72</v>
      </c>
    </row>
    <row r="23" spans="1:11" x14ac:dyDescent="0.2">
      <c r="A23" s="79">
        <v>44866</v>
      </c>
      <c r="C23" s="85">
        <v>138.46</v>
      </c>
      <c r="G23" s="80">
        <f>C23</f>
        <v>138.46</v>
      </c>
      <c r="I23" s="25">
        <f t="shared" si="4"/>
        <v>88.740000000000009</v>
      </c>
    </row>
    <row r="24" spans="1:11" x14ac:dyDescent="0.2">
      <c r="A24" s="79"/>
      <c r="C24" s="85"/>
      <c r="D24" s="80"/>
      <c r="E24" s="80"/>
      <c r="F24" s="80"/>
      <c r="G24" s="80"/>
      <c r="I24" s="25">
        <v>-170</v>
      </c>
      <c r="K24" s="82">
        <f>K11+I24</f>
        <v>170</v>
      </c>
    </row>
    <row r="25" spans="1:11" x14ac:dyDescent="0.2">
      <c r="A25" s="79">
        <v>44896</v>
      </c>
      <c r="C25" s="80">
        <f>135.61+9.49</f>
        <v>145.10000000000002</v>
      </c>
      <c r="D25" s="80"/>
      <c r="E25" s="80">
        <v>63.84</v>
      </c>
      <c r="F25" s="80"/>
      <c r="G25" s="80">
        <f>C25-E25</f>
        <v>81.260000000000019</v>
      </c>
      <c r="I25" s="25">
        <f>I23+I24+C25-E25</f>
        <v>0</v>
      </c>
    </row>
    <row r="26" spans="1:11" x14ac:dyDescent="0.2">
      <c r="A26" s="79">
        <v>44927</v>
      </c>
      <c r="C26" s="80">
        <v>134.69</v>
      </c>
      <c r="D26" s="80"/>
      <c r="E26" s="80">
        <f>C26</f>
        <v>134.69</v>
      </c>
      <c r="F26" s="80"/>
      <c r="G26" s="80"/>
      <c r="I26" s="25"/>
    </row>
    <row r="27" spans="1:11" x14ac:dyDescent="0.2">
      <c r="A27" s="79">
        <v>44958</v>
      </c>
      <c r="C27" s="80">
        <v>112.56</v>
      </c>
      <c r="D27" s="80"/>
      <c r="E27" s="80">
        <f>C27</f>
        <v>112.56</v>
      </c>
      <c r="F27" s="80"/>
      <c r="G27" s="80"/>
      <c r="I27" s="25"/>
    </row>
    <row r="28" spans="1:11" x14ac:dyDescent="0.2">
      <c r="A28" s="79">
        <v>44986</v>
      </c>
      <c r="C28" s="80">
        <f>202.09-Utilities!C27</f>
        <v>89.53</v>
      </c>
      <c r="D28" s="80"/>
      <c r="E28" s="80">
        <f>C28</f>
        <v>89.53</v>
      </c>
      <c r="F28" s="80"/>
      <c r="G28" s="80"/>
      <c r="I28" s="25"/>
    </row>
    <row r="29" spans="1:11" x14ac:dyDescent="0.2">
      <c r="A29" s="79">
        <v>45017</v>
      </c>
      <c r="C29" s="80">
        <v>82.36</v>
      </c>
      <c r="D29" s="80"/>
      <c r="E29" s="80">
        <f t="shared" ref="E29:E33" si="5">C29</f>
        <v>82.36</v>
      </c>
      <c r="F29" s="80"/>
      <c r="G29" s="80"/>
      <c r="I29" s="25"/>
    </row>
    <row r="30" spans="1:11" x14ac:dyDescent="0.2">
      <c r="A30" s="79">
        <v>45047</v>
      </c>
      <c r="C30" s="87">
        <v>123.12</v>
      </c>
      <c r="D30" s="80"/>
      <c r="E30" s="80">
        <f t="shared" si="5"/>
        <v>123.12</v>
      </c>
      <c r="F30" s="80"/>
      <c r="G30" s="80"/>
      <c r="I30" s="25"/>
    </row>
    <row r="31" spans="1:11" x14ac:dyDescent="0.2">
      <c r="A31" s="79"/>
      <c r="C31" s="80">
        <f>SUM(C18:C30)</f>
        <v>1519.5699999999997</v>
      </c>
      <c r="D31" s="80"/>
      <c r="E31" s="80"/>
      <c r="F31" s="80"/>
      <c r="G31" s="80"/>
      <c r="I31" s="25"/>
    </row>
    <row r="32" spans="1:11" x14ac:dyDescent="0.2">
      <c r="A32" s="79"/>
      <c r="C32" s="80"/>
      <c r="D32" s="80"/>
      <c r="E32" s="80"/>
      <c r="F32" s="80"/>
      <c r="G32" s="80"/>
      <c r="I32" s="25"/>
    </row>
    <row r="33" spans="1:7" x14ac:dyDescent="0.2">
      <c r="A33" s="79">
        <v>45078</v>
      </c>
      <c r="C33" s="80">
        <v>129.46</v>
      </c>
      <c r="D33" s="80"/>
      <c r="E33" s="80">
        <f t="shared" si="5"/>
        <v>129.46</v>
      </c>
      <c r="F33" s="80"/>
      <c r="G33" s="80"/>
    </row>
    <row r="34" spans="1:7" x14ac:dyDescent="0.2">
      <c r="A34" s="79">
        <v>45108</v>
      </c>
      <c r="C34" s="80"/>
      <c r="D34" s="80"/>
      <c r="E34" s="80"/>
      <c r="F34" s="80"/>
      <c r="G34" s="80"/>
    </row>
    <row r="35" spans="1:7" x14ac:dyDescent="0.2">
      <c r="C35" s="80"/>
      <c r="D35" s="80"/>
      <c r="E35" s="80"/>
      <c r="F35" s="80"/>
      <c r="G35" s="80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BDB2BD-6A46-4194-B53C-DCA0AB51B947}">
  <dimension ref="A1:J25"/>
  <sheetViews>
    <sheetView workbookViewId="0">
      <selection activeCell="M22" sqref="M22"/>
    </sheetView>
  </sheetViews>
  <sheetFormatPr defaultRowHeight="14.25" x14ac:dyDescent="0.2"/>
  <cols>
    <col min="1" max="1" width="18.85546875" style="3" customWidth="1"/>
    <col min="2" max="2" width="2.28515625" style="3" customWidth="1"/>
    <col min="3" max="3" width="13.7109375" style="3" customWidth="1"/>
    <col min="4" max="4" width="14.28515625" style="3" customWidth="1"/>
    <col min="5" max="5" width="2.85546875" style="3" customWidth="1"/>
    <col min="6" max="6" width="12.42578125" style="3" customWidth="1"/>
    <col min="7" max="7" width="11.5703125" style="3" customWidth="1"/>
    <col min="8" max="8" width="12.85546875" style="3" customWidth="1"/>
    <col min="9" max="9" width="11" style="3" customWidth="1"/>
    <col min="10" max="10" width="6.5703125" style="3" bestFit="1" customWidth="1"/>
    <col min="11" max="256" width="9.140625" style="3"/>
    <col min="257" max="257" width="2.5703125" style="3" bestFit="1" customWidth="1"/>
    <col min="258" max="258" width="11.42578125" style="3" customWidth="1"/>
    <col min="259" max="259" width="11.5703125" style="3" customWidth="1"/>
    <col min="260" max="260" width="14.28515625" style="3" customWidth="1"/>
    <col min="261" max="261" width="12.42578125" style="3" customWidth="1"/>
    <col min="262" max="262" width="11.5703125" style="3" customWidth="1"/>
    <col min="263" max="263" width="11" style="3" customWidth="1"/>
    <col min="264" max="264" width="11.140625" style="3" customWidth="1"/>
    <col min="265" max="265" width="11" style="3" customWidth="1"/>
    <col min="266" max="266" width="6.5703125" style="3" bestFit="1" customWidth="1"/>
    <col min="267" max="512" width="9.140625" style="3"/>
    <col min="513" max="513" width="2.5703125" style="3" bestFit="1" customWidth="1"/>
    <col min="514" max="514" width="11.42578125" style="3" customWidth="1"/>
    <col min="515" max="515" width="11.5703125" style="3" customWidth="1"/>
    <col min="516" max="516" width="14.28515625" style="3" customWidth="1"/>
    <col min="517" max="517" width="12.42578125" style="3" customWidth="1"/>
    <col min="518" max="518" width="11.5703125" style="3" customWidth="1"/>
    <col min="519" max="519" width="11" style="3" customWidth="1"/>
    <col min="520" max="520" width="11.140625" style="3" customWidth="1"/>
    <col min="521" max="521" width="11" style="3" customWidth="1"/>
    <col min="522" max="522" width="6.5703125" style="3" bestFit="1" customWidth="1"/>
    <col min="523" max="768" width="9.140625" style="3"/>
    <col min="769" max="769" width="2.5703125" style="3" bestFit="1" customWidth="1"/>
    <col min="770" max="770" width="11.42578125" style="3" customWidth="1"/>
    <col min="771" max="771" width="11.5703125" style="3" customWidth="1"/>
    <col min="772" max="772" width="14.28515625" style="3" customWidth="1"/>
    <col min="773" max="773" width="12.42578125" style="3" customWidth="1"/>
    <col min="774" max="774" width="11.5703125" style="3" customWidth="1"/>
    <col min="775" max="775" width="11" style="3" customWidth="1"/>
    <col min="776" max="776" width="11.140625" style="3" customWidth="1"/>
    <col min="777" max="777" width="11" style="3" customWidth="1"/>
    <col min="778" max="778" width="6.5703125" style="3" bestFit="1" customWidth="1"/>
    <col min="779" max="1024" width="9.140625" style="3"/>
    <col min="1025" max="1025" width="2.5703125" style="3" bestFit="1" customWidth="1"/>
    <col min="1026" max="1026" width="11.42578125" style="3" customWidth="1"/>
    <col min="1027" max="1027" width="11.5703125" style="3" customWidth="1"/>
    <col min="1028" max="1028" width="14.28515625" style="3" customWidth="1"/>
    <col min="1029" max="1029" width="12.42578125" style="3" customWidth="1"/>
    <col min="1030" max="1030" width="11.5703125" style="3" customWidth="1"/>
    <col min="1031" max="1031" width="11" style="3" customWidth="1"/>
    <col min="1032" max="1032" width="11.140625" style="3" customWidth="1"/>
    <col min="1033" max="1033" width="11" style="3" customWidth="1"/>
    <col min="1034" max="1034" width="6.5703125" style="3" bestFit="1" customWidth="1"/>
    <col min="1035" max="1280" width="9.140625" style="3"/>
    <col min="1281" max="1281" width="2.5703125" style="3" bestFit="1" customWidth="1"/>
    <col min="1282" max="1282" width="11.42578125" style="3" customWidth="1"/>
    <col min="1283" max="1283" width="11.5703125" style="3" customWidth="1"/>
    <col min="1284" max="1284" width="14.28515625" style="3" customWidth="1"/>
    <col min="1285" max="1285" width="12.42578125" style="3" customWidth="1"/>
    <col min="1286" max="1286" width="11.5703125" style="3" customWidth="1"/>
    <col min="1287" max="1287" width="11" style="3" customWidth="1"/>
    <col min="1288" max="1288" width="11.140625" style="3" customWidth="1"/>
    <col min="1289" max="1289" width="11" style="3" customWidth="1"/>
    <col min="1290" max="1290" width="6.5703125" style="3" bestFit="1" customWidth="1"/>
    <col min="1291" max="1536" width="9.140625" style="3"/>
    <col min="1537" max="1537" width="2.5703125" style="3" bestFit="1" customWidth="1"/>
    <col min="1538" max="1538" width="11.42578125" style="3" customWidth="1"/>
    <col min="1539" max="1539" width="11.5703125" style="3" customWidth="1"/>
    <col min="1540" max="1540" width="14.28515625" style="3" customWidth="1"/>
    <col min="1541" max="1541" width="12.42578125" style="3" customWidth="1"/>
    <col min="1542" max="1542" width="11.5703125" style="3" customWidth="1"/>
    <col min="1543" max="1543" width="11" style="3" customWidth="1"/>
    <col min="1544" max="1544" width="11.140625" style="3" customWidth="1"/>
    <col min="1545" max="1545" width="11" style="3" customWidth="1"/>
    <col min="1546" max="1546" width="6.5703125" style="3" bestFit="1" customWidth="1"/>
    <col min="1547" max="1792" width="9.140625" style="3"/>
    <col min="1793" max="1793" width="2.5703125" style="3" bestFit="1" customWidth="1"/>
    <col min="1794" max="1794" width="11.42578125" style="3" customWidth="1"/>
    <col min="1795" max="1795" width="11.5703125" style="3" customWidth="1"/>
    <col min="1796" max="1796" width="14.28515625" style="3" customWidth="1"/>
    <col min="1797" max="1797" width="12.42578125" style="3" customWidth="1"/>
    <col min="1798" max="1798" width="11.5703125" style="3" customWidth="1"/>
    <col min="1799" max="1799" width="11" style="3" customWidth="1"/>
    <col min="1800" max="1800" width="11.140625" style="3" customWidth="1"/>
    <col min="1801" max="1801" width="11" style="3" customWidth="1"/>
    <col min="1802" max="1802" width="6.5703125" style="3" bestFit="1" customWidth="1"/>
    <col min="1803" max="2048" width="9.140625" style="3"/>
    <col min="2049" max="2049" width="2.5703125" style="3" bestFit="1" customWidth="1"/>
    <col min="2050" max="2050" width="11.42578125" style="3" customWidth="1"/>
    <col min="2051" max="2051" width="11.5703125" style="3" customWidth="1"/>
    <col min="2052" max="2052" width="14.28515625" style="3" customWidth="1"/>
    <col min="2053" max="2053" width="12.42578125" style="3" customWidth="1"/>
    <col min="2054" max="2054" width="11.5703125" style="3" customWidth="1"/>
    <col min="2055" max="2055" width="11" style="3" customWidth="1"/>
    <col min="2056" max="2056" width="11.140625" style="3" customWidth="1"/>
    <col min="2057" max="2057" width="11" style="3" customWidth="1"/>
    <col min="2058" max="2058" width="6.5703125" style="3" bestFit="1" customWidth="1"/>
    <col min="2059" max="2304" width="9.140625" style="3"/>
    <col min="2305" max="2305" width="2.5703125" style="3" bestFit="1" customWidth="1"/>
    <col min="2306" max="2306" width="11.42578125" style="3" customWidth="1"/>
    <col min="2307" max="2307" width="11.5703125" style="3" customWidth="1"/>
    <col min="2308" max="2308" width="14.28515625" style="3" customWidth="1"/>
    <col min="2309" max="2309" width="12.42578125" style="3" customWidth="1"/>
    <col min="2310" max="2310" width="11.5703125" style="3" customWidth="1"/>
    <col min="2311" max="2311" width="11" style="3" customWidth="1"/>
    <col min="2312" max="2312" width="11.140625" style="3" customWidth="1"/>
    <col min="2313" max="2313" width="11" style="3" customWidth="1"/>
    <col min="2314" max="2314" width="6.5703125" style="3" bestFit="1" customWidth="1"/>
    <col min="2315" max="2560" width="9.140625" style="3"/>
    <col min="2561" max="2561" width="2.5703125" style="3" bestFit="1" customWidth="1"/>
    <col min="2562" max="2562" width="11.42578125" style="3" customWidth="1"/>
    <col min="2563" max="2563" width="11.5703125" style="3" customWidth="1"/>
    <col min="2564" max="2564" width="14.28515625" style="3" customWidth="1"/>
    <col min="2565" max="2565" width="12.42578125" style="3" customWidth="1"/>
    <col min="2566" max="2566" width="11.5703125" style="3" customWidth="1"/>
    <col min="2567" max="2567" width="11" style="3" customWidth="1"/>
    <col min="2568" max="2568" width="11.140625" style="3" customWidth="1"/>
    <col min="2569" max="2569" width="11" style="3" customWidth="1"/>
    <col min="2570" max="2570" width="6.5703125" style="3" bestFit="1" customWidth="1"/>
    <col min="2571" max="2816" width="9.140625" style="3"/>
    <col min="2817" max="2817" width="2.5703125" style="3" bestFit="1" customWidth="1"/>
    <col min="2818" max="2818" width="11.42578125" style="3" customWidth="1"/>
    <col min="2819" max="2819" width="11.5703125" style="3" customWidth="1"/>
    <col min="2820" max="2820" width="14.28515625" style="3" customWidth="1"/>
    <col min="2821" max="2821" width="12.42578125" style="3" customWidth="1"/>
    <col min="2822" max="2822" width="11.5703125" style="3" customWidth="1"/>
    <col min="2823" max="2823" width="11" style="3" customWidth="1"/>
    <col min="2824" max="2824" width="11.140625" style="3" customWidth="1"/>
    <col min="2825" max="2825" width="11" style="3" customWidth="1"/>
    <col min="2826" max="2826" width="6.5703125" style="3" bestFit="1" customWidth="1"/>
    <col min="2827" max="3072" width="9.140625" style="3"/>
    <col min="3073" max="3073" width="2.5703125" style="3" bestFit="1" customWidth="1"/>
    <col min="3074" max="3074" width="11.42578125" style="3" customWidth="1"/>
    <col min="3075" max="3075" width="11.5703125" style="3" customWidth="1"/>
    <col min="3076" max="3076" width="14.28515625" style="3" customWidth="1"/>
    <col min="3077" max="3077" width="12.42578125" style="3" customWidth="1"/>
    <col min="3078" max="3078" width="11.5703125" style="3" customWidth="1"/>
    <col min="3079" max="3079" width="11" style="3" customWidth="1"/>
    <col min="3080" max="3080" width="11.140625" style="3" customWidth="1"/>
    <col min="3081" max="3081" width="11" style="3" customWidth="1"/>
    <col min="3082" max="3082" width="6.5703125" style="3" bestFit="1" customWidth="1"/>
    <col min="3083" max="3328" width="9.140625" style="3"/>
    <col min="3329" max="3329" width="2.5703125" style="3" bestFit="1" customWidth="1"/>
    <col min="3330" max="3330" width="11.42578125" style="3" customWidth="1"/>
    <col min="3331" max="3331" width="11.5703125" style="3" customWidth="1"/>
    <col min="3332" max="3332" width="14.28515625" style="3" customWidth="1"/>
    <col min="3333" max="3333" width="12.42578125" style="3" customWidth="1"/>
    <col min="3334" max="3334" width="11.5703125" style="3" customWidth="1"/>
    <col min="3335" max="3335" width="11" style="3" customWidth="1"/>
    <col min="3336" max="3336" width="11.140625" style="3" customWidth="1"/>
    <col min="3337" max="3337" width="11" style="3" customWidth="1"/>
    <col min="3338" max="3338" width="6.5703125" style="3" bestFit="1" customWidth="1"/>
    <col min="3339" max="3584" width="9.140625" style="3"/>
    <col min="3585" max="3585" width="2.5703125" style="3" bestFit="1" customWidth="1"/>
    <col min="3586" max="3586" width="11.42578125" style="3" customWidth="1"/>
    <col min="3587" max="3587" width="11.5703125" style="3" customWidth="1"/>
    <col min="3588" max="3588" width="14.28515625" style="3" customWidth="1"/>
    <col min="3589" max="3589" width="12.42578125" style="3" customWidth="1"/>
    <col min="3590" max="3590" width="11.5703125" style="3" customWidth="1"/>
    <col min="3591" max="3591" width="11" style="3" customWidth="1"/>
    <col min="3592" max="3592" width="11.140625" style="3" customWidth="1"/>
    <col min="3593" max="3593" width="11" style="3" customWidth="1"/>
    <col min="3594" max="3594" width="6.5703125" style="3" bestFit="1" customWidth="1"/>
    <col min="3595" max="3840" width="9.140625" style="3"/>
    <col min="3841" max="3841" width="2.5703125" style="3" bestFit="1" customWidth="1"/>
    <col min="3842" max="3842" width="11.42578125" style="3" customWidth="1"/>
    <col min="3843" max="3843" width="11.5703125" style="3" customWidth="1"/>
    <col min="3844" max="3844" width="14.28515625" style="3" customWidth="1"/>
    <col min="3845" max="3845" width="12.42578125" style="3" customWidth="1"/>
    <col min="3846" max="3846" width="11.5703125" style="3" customWidth="1"/>
    <col min="3847" max="3847" width="11" style="3" customWidth="1"/>
    <col min="3848" max="3848" width="11.140625" style="3" customWidth="1"/>
    <col min="3849" max="3849" width="11" style="3" customWidth="1"/>
    <col min="3850" max="3850" width="6.5703125" style="3" bestFit="1" customWidth="1"/>
    <col min="3851" max="4096" width="9.140625" style="3"/>
    <col min="4097" max="4097" width="2.5703125" style="3" bestFit="1" customWidth="1"/>
    <col min="4098" max="4098" width="11.42578125" style="3" customWidth="1"/>
    <col min="4099" max="4099" width="11.5703125" style="3" customWidth="1"/>
    <col min="4100" max="4100" width="14.28515625" style="3" customWidth="1"/>
    <col min="4101" max="4101" width="12.42578125" style="3" customWidth="1"/>
    <col min="4102" max="4102" width="11.5703125" style="3" customWidth="1"/>
    <col min="4103" max="4103" width="11" style="3" customWidth="1"/>
    <col min="4104" max="4104" width="11.140625" style="3" customWidth="1"/>
    <col min="4105" max="4105" width="11" style="3" customWidth="1"/>
    <col min="4106" max="4106" width="6.5703125" style="3" bestFit="1" customWidth="1"/>
    <col min="4107" max="4352" width="9.140625" style="3"/>
    <col min="4353" max="4353" width="2.5703125" style="3" bestFit="1" customWidth="1"/>
    <col min="4354" max="4354" width="11.42578125" style="3" customWidth="1"/>
    <col min="4355" max="4355" width="11.5703125" style="3" customWidth="1"/>
    <col min="4356" max="4356" width="14.28515625" style="3" customWidth="1"/>
    <col min="4357" max="4357" width="12.42578125" style="3" customWidth="1"/>
    <col min="4358" max="4358" width="11.5703125" style="3" customWidth="1"/>
    <col min="4359" max="4359" width="11" style="3" customWidth="1"/>
    <col min="4360" max="4360" width="11.140625" style="3" customWidth="1"/>
    <col min="4361" max="4361" width="11" style="3" customWidth="1"/>
    <col min="4362" max="4362" width="6.5703125" style="3" bestFit="1" customWidth="1"/>
    <col min="4363" max="4608" width="9.140625" style="3"/>
    <col min="4609" max="4609" width="2.5703125" style="3" bestFit="1" customWidth="1"/>
    <col min="4610" max="4610" width="11.42578125" style="3" customWidth="1"/>
    <col min="4611" max="4611" width="11.5703125" style="3" customWidth="1"/>
    <col min="4612" max="4612" width="14.28515625" style="3" customWidth="1"/>
    <col min="4613" max="4613" width="12.42578125" style="3" customWidth="1"/>
    <col min="4614" max="4614" width="11.5703125" style="3" customWidth="1"/>
    <col min="4615" max="4615" width="11" style="3" customWidth="1"/>
    <col min="4616" max="4616" width="11.140625" style="3" customWidth="1"/>
    <col min="4617" max="4617" width="11" style="3" customWidth="1"/>
    <col min="4618" max="4618" width="6.5703125" style="3" bestFit="1" customWidth="1"/>
    <col min="4619" max="4864" width="9.140625" style="3"/>
    <col min="4865" max="4865" width="2.5703125" style="3" bestFit="1" customWidth="1"/>
    <col min="4866" max="4866" width="11.42578125" style="3" customWidth="1"/>
    <col min="4867" max="4867" width="11.5703125" style="3" customWidth="1"/>
    <col min="4868" max="4868" width="14.28515625" style="3" customWidth="1"/>
    <col min="4869" max="4869" width="12.42578125" style="3" customWidth="1"/>
    <col min="4870" max="4870" width="11.5703125" style="3" customWidth="1"/>
    <col min="4871" max="4871" width="11" style="3" customWidth="1"/>
    <col min="4872" max="4872" width="11.140625" style="3" customWidth="1"/>
    <col min="4873" max="4873" width="11" style="3" customWidth="1"/>
    <col min="4874" max="4874" width="6.5703125" style="3" bestFit="1" customWidth="1"/>
    <col min="4875" max="5120" width="9.140625" style="3"/>
    <col min="5121" max="5121" width="2.5703125" style="3" bestFit="1" customWidth="1"/>
    <col min="5122" max="5122" width="11.42578125" style="3" customWidth="1"/>
    <col min="5123" max="5123" width="11.5703125" style="3" customWidth="1"/>
    <col min="5124" max="5124" width="14.28515625" style="3" customWidth="1"/>
    <col min="5125" max="5125" width="12.42578125" style="3" customWidth="1"/>
    <col min="5126" max="5126" width="11.5703125" style="3" customWidth="1"/>
    <col min="5127" max="5127" width="11" style="3" customWidth="1"/>
    <col min="5128" max="5128" width="11.140625" style="3" customWidth="1"/>
    <col min="5129" max="5129" width="11" style="3" customWidth="1"/>
    <col min="5130" max="5130" width="6.5703125" style="3" bestFit="1" customWidth="1"/>
    <col min="5131" max="5376" width="9.140625" style="3"/>
    <col min="5377" max="5377" width="2.5703125" style="3" bestFit="1" customWidth="1"/>
    <col min="5378" max="5378" width="11.42578125" style="3" customWidth="1"/>
    <col min="5379" max="5379" width="11.5703125" style="3" customWidth="1"/>
    <col min="5380" max="5380" width="14.28515625" style="3" customWidth="1"/>
    <col min="5381" max="5381" width="12.42578125" style="3" customWidth="1"/>
    <col min="5382" max="5382" width="11.5703125" style="3" customWidth="1"/>
    <col min="5383" max="5383" width="11" style="3" customWidth="1"/>
    <col min="5384" max="5384" width="11.140625" style="3" customWidth="1"/>
    <col min="5385" max="5385" width="11" style="3" customWidth="1"/>
    <col min="5386" max="5386" width="6.5703125" style="3" bestFit="1" customWidth="1"/>
    <col min="5387" max="5632" width="9.140625" style="3"/>
    <col min="5633" max="5633" width="2.5703125" style="3" bestFit="1" customWidth="1"/>
    <col min="5634" max="5634" width="11.42578125" style="3" customWidth="1"/>
    <col min="5635" max="5635" width="11.5703125" style="3" customWidth="1"/>
    <col min="5636" max="5636" width="14.28515625" style="3" customWidth="1"/>
    <col min="5637" max="5637" width="12.42578125" style="3" customWidth="1"/>
    <col min="5638" max="5638" width="11.5703125" style="3" customWidth="1"/>
    <col min="5639" max="5639" width="11" style="3" customWidth="1"/>
    <col min="5640" max="5640" width="11.140625" style="3" customWidth="1"/>
    <col min="5641" max="5641" width="11" style="3" customWidth="1"/>
    <col min="5642" max="5642" width="6.5703125" style="3" bestFit="1" customWidth="1"/>
    <col min="5643" max="5888" width="9.140625" style="3"/>
    <col min="5889" max="5889" width="2.5703125" style="3" bestFit="1" customWidth="1"/>
    <col min="5890" max="5890" width="11.42578125" style="3" customWidth="1"/>
    <col min="5891" max="5891" width="11.5703125" style="3" customWidth="1"/>
    <col min="5892" max="5892" width="14.28515625" style="3" customWidth="1"/>
    <col min="5893" max="5893" width="12.42578125" style="3" customWidth="1"/>
    <col min="5894" max="5894" width="11.5703125" style="3" customWidth="1"/>
    <col min="5895" max="5895" width="11" style="3" customWidth="1"/>
    <col min="5896" max="5896" width="11.140625" style="3" customWidth="1"/>
    <col min="5897" max="5897" width="11" style="3" customWidth="1"/>
    <col min="5898" max="5898" width="6.5703125" style="3" bestFit="1" customWidth="1"/>
    <col min="5899" max="6144" width="9.140625" style="3"/>
    <col min="6145" max="6145" width="2.5703125" style="3" bestFit="1" customWidth="1"/>
    <col min="6146" max="6146" width="11.42578125" style="3" customWidth="1"/>
    <col min="6147" max="6147" width="11.5703125" style="3" customWidth="1"/>
    <col min="6148" max="6148" width="14.28515625" style="3" customWidth="1"/>
    <col min="6149" max="6149" width="12.42578125" style="3" customWidth="1"/>
    <col min="6150" max="6150" width="11.5703125" style="3" customWidth="1"/>
    <col min="6151" max="6151" width="11" style="3" customWidth="1"/>
    <col min="6152" max="6152" width="11.140625" style="3" customWidth="1"/>
    <col min="6153" max="6153" width="11" style="3" customWidth="1"/>
    <col min="6154" max="6154" width="6.5703125" style="3" bestFit="1" customWidth="1"/>
    <col min="6155" max="6400" width="9.140625" style="3"/>
    <col min="6401" max="6401" width="2.5703125" style="3" bestFit="1" customWidth="1"/>
    <col min="6402" max="6402" width="11.42578125" style="3" customWidth="1"/>
    <col min="6403" max="6403" width="11.5703125" style="3" customWidth="1"/>
    <col min="6404" max="6404" width="14.28515625" style="3" customWidth="1"/>
    <col min="6405" max="6405" width="12.42578125" style="3" customWidth="1"/>
    <col min="6406" max="6406" width="11.5703125" style="3" customWidth="1"/>
    <col min="6407" max="6407" width="11" style="3" customWidth="1"/>
    <col min="6408" max="6408" width="11.140625" style="3" customWidth="1"/>
    <col min="6409" max="6409" width="11" style="3" customWidth="1"/>
    <col min="6410" max="6410" width="6.5703125" style="3" bestFit="1" customWidth="1"/>
    <col min="6411" max="6656" width="9.140625" style="3"/>
    <col min="6657" max="6657" width="2.5703125" style="3" bestFit="1" customWidth="1"/>
    <col min="6658" max="6658" width="11.42578125" style="3" customWidth="1"/>
    <col min="6659" max="6659" width="11.5703125" style="3" customWidth="1"/>
    <col min="6660" max="6660" width="14.28515625" style="3" customWidth="1"/>
    <col min="6661" max="6661" width="12.42578125" style="3" customWidth="1"/>
    <col min="6662" max="6662" width="11.5703125" style="3" customWidth="1"/>
    <col min="6663" max="6663" width="11" style="3" customWidth="1"/>
    <col min="6664" max="6664" width="11.140625" style="3" customWidth="1"/>
    <col min="6665" max="6665" width="11" style="3" customWidth="1"/>
    <col min="6666" max="6666" width="6.5703125" style="3" bestFit="1" customWidth="1"/>
    <col min="6667" max="6912" width="9.140625" style="3"/>
    <col min="6913" max="6913" width="2.5703125" style="3" bestFit="1" customWidth="1"/>
    <col min="6914" max="6914" width="11.42578125" style="3" customWidth="1"/>
    <col min="6915" max="6915" width="11.5703125" style="3" customWidth="1"/>
    <col min="6916" max="6916" width="14.28515625" style="3" customWidth="1"/>
    <col min="6917" max="6917" width="12.42578125" style="3" customWidth="1"/>
    <col min="6918" max="6918" width="11.5703125" style="3" customWidth="1"/>
    <col min="6919" max="6919" width="11" style="3" customWidth="1"/>
    <col min="6920" max="6920" width="11.140625" style="3" customWidth="1"/>
    <col min="6921" max="6921" width="11" style="3" customWidth="1"/>
    <col min="6922" max="6922" width="6.5703125" style="3" bestFit="1" customWidth="1"/>
    <col min="6923" max="7168" width="9.140625" style="3"/>
    <col min="7169" max="7169" width="2.5703125" style="3" bestFit="1" customWidth="1"/>
    <col min="7170" max="7170" width="11.42578125" style="3" customWidth="1"/>
    <col min="7171" max="7171" width="11.5703125" style="3" customWidth="1"/>
    <col min="7172" max="7172" width="14.28515625" style="3" customWidth="1"/>
    <col min="7173" max="7173" width="12.42578125" style="3" customWidth="1"/>
    <col min="7174" max="7174" width="11.5703125" style="3" customWidth="1"/>
    <col min="7175" max="7175" width="11" style="3" customWidth="1"/>
    <col min="7176" max="7176" width="11.140625" style="3" customWidth="1"/>
    <col min="7177" max="7177" width="11" style="3" customWidth="1"/>
    <col min="7178" max="7178" width="6.5703125" style="3" bestFit="1" customWidth="1"/>
    <col min="7179" max="7424" width="9.140625" style="3"/>
    <col min="7425" max="7425" width="2.5703125" style="3" bestFit="1" customWidth="1"/>
    <col min="7426" max="7426" width="11.42578125" style="3" customWidth="1"/>
    <col min="7427" max="7427" width="11.5703125" style="3" customWidth="1"/>
    <col min="7428" max="7428" width="14.28515625" style="3" customWidth="1"/>
    <col min="7429" max="7429" width="12.42578125" style="3" customWidth="1"/>
    <col min="7430" max="7430" width="11.5703125" style="3" customWidth="1"/>
    <col min="7431" max="7431" width="11" style="3" customWidth="1"/>
    <col min="7432" max="7432" width="11.140625" style="3" customWidth="1"/>
    <col min="7433" max="7433" width="11" style="3" customWidth="1"/>
    <col min="7434" max="7434" width="6.5703125" style="3" bestFit="1" customWidth="1"/>
    <col min="7435" max="7680" width="9.140625" style="3"/>
    <col min="7681" max="7681" width="2.5703125" style="3" bestFit="1" customWidth="1"/>
    <col min="7682" max="7682" width="11.42578125" style="3" customWidth="1"/>
    <col min="7683" max="7683" width="11.5703125" style="3" customWidth="1"/>
    <col min="7684" max="7684" width="14.28515625" style="3" customWidth="1"/>
    <col min="7685" max="7685" width="12.42578125" style="3" customWidth="1"/>
    <col min="7686" max="7686" width="11.5703125" style="3" customWidth="1"/>
    <col min="7687" max="7687" width="11" style="3" customWidth="1"/>
    <col min="7688" max="7688" width="11.140625" style="3" customWidth="1"/>
    <col min="7689" max="7689" width="11" style="3" customWidth="1"/>
    <col min="7690" max="7690" width="6.5703125" style="3" bestFit="1" customWidth="1"/>
    <col min="7691" max="7936" width="9.140625" style="3"/>
    <col min="7937" max="7937" width="2.5703125" style="3" bestFit="1" customWidth="1"/>
    <col min="7938" max="7938" width="11.42578125" style="3" customWidth="1"/>
    <col min="7939" max="7939" width="11.5703125" style="3" customWidth="1"/>
    <col min="7940" max="7940" width="14.28515625" style="3" customWidth="1"/>
    <col min="7941" max="7941" width="12.42578125" style="3" customWidth="1"/>
    <col min="7942" max="7942" width="11.5703125" style="3" customWidth="1"/>
    <col min="7943" max="7943" width="11" style="3" customWidth="1"/>
    <col min="7944" max="7944" width="11.140625" style="3" customWidth="1"/>
    <col min="7945" max="7945" width="11" style="3" customWidth="1"/>
    <col min="7946" max="7946" width="6.5703125" style="3" bestFit="1" customWidth="1"/>
    <col min="7947" max="8192" width="9.140625" style="3"/>
    <col min="8193" max="8193" width="2.5703125" style="3" bestFit="1" customWidth="1"/>
    <col min="8194" max="8194" width="11.42578125" style="3" customWidth="1"/>
    <col min="8195" max="8195" width="11.5703125" style="3" customWidth="1"/>
    <col min="8196" max="8196" width="14.28515625" style="3" customWidth="1"/>
    <col min="8197" max="8197" width="12.42578125" style="3" customWidth="1"/>
    <col min="8198" max="8198" width="11.5703125" style="3" customWidth="1"/>
    <col min="8199" max="8199" width="11" style="3" customWidth="1"/>
    <col min="8200" max="8200" width="11.140625" style="3" customWidth="1"/>
    <col min="8201" max="8201" width="11" style="3" customWidth="1"/>
    <col min="8202" max="8202" width="6.5703125" style="3" bestFit="1" customWidth="1"/>
    <col min="8203" max="8448" width="9.140625" style="3"/>
    <col min="8449" max="8449" width="2.5703125" style="3" bestFit="1" customWidth="1"/>
    <col min="8450" max="8450" width="11.42578125" style="3" customWidth="1"/>
    <col min="8451" max="8451" width="11.5703125" style="3" customWidth="1"/>
    <col min="8452" max="8452" width="14.28515625" style="3" customWidth="1"/>
    <col min="8453" max="8453" width="12.42578125" style="3" customWidth="1"/>
    <col min="8454" max="8454" width="11.5703125" style="3" customWidth="1"/>
    <col min="8455" max="8455" width="11" style="3" customWidth="1"/>
    <col min="8456" max="8456" width="11.140625" style="3" customWidth="1"/>
    <col min="8457" max="8457" width="11" style="3" customWidth="1"/>
    <col min="8458" max="8458" width="6.5703125" style="3" bestFit="1" customWidth="1"/>
    <col min="8459" max="8704" width="9.140625" style="3"/>
    <col min="8705" max="8705" width="2.5703125" style="3" bestFit="1" customWidth="1"/>
    <col min="8706" max="8706" width="11.42578125" style="3" customWidth="1"/>
    <col min="8707" max="8707" width="11.5703125" style="3" customWidth="1"/>
    <col min="8708" max="8708" width="14.28515625" style="3" customWidth="1"/>
    <col min="8709" max="8709" width="12.42578125" style="3" customWidth="1"/>
    <col min="8710" max="8710" width="11.5703125" style="3" customWidth="1"/>
    <col min="8711" max="8711" width="11" style="3" customWidth="1"/>
    <col min="8712" max="8712" width="11.140625" style="3" customWidth="1"/>
    <col min="8713" max="8713" width="11" style="3" customWidth="1"/>
    <col min="8714" max="8714" width="6.5703125" style="3" bestFit="1" customWidth="1"/>
    <col min="8715" max="8960" width="9.140625" style="3"/>
    <col min="8961" max="8961" width="2.5703125" style="3" bestFit="1" customWidth="1"/>
    <col min="8962" max="8962" width="11.42578125" style="3" customWidth="1"/>
    <col min="8963" max="8963" width="11.5703125" style="3" customWidth="1"/>
    <col min="8964" max="8964" width="14.28515625" style="3" customWidth="1"/>
    <col min="8965" max="8965" width="12.42578125" style="3" customWidth="1"/>
    <col min="8966" max="8966" width="11.5703125" style="3" customWidth="1"/>
    <col min="8967" max="8967" width="11" style="3" customWidth="1"/>
    <col min="8968" max="8968" width="11.140625" style="3" customWidth="1"/>
    <col min="8969" max="8969" width="11" style="3" customWidth="1"/>
    <col min="8970" max="8970" width="6.5703125" style="3" bestFit="1" customWidth="1"/>
    <col min="8971" max="9216" width="9.140625" style="3"/>
    <col min="9217" max="9217" width="2.5703125" style="3" bestFit="1" customWidth="1"/>
    <col min="9218" max="9218" width="11.42578125" style="3" customWidth="1"/>
    <col min="9219" max="9219" width="11.5703125" style="3" customWidth="1"/>
    <col min="9220" max="9220" width="14.28515625" style="3" customWidth="1"/>
    <col min="9221" max="9221" width="12.42578125" style="3" customWidth="1"/>
    <col min="9222" max="9222" width="11.5703125" style="3" customWidth="1"/>
    <col min="9223" max="9223" width="11" style="3" customWidth="1"/>
    <col min="9224" max="9224" width="11.140625" style="3" customWidth="1"/>
    <col min="9225" max="9225" width="11" style="3" customWidth="1"/>
    <col min="9226" max="9226" width="6.5703125" style="3" bestFit="1" customWidth="1"/>
    <col min="9227" max="9472" width="9.140625" style="3"/>
    <col min="9473" max="9473" width="2.5703125" style="3" bestFit="1" customWidth="1"/>
    <col min="9474" max="9474" width="11.42578125" style="3" customWidth="1"/>
    <col min="9475" max="9475" width="11.5703125" style="3" customWidth="1"/>
    <col min="9476" max="9476" width="14.28515625" style="3" customWidth="1"/>
    <col min="9477" max="9477" width="12.42578125" style="3" customWidth="1"/>
    <col min="9478" max="9478" width="11.5703125" style="3" customWidth="1"/>
    <col min="9479" max="9479" width="11" style="3" customWidth="1"/>
    <col min="9480" max="9480" width="11.140625" style="3" customWidth="1"/>
    <col min="9481" max="9481" width="11" style="3" customWidth="1"/>
    <col min="9482" max="9482" width="6.5703125" style="3" bestFit="1" customWidth="1"/>
    <col min="9483" max="9728" width="9.140625" style="3"/>
    <col min="9729" max="9729" width="2.5703125" style="3" bestFit="1" customWidth="1"/>
    <col min="9730" max="9730" width="11.42578125" style="3" customWidth="1"/>
    <col min="9731" max="9731" width="11.5703125" style="3" customWidth="1"/>
    <col min="9732" max="9732" width="14.28515625" style="3" customWidth="1"/>
    <col min="9733" max="9733" width="12.42578125" style="3" customWidth="1"/>
    <col min="9734" max="9734" width="11.5703125" style="3" customWidth="1"/>
    <col min="9735" max="9735" width="11" style="3" customWidth="1"/>
    <col min="9736" max="9736" width="11.140625" style="3" customWidth="1"/>
    <col min="9737" max="9737" width="11" style="3" customWidth="1"/>
    <col min="9738" max="9738" width="6.5703125" style="3" bestFit="1" customWidth="1"/>
    <col min="9739" max="9984" width="9.140625" style="3"/>
    <col min="9985" max="9985" width="2.5703125" style="3" bestFit="1" customWidth="1"/>
    <col min="9986" max="9986" width="11.42578125" style="3" customWidth="1"/>
    <col min="9987" max="9987" width="11.5703125" style="3" customWidth="1"/>
    <col min="9988" max="9988" width="14.28515625" style="3" customWidth="1"/>
    <col min="9989" max="9989" width="12.42578125" style="3" customWidth="1"/>
    <col min="9990" max="9990" width="11.5703125" style="3" customWidth="1"/>
    <col min="9991" max="9991" width="11" style="3" customWidth="1"/>
    <col min="9992" max="9992" width="11.140625" style="3" customWidth="1"/>
    <col min="9993" max="9993" width="11" style="3" customWidth="1"/>
    <col min="9994" max="9994" width="6.5703125" style="3" bestFit="1" customWidth="1"/>
    <col min="9995" max="10240" width="9.140625" style="3"/>
    <col min="10241" max="10241" width="2.5703125" style="3" bestFit="1" customWidth="1"/>
    <col min="10242" max="10242" width="11.42578125" style="3" customWidth="1"/>
    <col min="10243" max="10243" width="11.5703125" style="3" customWidth="1"/>
    <col min="10244" max="10244" width="14.28515625" style="3" customWidth="1"/>
    <col min="10245" max="10245" width="12.42578125" style="3" customWidth="1"/>
    <col min="10246" max="10246" width="11.5703125" style="3" customWidth="1"/>
    <col min="10247" max="10247" width="11" style="3" customWidth="1"/>
    <col min="10248" max="10248" width="11.140625" style="3" customWidth="1"/>
    <col min="10249" max="10249" width="11" style="3" customWidth="1"/>
    <col min="10250" max="10250" width="6.5703125" style="3" bestFit="1" customWidth="1"/>
    <col min="10251" max="10496" width="9.140625" style="3"/>
    <col min="10497" max="10497" width="2.5703125" style="3" bestFit="1" customWidth="1"/>
    <col min="10498" max="10498" width="11.42578125" style="3" customWidth="1"/>
    <col min="10499" max="10499" width="11.5703125" style="3" customWidth="1"/>
    <col min="10500" max="10500" width="14.28515625" style="3" customWidth="1"/>
    <col min="10501" max="10501" width="12.42578125" style="3" customWidth="1"/>
    <col min="10502" max="10502" width="11.5703125" style="3" customWidth="1"/>
    <col min="10503" max="10503" width="11" style="3" customWidth="1"/>
    <col min="10504" max="10504" width="11.140625" style="3" customWidth="1"/>
    <col min="10505" max="10505" width="11" style="3" customWidth="1"/>
    <col min="10506" max="10506" width="6.5703125" style="3" bestFit="1" customWidth="1"/>
    <col min="10507" max="10752" width="9.140625" style="3"/>
    <col min="10753" max="10753" width="2.5703125" style="3" bestFit="1" customWidth="1"/>
    <col min="10754" max="10754" width="11.42578125" style="3" customWidth="1"/>
    <col min="10755" max="10755" width="11.5703125" style="3" customWidth="1"/>
    <col min="10756" max="10756" width="14.28515625" style="3" customWidth="1"/>
    <col min="10757" max="10757" width="12.42578125" style="3" customWidth="1"/>
    <col min="10758" max="10758" width="11.5703125" style="3" customWidth="1"/>
    <col min="10759" max="10759" width="11" style="3" customWidth="1"/>
    <col min="10760" max="10760" width="11.140625" style="3" customWidth="1"/>
    <col min="10761" max="10761" width="11" style="3" customWidth="1"/>
    <col min="10762" max="10762" width="6.5703125" style="3" bestFit="1" customWidth="1"/>
    <col min="10763" max="11008" width="9.140625" style="3"/>
    <col min="11009" max="11009" width="2.5703125" style="3" bestFit="1" customWidth="1"/>
    <col min="11010" max="11010" width="11.42578125" style="3" customWidth="1"/>
    <col min="11011" max="11011" width="11.5703125" style="3" customWidth="1"/>
    <col min="11012" max="11012" width="14.28515625" style="3" customWidth="1"/>
    <col min="11013" max="11013" width="12.42578125" style="3" customWidth="1"/>
    <col min="11014" max="11014" width="11.5703125" style="3" customWidth="1"/>
    <col min="11015" max="11015" width="11" style="3" customWidth="1"/>
    <col min="11016" max="11016" width="11.140625" style="3" customWidth="1"/>
    <col min="11017" max="11017" width="11" style="3" customWidth="1"/>
    <col min="11018" max="11018" width="6.5703125" style="3" bestFit="1" customWidth="1"/>
    <col min="11019" max="11264" width="9.140625" style="3"/>
    <col min="11265" max="11265" width="2.5703125" style="3" bestFit="1" customWidth="1"/>
    <col min="11266" max="11266" width="11.42578125" style="3" customWidth="1"/>
    <col min="11267" max="11267" width="11.5703125" style="3" customWidth="1"/>
    <col min="11268" max="11268" width="14.28515625" style="3" customWidth="1"/>
    <col min="11269" max="11269" width="12.42578125" style="3" customWidth="1"/>
    <col min="11270" max="11270" width="11.5703125" style="3" customWidth="1"/>
    <col min="11271" max="11271" width="11" style="3" customWidth="1"/>
    <col min="11272" max="11272" width="11.140625" style="3" customWidth="1"/>
    <col min="11273" max="11273" width="11" style="3" customWidth="1"/>
    <col min="11274" max="11274" width="6.5703125" style="3" bestFit="1" customWidth="1"/>
    <col min="11275" max="11520" width="9.140625" style="3"/>
    <col min="11521" max="11521" width="2.5703125" style="3" bestFit="1" customWidth="1"/>
    <col min="11522" max="11522" width="11.42578125" style="3" customWidth="1"/>
    <col min="11523" max="11523" width="11.5703125" style="3" customWidth="1"/>
    <col min="11524" max="11524" width="14.28515625" style="3" customWidth="1"/>
    <col min="11525" max="11525" width="12.42578125" style="3" customWidth="1"/>
    <col min="11526" max="11526" width="11.5703125" style="3" customWidth="1"/>
    <col min="11527" max="11527" width="11" style="3" customWidth="1"/>
    <col min="11528" max="11528" width="11.140625" style="3" customWidth="1"/>
    <col min="11529" max="11529" width="11" style="3" customWidth="1"/>
    <col min="11530" max="11530" width="6.5703125" style="3" bestFit="1" customWidth="1"/>
    <col min="11531" max="11776" width="9.140625" style="3"/>
    <col min="11777" max="11777" width="2.5703125" style="3" bestFit="1" customWidth="1"/>
    <col min="11778" max="11778" width="11.42578125" style="3" customWidth="1"/>
    <col min="11779" max="11779" width="11.5703125" style="3" customWidth="1"/>
    <col min="11780" max="11780" width="14.28515625" style="3" customWidth="1"/>
    <col min="11781" max="11781" width="12.42578125" style="3" customWidth="1"/>
    <col min="11782" max="11782" width="11.5703125" style="3" customWidth="1"/>
    <col min="11783" max="11783" width="11" style="3" customWidth="1"/>
    <col min="11784" max="11784" width="11.140625" style="3" customWidth="1"/>
    <col min="11785" max="11785" width="11" style="3" customWidth="1"/>
    <col min="11786" max="11786" width="6.5703125" style="3" bestFit="1" customWidth="1"/>
    <col min="11787" max="12032" width="9.140625" style="3"/>
    <col min="12033" max="12033" width="2.5703125" style="3" bestFit="1" customWidth="1"/>
    <col min="12034" max="12034" width="11.42578125" style="3" customWidth="1"/>
    <col min="12035" max="12035" width="11.5703125" style="3" customWidth="1"/>
    <col min="12036" max="12036" width="14.28515625" style="3" customWidth="1"/>
    <col min="12037" max="12037" width="12.42578125" style="3" customWidth="1"/>
    <col min="12038" max="12038" width="11.5703125" style="3" customWidth="1"/>
    <col min="12039" max="12039" width="11" style="3" customWidth="1"/>
    <col min="12040" max="12040" width="11.140625" style="3" customWidth="1"/>
    <col min="12041" max="12041" width="11" style="3" customWidth="1"/>
    <col min="12042" max="12042" width="6.5703125" style="3" bestFit="1" customWidth="1"/>
    <col min="12043" max="12288" width="9.140625" style="3"/>
    <col min="12289" max="12289" width="2.5703125" style="3" bestFit="1" customWidth="1"/>
    <col min="12290" max="12290" width="11.42578125" style="3" customWidth="1"/>
    <col min="12291" max="12291" width="11.5703125" style="3" customWidth="1"/>
    <col min="12292" max="12292" width="14.28515625" style="3" customWidth="1"/>
    <col min="12293" max="12293" width="12.42578125" style="3" customWidth="1"/>
    <col min="12294" max="12294" width="11.5703125" style="3" customWidth="1"/>
    <col min="12295" max="12295" width="11" style="3" customWidth="1"/>
    <col min="12296" max="12296" width="11.140625" style="3" customWidth="1"/>
    <col min="12297" max="12297" width="11" style="3" customWidth="1"/>
    <col min="12298" max="12298" width="6.5703125" style="3" bestFit="1" customWidth="1"/>
    <col min="12299" max="12544" width="9.140625" style="3"/>
    <col min="12545" max="12545" width="2.5703125" style="3" bestFit="1" customWidth="1"/>
    <col min="12546" max="12546" width="11.42578125" style="3" customWidth="1"/>
    <col min="12547" max="12547" width="11.5703125" style="3" customWidth="1"/>
    <col min="12548" max="12548" width="14.28515625" style="3" customWidth="1"/>
    <col min="12549" max="12549" width="12.42578125" style="3" customWidth="1"/>
    <col min="12550" max="12550" width="11.5703125" style="3" customWidth="1"/>
    <col min="12551" max="12551" width="11" style="3" customWidth="1"/>
    <col min="12552" max="12552" width="11.140625" style="3" customWidth="1"/>
    <col min="12553" max="12553" width="11" style="3" customWidth="1"/>
    <col min="12554" max="12554" width="6.5703125" style="3" bestFit="1" customWidth="1"/>
    <col min="12555" max="12800" width="9.140625" style="3"/>
    <col min="12801" max="12801" width="2.5703125" style="3" bestFit="1" customWidth="1"/>
    <col min="12802" max="12802" width="11.42578125" style="3" customWidth="1"/>
    <col min="12803" max="12803" width="11.5703125" style="3" customWidth="1"/>
    <col min="12804" max="12804" width="14.28515625" style="3" customWidth="1"/>
    <col min="12805" max="12805" width="12.42578125" style="3" customWidth="1"/>
    <col min="12806" max="12806" width="11.5703125" style="3" customWidth="1"/>
    <col min="12807" max="12807" width="11" style="3" customWidth="1"/>
    <col min="12808" max="12808" width="11.140625" style="3" customWidth="1"/>
    <col min="12809" max="12809" width="11" style="3" customWidth="1"/>
    <col min="12810" max="12810" width="6.5703125" style="3" bestFit="1" customWidth="1"/>
    <col min="12811" max="13056" width="9.140625" style="3"/>
    <col min="13057" max="13057" width="2.5703125" style="3" bestFit="1" customWidth="1"/>
    <col min="13058" max="13058" width="11.42578125" style="3" customWidth="1"/>
    <col min="13059" max="13059" width="11.5703125" style="3" customWidth="1"/>
    <col min="13060" max="13060" width="14.28515625" style="3" customWidth="1"/>
    <col min="13061" max="13061" width="12.42578125" style="3" customWidth="1"/>
    <col min="13062" max="13062" width="11.5703125" style="3" customWidth="1"/>
    <col min="13063" max="13063" width="11" style="3" customWidth="1"/>
    <col min="13064" max="13064" width="11.140625" style="3" customWidth="1"/>
    <col min="13065" max="13065" width="11" style="3" customWidth="1"/>
    <col min="13066" max="13066" width="6.5703125" style="3" bestFit="1" customWidth="1"/>
    <col min="13067" max="13312" width="9.140625" style="3"/>
    <col min="13313" max="13313" width="2.5703125" style="3" bestFit="1" customWidth="1"/>
    <col min="13314" max="13314" width="11.42578125" style="3" customWidth="1"/>
    <col min="13315" max="13315" width="11.5703125" style="3" customWidth="1"/>
    <col min="13316" max="13316" width="14.28515625" style="3" customWidth="1"/>
    <col min="13317" max="13317" width="12.42578125" style="3" customWidth="1"/>
    <col min="13318" max="13318" width="11.5703125" style="3" customWidth="1"/>
    <col min="13319" max="13319" width="11" style="3" customWidth="1"/>
    <col min="13320" max="13320" width="11.140625" style="3" customWidth="1"/>
    <col min="13321" max="13321" width="11" style="3" customWidth="1"/>
    <col min="13322" max="13322" width="6.5703125" style="3" bestFit="1" customWidth="1"/>
    <col min="13323" max="13568" width="9.140625" style="3"/>
    <col min="13569" max="13569" width="2.5703125" style="3" bestFit="1" customWidth="1"/>
    <col min="13570" max="13570" width="11.42578125" style="3" customWidth="1"/>
    <col min="13571" max="13571" width="11.5703125" style="3" customWidth="1"/>
    <col min="13572" max="13572" width="14.28515625" style="3" customWidth="1"/>
    <col min="13573" max="13573" width="12.42578125" style="3" customWidth="1"/>
    <col min="13574" max="13574" width="11.5703125" style="3" customWidth="1"/>
    <col min="13575" max="13575" width="11" style="3" customWidth="1"/>
    <col min="13576" max="13576" width="11.140625" style="3" customWidth="1"/>
    <col min="13577" max="13577" width="11" style="3" customWidth="1"/>
    <col min="13578" max="13578" width="6.5703125" style="3" bestFit="1" customWidth="1"/>
    <col min="13579" max="13824" width="9.140625" style="3"/>
    <col min="13825" max="13825" width="2.5703125" style="3" bestFit="1" customWidth="1"/>
    <col min="13826" max="13826" width="11.42578125" style="3" customWidth="1"/>
    <col min="13827" max="13827" width="11.5703125" style="3" customWidth="1"/>
    <col min="13828" max="13828" width="14.28515625" style="3" customWidth="1"/>
    <col min="13829" max="13829" width="12.42578125" style="3" customWidth="1"/>
    <col min="13830" max="13830" width="11.5703125" style="3" customWidth="1"/>
    <col min="13831" max="13831" width="11" style="3" customWidth="1"/>
    <col min="13832" max="13832" width="11.140625" style="3" customWidth="1"/>
    <col min="13833" max="13833" width="11" style="3" customWidth="1"/>
    <col min="13834" max="13834" width="6.5703125" style="3" bestFit="1" customWidth="1"/>
    <col min="13835" max="14080" width="9.140625" style="3"/>
    <col min="14081" max="14081" width="2.5703125" style="3" bestFit="1" customWidth="1"/>
    <col min="14082" max="14082" width="11.42578125" style="3" customWidth="1"/>
    <col min="14083" max="14083" width="11.5703125" style="3" customWidth="1"/>
    <col min="14084" max="14084" width="14.28515625" style="3" customWidth="1"/>
    <col min="14085" max="14085" width="12.42578125" style="3" customWidth="1"/>
    <col min="14086" max="14086" width="11.5703125" style="3" customWidth="1"/>
    <col min="14087" max="14087" width="11" style="3" customWidth="1"/>
    <col min="14088" max="14088" width="11.140625" style="3" customWidth="1"/>
    <col min="14089" max="14089" width="11" style="3" customWidth="1"/>
    <col min="14090" max="14090" width="6.5703125" style="3" bestFit="1" customWidth="1"/>
    <col min="14091" max="14336" width="9.140625" style="3"/>
    <col min="14337" max="14337" width="2.5703125" style="3" bestFit="1" customWidth="1"/>
    <col min="14338" max="14338" width="11.42578125" style="3" customWidth="1"/>
    <col min="14339" max="14339" width="11.5703125" style="3" customWidth="1"/>
    <col min="14340" max="14340" width="14.28515625" style="3" customWidth="1"/>
    <col min="14341" max="14341" width="12.42578125" style="3" customWidth="1"/>
    <col min="14342" max="14342" width="11.5703125" style="3" customWidth="1"/>
    <col min="14343" max="14343" width="11" style="3" customWidth="1"/>
    <col min="14344" max="14344" width="11.140625" style="3" customWidth="1"/>
    <col min="14345" max="14345" width="11" style="3" customWidth="1"/>
    <col min="14346" max="14346" width="6.5703125" style="3" bestFit="1" customWidth="1"/>
    <col min="14347" max="14592" width="9.140625" style="3"/>
    <col min="14593" max="14593" width="2.5703125" style="3" bestFit="1" customWidth="1"/>
    <col min="14594" max="14594" width="11.42578125" style="3" customWidth="1"/>
    <col min="14595" max="14595" width="11.5703125" style="3" customWidth="1"/>
    <col min="14596" max="14596" width="14.28515625" style="3" customWidth="1"/>
    <col min="14597" max="14597" width="12.42578125" style="3" customWidth="1"/>
    <col min="14598" max="14598" width="11.5703125" style="3" customWidth="1"/>
    <col min="14599" max="14599" width="11" style="3" customWidth="1"/>
    <col min="14600" max="14600" width="11.140625" style="3" customWidth="1"/>
    <col min="14601" max="14601" width="11" style="3" customWidth="1"/>
    <col min="14602" max="14602" width="6.5703125" style="3" bestFit="1" customWidth="1"/>
    <col min="14603" max="14848" width="9.140625" style="3"/>
    <col min="14849" max="14849" width="2.5703125" style="3" bestFit="1" customWidth="1"/>
    <col min="14850" max="14850" width="11.42578125" style="3" customWidth="1"/>
    <col min="14851" max="14851" width="11.5703125" style="3" customWidth="1"/>
    <col min="14852" max="14852" width="14.28515625" style="3" customWidth="1"/>
    <col min="14853" max="14853" width="12.42578125" style="3" customWidth="1"/>
    <col min="14854" max="14854" width="11.5703125" style="3" customWidth="1"/>
    <col min="14855" max="14855" width="11" style="3" customWidth="1"/>
    <col min="14856" max="14856" width="11.140625" style="3" customWidth="1"/>
    <col min="14857" max="14857" width="11" style="3" customWidth="1"/>
    <col min="14858" max="14858" width="6.5703125" style="3" bestFit="1" customWidth="1"/>
    <col min="14859" max="15104" width="9.140625" style="3"/>
    <col min="15105" max="15105" width="2.5703125" style="3" bestFit="1" customWidth="1"/>
    <col min="15106" max="15106" width="11.42578125" style="3" customWidth="1"/>
    <col min="15107" max="15107" width="11.5703125" style="3" customWidth="1"/>
    <col min="15108" max="15108" width="14.28515625" style="3" customWidth="1"/>
    <col min="15109" max="15109" width="12.42578125" style="3" customWidth="1"/>
    <col min="15110" max="15110" width="11.5703125" style="3" customWidth="1"/>
    <col min="15111" max="15111" width="11" style="3" customWidth="1"/>
    <col min="15112" max="15112" width="11.140625" style="3" customWidth="1"/>
    <col min="15113" max="15113" width="11" style="3" customWidth="1"/>
    <col min="15114" max="15114" width="6.5703125" style="3" bestFit="1" customWidth="1"/>
    <col min="15115" max="15360" width="9.140625" style="3"/>
    <col min="15361" max="15361" width="2.5703125" style="3" bestFit="1" customWidth="1"/>
    <col min="15362" max="15362" width="11.42578125" style="3" customWidth="1"/>
    <col min="15363" max="15363" width="11.5703125" style="3" customWidth="1"/>
    <col min="15364" max="15364" width="14.28515625" style="3" customWidth="1"/>
    <col min="15365" max="15365" width="12.42578125" style="3" customWidth="1"/>
    <col min="15366" max="15366" width="11.5703125" style="3" customWidth="1"/>
    <col min="15367" max="15367" width="11" style="3" customWidth="1"/>
    <col min="15368" max="15368" width="11.140625" style="3" customWidth="1"/>
    <col min="15369" max="15369" width="11" style="3" customWidth="1"/>
    <col min="15370" max="15370" width="6.5703125" style="3" bestFit="1" customWidth="1"/>
    <col min="15371" max="15616" width="9.140625" style="3"/>
    <col min="15617" max="15617" width="2.5703125" style="3" bestFit="1" customWidth="1"/>
    <col min="15618" max="15618" width="11.42578125" style="3" customWidth="1"/>
    <col min="15619" max="15619" width="11.5703125" style="3" customWidth="1"/>
    <col min="15620" max="15620" width="14.28515625" style="3" customWidth="1"/>
    <col min="15621" max="15621" width="12.42578125" style="3" customWidth="1"/>
    <col min="15622" max="15622" width="11.5703125" style="3" customWidth="1"/>
    <col min="15623" max="15623" width="11" style="3" customWidth="1"/>
    <col min="15624" max="15624" width="11.140625" style="3" customWidth="1"/>
    <col min="15625" max="15625" width="11" style="3" customWidth="1"/>
    <col min="15626" max="15626" width="6.5703125" style="3" bestFit="1" customWidth="1"/>
    <col min="15627" max="15872" width="9.140625" style="3"/>
    <col min="15873" max="15873" width="2.5703125" style="3" bestFit="1" customWidth="1"/>
    <col min="15874" max="15874" width="11.42578125" style="3" customWidth="1"/>
    <col min="15875" max="15875" width="11.5703125" style="3" customWidth="1"/>
    <col min="15876" max="15876" width="14.28515625" style="3" customWidth="1"/>
    <col min="15877" max="15877" width="12.42578125" style="3" customWidth="1"/>
    <col min="15878" max="15878" width="11.5703125" style="3" customWidth="1"/>
    <col min="15879" max="15879" width="11" style="3" customWidth="1"/>
    <col min="15880" max="15880" width="11.140625" style="3" customWidth="1"/>
    <col min="15881" max="15881" width="11" style="3" customWidth="1"/>
    <col min="15882" max="15882" width="6.5703125" style="3" bestFit="1" customWidth="1"/>
    <col min="15883" max="16128" width="9.140625" style="3"/>
    <col min="16129" max="16129" width="2.5703125" style="3" bestFit="1" customWidth="1"/>
    <col min="16130" max="16130" width="11.42578125" style="3" customWidth="1"/>
    <col min="16131" max="16131" width="11.5703125" style="3" customWidth="1"/>
    <col min="16132" max="16132" width="14.28515625" style="3" customWidth="1"/>
    <col min="16133" max="16133" width="12.42578125" style="3" customWidth="1"/>
    <col min="16134" max="16134" width="11.5703125" style="3" customWidth="1"/>
    <col min="16135" max="16135" width="11" style="3" customWidth="1"/>
    <col min="16136" max="16136" width="11.140625" style="3" customWidth="1"/>
    <col min="16137" max="16137" width="11" style="3" customWidth="1"/>
    <col min="16138" max="16138" width="6.5703125" style="3" bestFit="1" customWidth="1"/>
    <col min="16139" max="16384" width="9.140625" style="3"/>
  </cols>
  <sheetData>
    <row r="1" spans="1:10" ht="12.75" customHeight="1" x14ac:dyDescent="0.2">
      <c r="A1" s="1" t="s">
        <v>10</v>
      </c>
      <c r="B1" s="2"/>
      <c r="C1" s="2"/>
      <c r="D1" s="2"/>
      <c r="E1" s="2"/>
      <c r="F1" s="2"/>
      <c r="G1" s="2"/>
      <c r="H1" s="2"/>
      <c r="I1" s="2"/>
      <c r="J1" s="2"/>
    </row>
    <row r="2" spans="1:10" ht="12.75" customHeight="1" x14ac:dyDescent="0.2">
      <c r="A2" s="1"/>
      <c r="B2" s="2"/>
      <c r="C2" s="2"/>
      <c r="D2" s="2"/>
      <c r="E2" s="2"/>
      <c r="F2" s="2"/>
      <c r="G2" s="2"/>
      <c r="H2" s="2"/>
      <c r="I2" s="2"/>
      <c r="J2" s="2"/>
    </row>
    <row r="3" spans="1:10" ht="12.75" customHeight="1" x14ac:dyDescent="0.2">
      <c r="A3" s="1"/>
      <c r="B3" s="2"/>
      <c r="C3" s="2"/>
      <c r="D3" s="2"/>
      <c r="E3" s="2"/>
      <c r="F3" s="2"/>
      <c r="G3" s="2"/>
      <c r="H3" s="2"/>
      <c r="I3" s="2"/>
      <c r="J3" s="2"/>
    </row>
    <row r="4" spans="1:10" ht="12.75" customHeight="1" x14ac:dyDescent="0.2">
      <c r="A4" s="4" t="s">
        <v>0</v>
      </c>
      <c r="B4" s="5" t="s">
        <v>1</v>
      </c>
      <c r="C4" s="99" t="s">
        <v>12</v>
      </c>
      <c r="D4" s="99"/>
      <c r="E4" s="6"/>
      <c r="F4" s="2"/>
      <c r="G4" s="2"/>
      <c r="H4" s="2"/>
      <c r="I4" s="2"/>
      <c r="J4" s="2"/>
    </row>
    <row r="5" spans="1:10" ht="12.75" customHeight="1" x14ac:dyDescent="0.2">
      <c r="A5" s="4"/>
      <c r="B5" s="5"/>
      <c r="C5" s="6"/>
      <c r="D5" s="6"/>
      <c r="E5" s="6"/>
      <c r="F5" s="2"/>
      <c r="G5" s="2"/>
      <c r="H5" s="2"/>
      <c r="I5" s="2"/>
      <c r="J5" s="2"/>
    </row>
    <row r="6" spans="1:10" ht="12.75" customHeight="1" x14ac:dyDescent="0.2">
      <c r="A6" s="4" t="s">
        <v>2</v>
      </c>
      <c r="B6" s="5" t="s">
        <v>1</v>
      </c>
      <c r="C6" s="7" t="s">
        <v>13</v>
      </c>
      <c r="D6" s="2"/>
      <c r="E6" s="2"/>
      <c r="F6" s="2"/>
      <c r="G6" s="2"/>
      <c r="H6" s="2"/>
      <c r="I6" s="2"/>
      <c r="J6" s="2"/>
    </row>
    <row r="7" spans="1:10" ht="12.75" customHeight="1" x14ac:dyDescent="0.2">
      <c r="A7" s="4"/>
      <c r="B7" s="5"/>
      <c r="C7" s="7"/>
      <c r="D7" s="2"/>
      <c r="E7" s="2"/>
      <c r="F7" s="2"/>
      <c r="G7" s="2"/>
      <c r="H7" s="2"/>
      <c r="I7" s="2"/>
      <c r="J7" s="2"/>
    </row>
    <row r="8" spans="1:10" ht="12.75" customHeight="1" x14ac:dyDescent="0.2">
      <c r="A8" s="4" t="s">
        <v>3</v>
      </c>
      <c r="B8" s="5" t="s">
        <v>1</v>
      </c>
      <c r="C8" s="8" t="s">
        <v>14</v>
      </c>
      <c r="D8" s="8"/>
      <c r="E8" s="8"/>
      <c r="F8" s="2"/>
      <c r="G8" s="2"/>
      <c r="H8" s="2"/>
      <c r="I8" s="2"/>
      <c r="J8" s="2"/>
    </row>
    <row r="9" spans="1:10" ht="12.75" customHeight="1" x14ac:dyDescent="0.2">
      <c r="A9" s="4"/>
      <c r="B9" s="5"/>
      <c r="C9" s="6"/>
      <c r="D9" s="6"/>
      <c r="E9" s="6"/>
      <c r="F9" s="2"/>
      <c r="G9" s="2"/>
      <c r="H9" s="2"/>
      <c r="I9" s="2"/>
      <c r="J9" s="2"/>
    </row>
    <row r="10" spans="1:10" ht="12.75" customHeight="1" x14ac:dyDescent="0.2">
      <c r="A10" s="4" t="s">
        <v>4</v>
      </c>
      <c r="B10" s="5" t="s">
        <v>1</v>
      </c>
      <c r="C10" s="5" t="s">
        <v>11</v>
      </c>
      <c r="D10" s="2"/>
      <c r="E10" s="2"/>
      <c r="F10" s="2"/>
      <c r="G10" s="2"/>
      <c r="H10" s="2"/>
      <c r="I10" s="2"/>
      <c r="J10" s="2"/>
    </row>
    <row r="11" spans="1:10" ht="12.75" customHeight="1" x14ac:dyDescent="0.2">
      <c r="A11" s="4"/>
      <c r="B11" s="5"/>
      <c r="C11" s="5"/>
      <c r="D11" s="2"/>
      <c r="E11" s="2"/>
      <c r="F11" s="2"/>
      <c r="G11" s="2"/>
      <c r="H11" s="2"/>
      <c r="I11" s="2"/>
      <c r="J11" s="2"/>
    </row>
    <row r="12" spans="1:10" ht="12.75" customHeight="1" x14ac:dyDescent="0.2">
      <c r="A12" s="4" t="s">
        <v>5</v>
      </c>
      <c r="B12" s="5" t="s">
        <v>1</v>
      </c>
      <c r="C12" s="5" t="s">
        <v>6</v>
      </c>
      <c r="D12" s="2"/>
      <c r="E12" s="2"/>
      <c r="F12" s="2"/>
      <c r="G12" s="2"/>
      <c r="H12" s="2"/>
      <c r="I12" s="2"/>
      <c r="J12" s="2"/>
    </row>
    <row r="13" spans="1:10" ht="12.75" customHeight="1" x14ac:dyDescent="0.2">
      <c r="A13" s="4"/>
      <c r="B13" s="5"/>
      <c r="C13" s="5"/>
      <c r="D13" s="2"/>
      <c r="E13" s="2"/>
      <c r="F13" s="2"/>
      <c r="G13" s="2"/>
      <c r="H13" s="2"/>
      <c r="I13" s="2"/>
      <c r="J13" s="2"/>
    </row>
    <row r="14" spans="1:10" ht="12.75" customHeight="1" x14ac:dyDescent="0.2">
      <c r="A14" s="4" t="s">
        <v>7</v>
      </c>
      <c r="B14" s="5" t="s">
        <v>1</v>
      </c>
      <c r="C14" s="5" t="s">
        <v>8</v>
      </c>
      <c r="D14" s="2"/>
      <c r="E14" s="2"/>
      <c r="F14" s="2"/>
      <c r="G14" s="2"/>
      <c r="H14" s="2"/>
      <c r="I14" s="2"/>
      <c r="J14" s="2"/>
    </row>
    <row r="15" spans="1:10" ht="12.75" customHeight="1" x14ac:dyDescent="0.2">
      <c r="A15" s="4"/>
      <c r="B15" s="5"/>
      <c r="C15" s="5" t="s">
        <v>9</v>
      </c>
      <c r="D15" s="2"/>
      <c r="E15" s="2"/>
      <c r="F15" s="2"/>
      <c r="G15" s="2"/>
      <c r="H15" s="2"/>
      <c r="I15" s="2"/>
      <c r="J15" s="2"/>
    </row>
    <row r="16" spans="1:10" ht="12.75" customHeight="1" x14ac:dyDescent="0.2">
      <c r="A16" s="4"/>
      <c r="B16" s="5"/>
      <c r="C16" s="5"/>
      <c r="D16" s="2"/>
      <c r="E16" s="2"/>
      <c r="F16" s="2"/>
      <c r="G16" s="2"/>
      <c r="H16" s="2"/>
      <c r="I16" s="2"/>
      <c r="J16" s="2"/>
    </row>
    <row r="17" spans="1:10" ht="12.75" customHeight="1" x14ac:dyDescent="0.2">
      <c r="A17" s="4" t="s">
        <v>15</v>
      </c>
      <c r="B17" s="5"/>
      <c r="C17" s="5"/>
      <c r="D17" s="2"/>
      <c r="E17" s="2"/>
      <c r="F17" s="2"/>
      <c r="G17" s="2"/>
      <c r="H17" s="2"/>
      <c r="I17" s="2"/>
      <c r="J17" s="2"/>
    </row>
    <row r="18" spans="1:10" ht="12.75" customHeight="1" x14ac:dyDescent="0.2"/>
    <row r="19" spans="1:10" x14ac:dyDescent="0.2">
      <c r="D19" s="9" t="s">
        <v>19</v>
      </c>
      <c r="E19" s="9"/>
      <c r="F19" s="9" t="s">
        <v>20</v>
      </c>
    </row>
    <row r="20" spans="1:10" x14ac:dyDescent="0.2">
      <c r="C20" s="3" t="s">
        <v>6</v>
      </c>
      <c r="D20" s="10">
        <v>4211</v>
      </c>
      <c r="E20" s="14"/>
      <c r="F20" s="12">
        <f>D20/10000</f>
        <v>0.42109999999999997</v>
      </c>
    </row>
    <row r="21" spans="1:10" x14ac:dyDescent="0.2">
      <c r="C21" s="3" t="s">
        <v>16</v>
      </c>
      <c r="D21" s="10">
        <v>1228</v>
      </c>
      <c r="E21" s="14"/>
      <c r="F21" s="12">
        <f t="shared" ref="F21:F23" si="0">D21/10000</f>
        <v>0.12280000000000001</v>
      </c>
    </row>
    <row r="22" spans="1:10" x14ac:dyDescent="0.2">
      <c r="C22" s="3" t="s">
        <v>17</v>
      </c>
      <c r="D22" s="10">
        <v>2807</v>
      </c>
      <c r="E22" s="14"/>
      <c r="F22" s="12">
        <f t="shared" si="0"/>
        <v>0.28070000000000001</v>
      </c>
    </row>
    <row r="23" spans="1:10" x14ac:dyDescent="0.2">
      <c r="C23" s="3" t="s">
        <v>18</v>
      </c>
      <c r="D23" s="10">
        <v>1754</v>
      </c>
      <c r="E23" s="14"/>
      <c r="F23" s="12">
        <f t="shared" si="0"/>
        <v>0.1754</v>
      </c>
    </row>
    <row r="24" spans="1:10" ht="15" thickBot="1" x14ac:dyDescent="0.25">
      <c r="D24" s="11">
        <f>SUM(D20:D23)</f>
        <v>10000</v>
      </c>
      <c r="E24" s="14"/>
      <c r="F24" s="13">
        <f>SUM(F20:F23)</f>
        <v>1</v>
      </c>
    </row>
    <row r="25" spans="1:10" ht="15" thickTop="1" x14ac:dyDescent="0.2"/>
  </sheetData>
  <mergeCells count="1">
    <mergeCell ref="C4:D4"/>
  </mergeCells>
  <pageMargins left="0.78740157480314965" right="0.70866141732283472" top="0.74803149606299213" bottom="0.74803149606299213" header="0.31496062992125984" footer="0.31496062992125984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3</vt:i4>
      </vt:variant>
    </vt:vector>
  </HeadingPairs>
  <TitlesOfParts>
    <vt:vector size="9" baseType="lpstr">
      <vt:lpstr>TB</vt:lpstr>
      <vt:lpstr>总帐</vt:lpstr>
      <vt:lpstr>Exchange.rate</vt:lpstr>
      <vt:lpstr>Journal</vt:lpstr>
      <vt:lpstr>Utilities</vt:lpstr>
      <vt:lpstr>Company profile</vt:lpstr>
      <vt:lpstr>总帐!Print_Area</vt:lpstr>
      <vt:lpstr>TB!Print_Titles</vt:lpstr>
      <vt:lpstr>总帐!Print_Titles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YK Teoh</dc:creator>
  <cp:lastModifiedBy>Admin</cp:lastModifiedBy>
  <cp:lastPrinted>2024-07-18T06:55:54Z</cp:lastPrinted>
  <dcterms:created xsi:type="dcterms:W3CDTF">2021-11-19T06:18:48Z</dcterms:created>
  <dcterms:modified xsi:type="dcterms:W3CDTF">2024-07-23T13:10:25Z</dcterms:modified>
</cp:coreProperties>
</file>